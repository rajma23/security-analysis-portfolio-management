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ction" sheetId="1" r:id="rId4"/>
    <sheet state="visible" name="Approach Summary" sheetId="2" r:id="rId5"/>
    <sheet state="visible" name="Part A" sheetId="3" r:id="rId6"/>
    <sheet state="visible" name="VAR" sheetId="4" r:id="rId7"/>
    <sheet state="visible" name="Part B" sheetId="5" r:id="rId8"/>
    <sheet state="visible" name="Part C" sheetId="6" r:id="rId9"/>
    <sheet state="visible" name="Part D" sheetId="7" r:id="rId10"/>
    <sheet state="visible" name="Part E" sheetId="8" r:id="rId11"/>
    <sheet state="hidden" name="__OpenSolverCache__" sheetId="9" r:id="rId12"/>
    <sheet state="hidden" name="__OpenSolver__" sheetId="10" r:id="rId13"/>
  </sheets>
  <definedNames>
    <definedName localSheetId="2" name="solver_opt">'Part A'!$BV$28</definedName>
    <definedName localSheetId="2" name="solver_lhs1">'Part A'!$BV$24</definedName>
    <definedName localSheetId="2" name="solver_adj">'Part A'!$BR$24:$BU$24</definedName>
  </definedNames>
  <calcPr/>
  <extLst>
    <ext uri="GoogleSheetsCustomDataVersion2">
      <go:sheetsCustomData xmlns:go="http://customooxmlschemas.google.com/" r:id="rId14" roundtripDataChecksum="OnSnV0WHHGYpyveqkXT0CPOhgVK9I9DmQVga9rQsctM="/>
    </ext>
  </extLst>
</workbook>
</file>

<file path=xl/sharedStrings.xml><?xml version="1.0" encoding="utf-8"?>
<sst xmlns="http://schemas.openxmlformats.org/spreadsheetml/2006/main" count="2207" uniqueCount="286">
  <si>
    <t>🔍SAPM Assignment - Summer Term 2025🪴</t>
  </si>
  <si>
    <t>Team</t>
  </si>
  <si>
    <t>Index</t>
  </si>
  <si>
    <t>Name</t>
  </si>
  <si>
    <t>ID Number</t>
  </si>
  <si>
    <t>Approach Summary</t>
  </si>
  <si>
    <t>Individual Stock Selection
&gt; Our Approach
&gt; Selection of Industry
&gt; Selection of a stock in a particular industry</t>
  </si>
  <si>
    <t>Arnav Agarwal</t>
  </si>
  <si>
    <t>2022B1A41724P</t>
  </si>
  <si>
    <t>Atharva Toshniwal</t>
  </si>
  <si>
    <t>2022B3A80224P</t>
  </si>
  <si>
    <t xml:space="preserve">Part A </t>
  </si>
  <si>
    <t xml:space="preserve">&gt;  Performance of the selected stocks in one year ( from April 2024 to April 2025)
&gt; Equal Weighted Performance
&gt; Optimized Portfolio Performance </t>
  </si>
  <si>
    <t>Part B</t>
  </si>
  <si>
    <t>&gt; Backtesting of the selected stocks in one month ( May 2025)</t>
  </si>
  <si>
    <t>Part C</t>
  </si>
  <si>
    <t xml:space="preserve">&gt;  Performance of the selected instruments in one year ( from April 2024 to April 2025)
&gt; Equal Weighted Performance
&gt; Optimized Portfolio Performance </t>
  </si>
  <si>
    <t>Part D</t>
  </si>
  <si>
    <t>&gt; Backtesting of the selected instruments in one month ( May 2025)</t>
  </si>
  <si>
    <t>Part E</t>
  </si>
  <si>
    <t>&gt; Observations
&gt; Final Conclusions</t>
  </si>
  <si>
    <t>🎯 Our Approach 📃</t>
  </si>
  <si>
    <t>Step 1</t>
  </si>
  <si>
    <t xml:space="preserve">We began by identifying key industries based on their economic importance, market stability, and historical return potential. Preference was given to sectors demonstrating strong growth prospects and consistent performance.
</t>
  </si>
  <si>
    <t>Step 2</t>
  </si>
  <si>
    <t xml:space="preserve">For each selected industry, we shortlisted five leading companies. These were chosen based on market capitalization, brand strength, historical returns, and relevance within the sector.
</t>
  </si>
  <si>
    <t>Step 3</t>
  </si>
  <si>
    <t xml:space="preserve">The evaluation criteria were grouped into five core categories: valuation metrics, profitability metrics, efficiency metrics, leverage/liquidity metrics, and market strength/scale metrics.
</t>
  </si>
  <si>
    <t>Step 4</t>
  </si>
  <si>
    <t xml:space="preserve">Each metric and sub-metric was assigned a specific weight based on its relevance to the industry context. The weights were supported by rationale rooted in financial theory and sector characteristics.
</t>
  </si>
  <si>
    <t>Step 5</t>
  </si>
  <si>
    <t>To ensure comparability across different scales and units, all metric values were normalized. For positively contributing metrics (e.g., ROE, Net Profit Margin, Asset Turnover ⬆️), we applied:
Normalized Value=  (Value−Min) / (Max−Min)</t>
  </si>
  <si>
    <t>Step 6</t>
  </si>
  <si>
    <t xml:space="preserve">For negatively contributing metrics (e.g., P/E Ratio, Debt-to-Equity, Inventory Days ⬇️), we used:
Normalized Value = (Max − Value) / (Max − Min)
</t>
  </si>
  <si>
    <t>Step 7</t>
  </si>
  <si>
    <t xml:space="preserve">Normalized values were then multiplied by their respective metric weights to compute a final weighted score for each stock.
</t>
  </si>
  <si>
    <t>Step 8</t>
  </si>
  <si>
    <t xml:space="preserve">The company with the highest cumulative weighted score in each industry was selected, reflecting optimal performance across valuation, operational, and financial parameters.
</t>
  </si>
  <si>
    <t>Why Tele - Communications?</t>
  </si>
  <si>
    <r>
      <rPr>
        <rFont val="Times New Roman"/>
        <b val="0"/>
        <color theme="1"/>
      </rPr>
      <t xml:space="preserve">The telecom industry plays a critical role in enabling digital infrastructure and connectivity in India, making it foundational to both economic activity and national development. With the rapid expansion of 5G, increased data consumption, and digital payments, telecom companies are set to benefit from long-term demand. Additionally, the sector features strong industry leaders with wide subscriber bases, high entry barriers, and consistent cash flows. These attributes make it attractive for stable, long-term portfolio inclusion.
</t>
    </r>
    <r>
      <rPr>
        <rFont val="Times New Roman"/>
        <b/>
        <color theme="1"/>
      </rPr>
      <t xml:space="preserve">
</t>
    </r>
  </si>
  <si>
    <t>📡Stocks of Tele-Communications📞</t>
  </si>
  <si>
    <t>Valuation💰</t>
  </si>
  <si>
    <t>Profitability 💸</t>
  </si>
  <si>
    <t>Efficiency 🔁</t>
  </si>
  <si>
    <t>Financial Health 🩺</t>
  </si>
  <si>
    <t>Returns 📈</t>
  </si>
  <si>
    <t>Final Value</t>
  </si>
  <si>
    <t>Name of the ratio</t>
  </si>
  <si>
    <t>P/E Ratio</t>
  </si>
  <si>
    <t>P/B Ratio</t>
  </si>
  <si>
    <t>EV/EBITDA</t>
  </si>
  <si>
    <t>PEG Ratio</t>
  </si>
  <si>
    <t>Market Cap (in Cr)</t>
  </si>
  <si>
    <t>Net Profit Margin</t>
  </si>
  <si>
    <t>ROE</t>
  </si>
  <si>
    <t>ROA</t>
  </si>
  <si>
    <t>Gross Margin</t>
  </si>
  <si>
    <t>Asset Turnover</t>
  </si>
  <si>
    <t>Inventory Turnover</t>
  </si>
  <si>
    <t>Current Ratio</t>
  </si>
  <si>
    <t>Debt-to-Equity</t>
  </si>
  <si>
    <t>Interest Coverage</t>
  </si>
  <si>
    <t>Operating Margin</t>
  </si>
  <si>
    <t>Dividend Yield</t>
  </si>
  <si>
    <t>Weight</t>
  </si>
  <si>
    <t>Reason</t>
  </si>
  <si>
    <t>Telecoms are mature and earnings-stable; P/E captures valuation based on profitability and investor sentiment.</t>
  </si>
  <si>
    <t xml:space="preserve">Book value is less indicative in telecoms due to high asset depreciation and long-lived infrastructure.
</t>
  </si>
  <si>
    <t>The most accurate metric for telecoms, accounting for debt and depreciation in this high-capex industry.</t>
  </si>
  <si>
    <t xml:space="preserve">Telecoms have stable, moderate growth; this ratio adds context to valuation by factoring in expected growth.
</t>
  </si>
  <si>
    <t xml:space="preserve">While scale offers network advantages, telecom markets are often regulated, so size doesn’t always mean dominance.
</t>
  </si>
  <si>
    <t>Margins matter due to high operating leverage; small margin shifts can significantly impact profits.</t>
  </si>
  <si>
    <t xml:space="preserve">Crucial for capital-heavy firms, shows how well telecoms convert invested capital into profit.
</t>
  </si>
  <si>
    <t xml:space="preserve">Telecoms have large fixed asset bases; ROA shows how productively these are deployed, but leverage skews it.
</t>
  </si>
  <si>
    <t xml:space="preserve">Fixed infrastructure costs dominate telecoms, so gross margin varies little and has limited insight.
</t>
  </si>
  <si>
    <t xml:space="preserve">Telecoms must monetize infrastructure efficiently; asset turnover captures how well they do it.
</t>
  </si>
  <si>
    <t xml:space="preserve">Many telecoms sell devices or maintain inventory; turnover reflects working capital and sales flow health.
</t>
  </si>
  <si>
    <t xml:space="preserve">Telecoms face high liabilities; current ratio reveals ability to meet obligations.
</t>
  </si>
  <si>
    <t xml:space="preserve">Telecoms are often heavily leveraged due to infrastructure investment, managing debt load is critical.
</t>
  </si>
  <si>
    <t xml:space="preserve">Important in debt-heavy sectors, but often less volatile in large telecoms with steady cash flows.
</t>
  </si>
  <si>
    <t xml:space="preserve">Reflects efficiency in core services, but overlaps with EBITDA, so slightly lower weight.
</t>
  </si>
  <si>
    <t xml:space="preserve">Many telecoms are mature and offer dividends, but capital reinvestment can be more important for growth.
</t>
  </si>
  <si>
    <t>Lower⬇️</t>
  </si>
  <si>
    <t>Value Weighted</t>
  </si>
  <si>
    <t>Higher⬆️</t>
  </si>
  <si>
    <t>Bharti Airtel Ltd</t>
  </si>
  <si>
    <t>NA</t>
  </si>
  <si>
    <t>Indus Towers Ltd</t>
  </si>
  <si>
    <t>Bharti Hexacom Ltd</t>
  </si>
  <si>
    <t>Tata Communications Ltd</t>
  </si>
  <si>
    <t>Railtel Corporation of India Ltd</t>
  </si>
  <si>
    <t>Why Defence?</t>
  </si>
  <si>
    <t xml:space="preserve">The defence sector in India is gaining prominence due to increasing government focus on indigenization, rising defence budgets, and strategic geopolitical priorities. With large, long-term contracts and government backing, this sector presents a unique blend of stability and long-term growth. Prominent companies benefit from monopolistic or semi-monopolistic market positions and offer significant upside as the sector expands through Make in India initiatives.
</t>
  </si>
  <si>
    <t>🏰  Stocks of Defence 🪖</t>
  </si>
  <si>
    <t>Market Cap</t>
  </si>
  <si>
    <t xml:space="preserve">Earnings can fluctuate with contracts and defense budgets, so less predictive on its own.
</t>
  </si>
  <si>
    <t xml:space="preserve">Important for asset-heavy defence manufacturers where tangible assets like plants and IP matter.
</t>
  </si>
  <si>
    <t xml:space="preserve">Essential for capital-intensive firms; neutralizes accounting and capex differences.
</t>
  </si>
  <si>
    <t xml:space="preserve">Many defence companies grow steadily but slowly, growth potential is less central than cash flow.
</t>
  </si>
  <si>
    <t xml:space="preserve">Larger firms win bigger contracts and offer stability, but scale isn’t always correlated with performance.
</t>
  </si>
  <si>
    <t xml:space="preserve">Important for contract profitability, especially in cost-plus vs. fixed-price models.
</t>
  </si>
  <si>
    <t xml:space="preserve">Vital in defence where firms must efficiently use capital while facing long sales cycles.
</t>
  </si>
  <si>
    <t xml:space="preserve">Useful in assessing how well plants, equipment, and R&amp;D investments are leveraged.
</t>
  </si>
  <si>
    <t xml:space="preserve">Indicates pricing power and manufacturing cost control, especially in complex production.
</t>
  </si>
  <si>
    <t xml:space="preserve">Key for companies with high R&amp;D or inventory levels; shows contract-to-revenue speed.
</t>
  </si>
  <si>
    <t xml:space="preserve">Defence has long build cycles and specialized parts, so turnover offers limited insight but still relevant.
</t>
  </si>
  <si>
    <t xml:space="preserve">Crucial in managing contract milestones, delayed payments, and high working capital needs.
</t>
  </si>
  <si>
    <t xml:space="preserve">High weight due to the need for financial stability in a sector with unpredictable payment cycles.
</t>
  </si>
  <si>
    <t xml:space="preserve">Important for balance sheet health, though most defense firms are cash-positive.
</t>
  </si>
  <si>
    <t xml:space="preserve">Contract execution efficiency is critical; reflects profitability beyond COGS.
</t>
  </si>
  <si>
    <t xml:space="preserve">Defence stocks often attract long-term investors; dividends add income but are secondary to stability.
</t>
  </si>
  <si>
    <t>Hindustan Aeronautics Ltd</t>
  </si>
  <si>
    <t>Mazagon Dock Shipbuilders Ltd</t>
  </si>
  <si>
    <t>Bharat Dynamics Ltd</t>
  </si>
  <si>
    <t>Cochin Shipyard Ltd</t>
  </si>
  <si>
    <t>Garden Reach Shipbuilders &amp; Engineers Ltd</t>
  </si>
  <si>
    <t>Why Banks?</t>
  </si>
  <si>
    <t xml:space="preserve">The banking sector is a core component of the economy, essential for financial intermediation, credit distribution, and liquidity management. It reflects the broader economic cycle and plays a critical role in supporting growth through retail and corporate lending. We chose this sector due to its strong linkage to GDP expansion, rising credit demand, and rapid digitalization of financial services. Leading banks typically exhibit healthy balance sheets, stable net interest margins, and improving asset quality. The sector’s scale, regulatory support, and consistent earnings potential make it a strategic addition to a well-diversified portfolio.
</t>
  </si>
  <si>
    <t>💳Stocks of Banks🏦</t>
  </si>
  <si>
    <t xml:space="preserve"> Profitability 💸</t>
  </si>
  <si>
    <t>Net Interest Margin (NIM)</t>
  </si>
  <si>
    <t>Cost-to-Income (%)</t>
  </si>
  <si>
    <t>Provision for Credit Losses (PCL) (Cr)</t>
  </si>
  <si>
    <t>CASA Ratio</t>
  </si>
  <si>
    <t>Loan to Asset Ratio</t>
  </si>
  <si>
    <t>Loan-to-Deposit Ratios</t>
  </si>
  <si>
    <t>Gross NPA Ratio</t>
  </si>
  <si>
    <t>Capital Adequacy Ratio (CAR)</t>
  </si>
  <si>
    <t>Liquidity Coverage Ratio (LCR)</t>
  </si>
  <si>
    <t xml:space="preserve">Helpful for comparing profitability across banks, but earnings can be volatile due to provisioning swings.
</t>
  </si>
  <si>
    <t xml:space="preserve">Most critical valuation metric for banks, assets are financial, and book value closely reflects economic reality.
</t>
  </si>
  <si>
    <t xml:space="preserve">Adds context to P/E, though banks tend to grow steadily, not exponentially.
</t>
  </si>
  <si>
    <t xml:space="preserve">Size gives stability, brand trust, and deposit base, but fundamentals remain more important.
</t>
  </si>
  <si>
    <t xml:space="preserve">Key indicator of how well a bank uses its capital base, high ROE signals efficient lending.
</t>
  </si>
  <si>
    <t xml:space="preserve">Important for understanding how much profit is earned from the bank's asset base (loans, securities).
</t>
  </si>
  <si>
    <t xml:space="preserve">Reflects spread between lending and borrowing rates, central to banking operations.
</t>
  </si>
  <si>
    <t xml:space="preserve">Shows how well a bank controls operating costs, lower is better, but some costs are growth investments.
</t>
  </si>
  <si>
    <t xml:space="preserve">Indicates how much of earnings are consumed by bad loans, rising PCL is a red flag.
</t>
  </si>
  <si>
    <t xml:space="preserve">Less meaningful in banks, but still shows aggressive capital structuring.
</t>
  </si>
  <si>
    <t xml:space="preserve">Higher CASA = lower cost of funds, giving banks pricing power and higher NIM.
</t>
  </si>
  <si>
    <t xml:space="preserve">Indicates how much of the bank’s assets are loans (earning assets), helps assess risk and returns.
</t>
  </si>
  <si>
    <t xml:space="preserve">Higher LDR is better because it reflects more efficient use of deposits to generate income through lending, as long as it stays within safe regulatory limits.
</t>
  </si>
  <si>
    <t xml:space="preserve">Directly reflects health of loan book, higher NPA = higher risk of write-offs and weaker financials.
</t>
  </si>
  <si>
    <t xml:space="preserve">Regulatory requirement; higher CAR = more capacity to absorb shocks and grow lending.
</t>
  </si>
  <si>
    <t xml:space="preserve">Ensures the bank can survive a short-term funding crunch, especially relevant post-2008.
</t>
  </si>
  <si>
    <t xml:space="preserve">Useful for income, seeking investors, but less important for evaluating bank health/growth.
</t>
  </si>
  <si>
    <t>HDFC Bank</t>
  </si>
  <si>
    <t>ICICI Bank</t>
  </si>
  <si>
    <t>0.68 %</t>
  </si>
  <si>
    <t>State Bank of India (SBI)</t>
  </si>
  <si>
    <t>Axis Bank</t>
  </si>
  <si>
    <t>Bank of Baroda</t>
  </si>
  <si>
    <t>Why IT?</t>
  </si>
  <si>
    <t xml:space="preserve">India's IT sector is a global leader in software services, digital transformation, and outsourcing. It contributes significantly to GDP and export earnings. The sector has shown resilience during economic downturns and continues to grow through cloud services, AI, and enterprise digitalization. Market leaders in this sector deliver high return on equity, strong margins, and dividend payouts, making it an essential inclusion for both growth and stability.
</t>
  </si>
  <si>
    <t>📱Stocks of IT🖥️</t>
  </si>
  <si>
    <t>Net Profit Margin(Latest Quarter)</t>
  </si>
  <si>
    <t>Gross Margin(Latest Quarter GPM)</t>
  </si>
  <si>
    <t>Asset Turnover Ratio</t>
  </si>
  <si>
    <t>Inventory Turnover Ratio</t>
  </si>
  <si>
    <t xml:space="preserve">Current Ratio </t>
  </si>
  <si>
    <t>Operating Margin(Latest Quarter)</t>
  </si>
  <si>
    <t xml:space="preserve">A lower P/E indicates potential undervaluation. In the margin-rich, stable IT sector, a high weight rewards firms delivering strong earnings at reasonable prices.
</t>
  </si>
  <si>
    <t xml:space="preserve">IT firms are asset-light; book value may understate true worth, but it still helps identify overpriced stocks.
</t>
  </si>
  <si>
    <t xml:space="preserve">Helps normalize for varying capital structures across IT services and product companies.
</t>
  </si>
  <si>
    <t xml:space="preserve">Many IT firms have moderate to high growth; PEG provides a more complete valuation picture than P/E alone.
</t>
  </si>
  <si>
    <t xml:space="preserve">Larger IT firms often enjoy better client retention and pricing leverage. Scale also signals operational maturity.
</t>
  </si>
  <si>
    <t xml:space="preserve">High profit margins are typical in IT due to low variable costs; strong margins show efficiency and pricing power.
</t>
  </si>
  <si>
    <t xml:space="preserve">Useful, though less emphasized in asset-light models where equity bases are low.
</t>
  </si>
  <si>
    <t xml:space="preserve">Lower relevance since intangible-heavy IT firms don't rely on physical assets.
</t>
  </si>
  <si>
    <t xml:space="preserve">Important to understand cost efficiency, especially for product-based or SaaS firms.
</t>
  </si>
  <si>
    <t xml:space="preserve">Very low relevance in IT, since companies often have minimal physical assets and low capex.
</t>
  </si>
  <si>
    <t xml:space="preserve">Relevant mainly for hardware, product-based, or integrated IT firms (e.g., OEMs). Less so for pure services.
</t>
  </si>
  <si>
    <t xml:space="preserve">Moderate importance; most IT companies have healthy cash balances and low short-term liabilities.
</t>
  </si>
  <si>
    <t xml:space="preserve">IT companies are expected to maintain low debt. High leverage in this sector is a red flag.
</t>
  </si>
  <si>
    <t xml:space="preserve">Strong coverage ensures debt doesn’t strain operations; highly relevant when evaluating financially disciplined IT firms.
</t>
  </si>
  <si>
    <t xml:space="preserve">IT companies should maintain high operating margins to show scalability of delivery.
</t>
  </si>
  <si>
    <t xml:space="preserve">Many mature IT companies (e.g., Infosys, TCS) offer consistent dividends; important for income investors.
</t>
  </si>
  <si>
    <t>Persistent Systems Ltd</t>
  </si>
  <si>
    <t>94004 Cr.</t>
  </si>
  <si>
    <t>Tata Consultancy Services (TCS)</t>
  </si>
  <si>
    <t>1245020 Cr.</t>
  </si>
  <si>
    <t>Infosys</t>
  </si>
  <si>
    <t>668007 Cr.</t>
  </si>
  <si>
    <t>HCL Technologies</t>
  </si>
  <si>
    <t>467646 Cr.</t>
  </si>
  <si>
    <t>LTIMindtree Ltd</t>
  </si>
  <si>
    <t>156858 Cr.</t>
  </si>
  <si>
    <t>Why FMCG?</t>
  </si>
  <si>
    <t xml:space="preserve">The FMCG sector is known for its defensive nature and consistent demand, even in times of economic slowdown. It includes essential goods like food, hygiene, and personal care products. This ensures stable revenues and low volatility. Top FMCG companies benefit from powerful brand equity, strong distribution networks, and steady profitability. These characteristics make the sector ideal for balancing risk within a diversified portfolio.
</t>
  </si>
  <si>
    <t>Why we discarded it?</t>
  </si>
  <si>
    <t>🍷Stocks of FMCG🍫</t>
  </si>
  <si>
    <t xml:space="preserve">FMCG stocks are often richly valued due to consistent profits; P/E helps assess if they're overpriced.
</t>
  </si>
  <si>
    <t xml:space="preserve">Less important in FMCG where intangible assets (brands) dominate, but still helpful in comparing capital efficiency.
</t>
  </si>
  <si>
    <t xml:space="preserve">Useful for comparing FMCG firms with different depreciation methods and capital structures.
</t>
  </si>
  <si>
    <t xml:space="preserve">Growth is often modest but predictable; PEG adds perspective beyond P/E.
</t>
  </si>
  <si>
    <t xml:space="preserve">Larger FMCG firms have stronger distribution networks and pricing power, size adds resilience.
</t>
  </si>
  <si>
    <t xml:space="preserve">High margins show brand strength, pricing power, and cost control in a competitive space.
</t>
  </si>
  <si>
    <t xml:space="preserve">High ROE is expected in FMCG due to asset-light, brand-rich models; vital for investor appeal.
</t>
  </si>
  <si>
    <t xml:space="preserve">Important in FMCG to measure how well a company turns inventory and operations into profit.
</t>
  </si>
  <si>
    <t xml:space="preserve">Reflects pricing power and cost of goods sold, critical for assessing raw material impact.
</t>
  </si>
  <si>
    <t xml:space="preserve">High turnover is a hallmark of FMCG; reflects operational efficiency and demand cycle speed.
</t>
  </si>
  <si>
    <t xml:space="preserve">FMCG relies on fast-moving goods; this directly ties to liquidity and demand accuracy.
</t>
  </si>
  <si>
    <t xml:space="preserve">Important but typically healthy in FMCG due to strong cash flows and limited receivables.
</t>
  </si>
  <si>
    <t xml:space="preserve">FMCG companies are typically low-debt; high D/E is a red flag in an otherwise stable sector.
</t>
  </si>
  <si>
    <t xml:space="preserve">Less critical but supports D/E insights; confirms stability of earnings.
</t>
  </si>
  <si>
    <t xml:space="preserve">Indicates how efficiently the business turns sales into profit, key in low-margin products.
</t>
  </si>
  <si>
    <t xml:space="preserve">Many FMCG stocks are favorites among income investors; consistent dividends add attractiveness.
</t>
  </si>
  <si>
    <t>Hindustan Unilever (HUL)</t>
  </si>
  <si>
    <t>16.4 %</t>
  </si>
  <si>
    <t>20.7 %</t>
  </si>
  <si>
    <t>13.2 %</t>
  </si>
  <si>
    <t>51.4 %</t>
  </si>
  <si>
    <t>23.1 %</t>
  </si>
  <si>
    <t>1.86 %</t>
  </si>
  <si>
    <t>Nestlé India Ltd</t>
  </si>
  <si>
    <t>ITC Ltd</t>
  </si>
  <si>
    <t>Britannia Industries</t>
  </si>
  <si>
    <t>Varun Beverages (PepsiCo bottler)</t>
  </si>
  <si>
    <t>XAU/INR – Gold Price per Gram (INR)</t>
  </si>
  <si>
    <t>ICICI Bank Ltd
XNSE: ICICIBANK</t>
  </si>
  <si>
    <t xml:space="preserve">Indus Towers Ltd (INDUSTOWER.NS)
</t>
  </si>
  <si>
    <t>Hindustan Aeronautics Limited (HAL.NS)</t>
  </si>
  <si>
    <t>ITC Limited (ITC.NS)</t>
  </si>
  <si>
    <t>COVARIANCE MATRIX</t>
  </si>
  <si>
    <t>ICICI Bank Ltd</t>
  </si>
  <si>
    <t>Hindustan Aeronautics Limited</t>
  </si>
  <si>
    <t>CORRELATION MATRIX</t>
  </si>
  <si>
    <t>Date</t>
  </si>
  <si>
    <t>Open</t>
  </si>
  <si>
    <t>High</t>
  </si>
  <si>
    <t>Low</t>
  </si>
  <si>
    <t>Close</t>
  </si>
  <si>
    <t>Volume</t>
  </si>
  <si>
    <t>Daily Returns</t>
  </si>
  <si>
    <t>Standard Deviation</t>
  </si>
  <si>
    <t>Average Return</t>
  </si>
  <si>
    <t>Annual Return</t>
  </si>
  <si>
    <t>T-Bill RATE</t>
  </si>
  <si>
    <t>-</t>
  </si>
  <si>
    <t>EQUALLY WEIGHTED</t>
  </si>
  <si>
    <t>COMPANY</t>
  </si>
  <si>
    <t>Weights</t>
  </si>
  <si>
    <t>PORTFOLIO</t>
  </si>
  <si>
    <t>RETURN</t>
  </si>
  <si>
    <t>VARIANCE</t>
  </si>
  <si>
    <t>STANDARD DEVIATION</t>
  </si>
  <si>
    <t>STANDARD DEVIATION(%)</t>
  </si>
  <si>
    <t>SHARPE RATIO</t>
  </si>
  <si>
    <t>VALUES</t>
  </si>
  <si>
    <t>OPTIMAL WEIGHT</t>
  </si>
  <si>
    <t xml:space="preserve">EQUALLY WEIGHTED </t>
  </si>
  <si>
    <t>DATES</t>
  </si>
  <si>
    <t>Sorted Returns</t>
  </si>
  <si>
    <t xml:space="preserve">Replication </t>
  </si>
  <si>
    <t>Simulated Return</t>
  </si>
  <si>
    <t>HISTORICAL APPROACH</t>
  </si>
  <si>
    <t>MONTE CARLO APPROACH</t>
  </si>
  <si>
    <t>MEAN</t>
  </si>
  <si>
    <t>ST DEV</t>
  </si>
  <si>
    <t>MIN</t>
  </si>
  <si>
    <t>MAX</t>
  </si>
  <si>
    <t>PERCENTILE</t>
  </si>
  <si>
    <t>VAR%</t>
  </si>
  <si>
    <t>Indus Towers Ltd (INDUSTOWER.NS)</t>
  </si>
  <si>
    <t>_</t>
  </si>
  <si>
    <t xml:space="preserve">
Parag Parikh Flexi Cap Direct Growth (0P0000YWL1)
</t>
  </si>
  <si>
    <t>Nippon India Gold Savings Fund - Direct Plan - Growth (0P0000XVDS)</t>
  </si>
  <si>
    <t>Hdfc Flexi Cap Fund -direct Plan - Growth Option (0P0000XW77)</t>
  </si>
  <si>
    <t>Aditya Birla Sun Life Credit Risk Fund Direct Plan Growth (0P00015W8Y)</t>
  </si>
  <si>
    <t>Covariance Matrixof the Indices</t>
  </si>
  <si>
    <t>Correlation Matrix of the Indices</t>
  </si>
  <si>
    <t>Parag Parikh Flexi Cap Direct Growth (0P0000YWL1)</t>
  </si>
  <si>
    <t>Average Returns</t>
  </si>
  <si>
    <t>Annual Returns</t>
  </si>
  <si>
    <t>Price</t>
  </si>
  <si>
    <t>NIFTY NEXT 50</t>
  </si>
  <si>
    <t>Nifty 100</t>
  </si>
  <si>
    <t>Nifty 200</t>
  </si>
  <si>
    <t>Covariance Matrixof the Indices(in %)</t>
  </si>
  <si>
    <t>Equally Weighted Portfolio</t>
  </si>
  <si>
    <t>Optimal Weighted Portfolio</t>
  </si>
  <si>
    <t>Backtesting</t>
  </si>
  <si>
    <t>Observations</t>
  </si>
  <si>
    <t xml:space="preserve">The portfolio construction reflected a holistic and structured evaluation of five sectors including Telecom, Defence, IT, FMCG, and Banking, using industry-specific financial ratios with custom weightings and normalization techniques to ensure comparability. Stock selection was transparent and data-driven, with final picks such as Indus Towers, HAL, ICICI Bank, ITC, and TCS based on composite scores rather than subjective judgment. Methodological gaps, such as missing inventory turnover data, were clearly acknowledged and appropriately addressed. Diversification was strengthened through the inclusion of gold (XAU/INR) as a non-correlated asset, enhancing portfolio defensiveness and improving the Sharpe Ratio. Empirical backtesting for May 2025 confirmed robustness, as the portfolio remained risk-efficient despite a decline in Sharpe from 2.52 to 1.90, illustrating the gap between optimized models and real-world outcomes. The index-based mutual fund portfolio, particularly due to a high allocation to Aditya Birla Credit Risk Fund, achieved superior risk-adjusted returns with a Sharpe Ratio of 5.73. Advanced analytical tools like Excel Solver, correlation, and covariance matrices were used effectively, not only for computation but also to inform strategic portfolio decisions.
</t>
  </si>
  <si>
    <t>Final Conclusions</t>
  </si>
  <si>
    <t>Portfolio optimization significantly enhanced efficiency, with Sharpe Ratios rising from 1.28 to 2.52 for stocks and from 2.09 to 3.27 for indices/mutual funds, highlighting the power of quantitative tools in improving risk-adjusted returns. While sectoral diversification reduced correlation within the stock portfolio, it also introduced volatility, whereas asset-class diversification through gold and credit funds proved more effective in mitigating risk, particularly during short-term fluctuations. Backtesting reinforced that even well-optimized portfolios are vulnerable to real-world uncertainties, such as sector-specific shocks and macroeconomic shifts, emphasizing the importance of ongoing monitoring and rebalancing. The mutual fund portfolio, despite lower absolute returns, delivered lower volatility and higher risk-adjusted performance, making it more suitable for conservative or retirement-focused investors. These insights suggest that a hybrid strategy, blending high-performing stocks with stable mutual funds and gold, could provide a balanced and adaptable framework for future portfolios, especially when guided by tactical adjustments and macroeconomic trends.</t>
  </si>
</sst>
</file>

<file path=xl/styles.xml><?xml version="1.0" encoding="utf-8"?>
<styleSheet xmlns="http://schemas.openxmlformats.org/spreadsheetml/2006/main" xmlns:x14ac="http://schemas.microsoft.com/office/spreadsheetml/2009/9/ac" xmlns:mc="http://schemas.openxmlformats.org/markup-compatibility/2006">
  <numFmts count="14">
    <numFmt numFmtId="164" formatCode="0.0%"/>
    <numFmt numFmtId="165" formatCode="0.0000000"/>
    <numFmt numFmtId="166" formatCode="m/d/yyyy\ h:mm:ss"/>
    <numFmt numFmtId="167" formatCode="m/d/yyyy"/>
    <numFmt numFmtId="168" formatCode="#,##0.00000000000"/>
    <numFmt numFmtId="169" formatCode="0.000000"/>
    <numFmt numFmtId="170" formatCode="0.00000"/>
    <numFmt numFmtId="171" formatCode="mmmm d, yyyy"/>
    <numFmt numFmtId="172" formatCode="m/d/yyyy h:mm:ss"/>
    <numFmt numFmtId="173" formatCode="#,##0.000000000"/>
    <numFmt numFmtId="174" formatCode="mmm dd, yyyy"/>
    <numFmt numFmtId="175" formatCode="mmm d, yyyy"/>
    <numFmt numFmtId="176" formatCode="mmmm dd, yyyy"/>
    <numFmt numFmtId="177" formatCode="yyyy-mm-dd"/>
  </numFmts>
  <fonts count="41">
    <font>
      <sz val="10.0"/>
      <color rgb="FF000000"/>
      <name val="Arial"/>
      <scheme val="minor"/>
    </font>
    <font>
      <sz val="52.0"/>
      <color theme="1"/>
      <name val="Times New Roman"/>
    </font>
    <font>
      <color theme="1"/>
      <name val="Times New Roman"/>
    </font>
    <font>
      <b/>
      <sz val="47.0"/>
      <color theme="1"/>
      <name val="Times New Roman"/>
    </font>
    <font/>
    <font>
      <b/>
      <color theme="1"/>
      <name val="Times New Roman"/>
    </font>
    <font>
      <b/>
      <sz val="15.0"/>
      <color theme="1"/>
      <name val="Times New Roman"/>
    </font>
    <font>
      <sz val="10.0"/>
      <color theme="1"/>
      <name val="Times New Roman"/>
    </font>
    <font>
      <color theme="1"/>
      <name val="Arial"/>
    </font>
    <font>
      <b/>
      <sz val="24.0"/>
      <color theme="1"/>
      <name val="Times New Roman"/>
    </font>
    <font>
      <b/>
      <sz val="14.0"/>
      <color theme="1"/>
      <name val="Times New Roman"/>
    </font>
    <font>
      <b/>
      <sz val="33.0"/>
      <color theme="1"/>
      <name val="Times New Roman"/>
    </font>
    <font>
      <b/>
      <sz val="12.0"/>
      <color theme="1"/>
      <name val="Times New Roman"/>
    </font>
    <font>
      <sz val="12.0"/>
      <color theme="1"/>
      <name val="Times New Roman"/>
    </font>
    <font>
      <b/>
      <sz val="30.0"/>
      <color theme="1"/>
      <name val="Times New Roman"/>
    </font>
    <font>
      <b/>
      <sz val="42.0"/>
      <color theme="1"/>
      <name val="Times New Roman"/>
    </font>
    <font>
      <sz val="12.0"/>
      <color rgb="FF242424"/>
      <name val="Times New Roman"/>
    </font>
    <font>
      <b/>
      <sz val="43.0"/>
      <color theme="1"/>
      <name val="Times New Roman"/>
    </font>
    <font>
      <sz val="12.0"/>
      <color theme="1"/>
      <name val="Arial"/>
    </font>
    <font>
      <b/>
      <sz val="14.0"/>
      <color rgb="FF000000"/>
      <name val="Times New Roman"/>
    </font>
    <font>
      <sz val="10.0"/>
      <color theme="1"/>
      <name val="Arial"/>
    </font>
    <font>
      <sz val="11.0"/>
      <color rgb="FF000000"/>
      <name val="Quote-cjk-patch"/>
    </font>
    <font>
      <sz val="14.0"/>
      <color rgb="FF000000"/>
      <name val="Arial"/>
    </font>
    <font>
      <sz val="10.0"/>
      <color rgb="FF000000"/>
      <name val="Arial"/>
    </font>
    <font>
      <b/>
      <color theme="1"/>
      <name val="Arial"/>
    </font>
    <font>
      <b/>
      <sz val="10.0"/>
      <color theme="1"/>
      <name val="Arial"/>
    </font>
    <font>
      <color theme="1"/>
      <name val="Arial"/>
      <scheme val="minor"/>
    </font>
    <font>
      <b/>
      <sz val="12.0"/>
      <color theme="0"/>
      <name val="Arial"/>
      <scheme val="minor"/>
    </font>
    <font>
      <b/>
      <color theme="0"/>
      <name val="Arial"/>
      <scheme val="minor"/>
    </font>
    <font>
      <sz val="11.0"/>
      <color rgb="FF000000"/>
      <name val="Arial"/>
    </font>
    <font>
      <color rgb="FF000000"/>
      <name val="Arial"/>
    </font>
    <font>
      <b/>
      <sz val="40.0"/>
      <color theme="1"/>
      <name val="Arial"/>
    </font>
    <font>
      <b/>
      <sz val="37.0"/>
      <color theme="1"/>
      <name val="Arial"/>
    </font>
    <font>
      <b/>
      <sz val="35.0"/>
      <color theme="1"/>
      <name val="Arial"/>
    </font>
    <font>
      <b/>
      <sz val="28.0"/>
      <color theme="1"/>
      <name val="Times New Roman"/>
    </font>
    <font>
      <sz val="14.0"/>
      <color theme="1"/>
      <name val="Times New Roman"/>
    </font>
    <font>
      <color theme="1"/>
      <name val="FkGroteskNeue"/>
    </font>
    <font>
      <b/>
      <sz val="12.0"/>
      <color rgb="FF000000"/>
      <name val="Times New Roman"/>
    </font>
    <font>
      <sz val="12.0"/>
      <color rgb="FF000000"/>
      <name val="Times New Roman"/>
    </font>
    <font>
      <sz val="14.0"/>
      <color theme="1"/>
      <name val="Arial"/>
    </font>
    <font>
      <sz val="30.0"/>
      <color theme="1"/>
      <name val="Times New Roman"/>
    </font>
  </fonts>
  <fills count="31">
    <fill>
      <patternFill patternType="none"/>
    </fill>
    <fill>
      <patternFill patternType="lightGray"/>
    </fill>
    <fill>
      <patternFill patternType="solid">
        <fgColor rgb="FFA64D79"/>
        <bgColor rgb="FFA64D79"/>
      </patternFill>
    </fill>
    <fill>
      <patternFill patternType="solid">
        <fgColor rgb="FFFFFFFF"/>
        <bgColor rgb="FFFFFFFF"/>
      </patternFill>
    </fill>
    <fill>
      <patternFill patternType="solid">
        <fgColor rgb="FFCFE2F3"/>
        <bgColor rgb="FFCFE2F3"/>
      </patternFill>
    </fill>
    <fill>
      <patternFill patternType="solid">
        <fgColor rgb="FFD5A6BD"/>
        <bgColor rgb="FFD5A6BD"/>
      </patternFill>
    </fill>
    <fill>
      <patternFill patternType="solid">
        <fgColor rgb="FF674EA7"/>
        <bgColor rgb="FF674EA7"/>
      </patternFill>
    </fill>
    <fill>
      <patternFill patternType="solid">
        <fgColor rgb="FFB4A7D6"/>
        <bgColor rgb="FFB4A7D6"/>
      </patternFill>
    </fill>
    <fill>
      <patternFill patternType="solid">
        <fgColor rgb="FFD9D2E9"/>
        <bgColor rgb="FFD9D2E9"/>
      </patternFill>
    </fill>
    <fill>
      <patternFill patternType="solid">
        <fgColor rgb="FF6AA84F"/>
        <bgColor rgb="FF6AA84F"/>
      </patternFill>
    </fill>
    <fill>
      <patternFill patternType="solid">
        <fgColor rgb="FFD9EAD3"/>
        <bgColor rgb="FFD9EAD3"/>
      </patternFill>
    </fill>
    <fill>
      <patternFill patternType="solid">
        <fgColor rgb="FFF1C232"/>
        <bgColor rgb="FFF1C232"/>
      </patternFill>
    </fill>
    <fill>
      <patternFill patternType="solid">
        <fgColor rgb="FFFFF2CC"/>
        <bgColor rgb="FFFFF2CC"/>
      </patternFill>
    </fill>
    <fill>
      <patternFill patternType="solid">
        <fgColor rgb="FF1155CC"/>
        <bgColor rgb="FF1155CC"/>
      </patternFill>
    </fill>
    <fill>
      <patternFill patternType="solid">
        <fgColor rgb="FFA4C2F4"/>
        <bgColor rgb="FFA4C2F4"/>
      </patternFill>
    </fill>
    <fill>
      <patternFill patternType="solid">
        <fgColor rgb="FF3C78D8"/>
        <bgColor rgb="FF3C78D8"/>
      </patternFill>
    </fill>
    <fill>
      <patternFill patternType="solid">
        <fgColor rgb="FFF7CB4D"/>
        <bgColor rgb="FFF7CB4D"/>
      </patternFill>
    </fill>
    <fill>
      <patternFill patternType="solid">
        <fgColor rgb="FF93C47D"/>
        <bgColor rgb="FF93C47D"/>
      </patternFill>
    </fill>
    <fill>
      <patternFill patternType="solid">
        <fgColor rgb="FFC27BA0"/>
        <bgColor rgb="FFC27BA0"/>
      </patternFill>
    </fill>
    <fill>
      <patternFill patternType="solid">
        <fgColor rgb="FF8E7CC3"/>
        <bgColor rgb="FF8E7CC3"/>
      </patternFill>
    </fill>
    <fill>
      <patternFill patternType="solid">
        <fgColor rgb="FF6D9EEB"/>
        <bgColor rgb="FF6D9EEB"/>
      </patternFill>
    </fill>
    <fill>
      <patternFill patternType="solid">
        <fgColor rgb="FFF9CB9C"/>
        <bgColor rgb="FFF9CB9C"/>
      </patternFill>
    </fill>
    <fill>
      <patternFill patternType="solid">
        <fgColor rgb="FFEAD1DC"/>
        <bgColor rgb="FFEAD1DC"/>
      </patternFill>
    </fill>
    <fill>
      <patternFill patternType="solid">
        <fgColor rgb="FFA2C4C9"/>
        <bgColor rgb="FFA2C4C9"/>
      </patternFill>
    </fill>
    <fill>
      <patternFill patternType="solid">
        <fgColor rgb="FFB6D7A8"/>
        <bgColor rgb="FFB6D7A8"/>
      </patternFill>
    </fill>
    <fill>
      <patternFill patternType="solid">
        <fgColor rgb="FF8989EB"/>
        <bgColor rgb="FF8989EB"/>
      </patternFill>
    </fill>
    <fill>
      <patternFill patternType="solid">
        <fgColor rgb="FF5B95F9"/>
        <bgColor rgb="FF5B95F9"/>
      </patternFill>
    </fill>
    <fill>
      <patternFill patternType="solid">
        <fgColor rgb="FF8BC34A"/>
        <bgColor rgb="FF8BC34A"/>
      </patternFill>
    </fill>
    <fill>
      <patternFill patternType="solid">
        <fgColor theme="9"/>
        <bgColor theme="9"/>
      </patternFill>
    </fill>
    <fill>
      <patternFill patternType="solid">
        <fgColor rgb="FF292A2D"/>
        <bgColor rgb="FF292A2D"/>
      </patternFill>
    </fill>
    <fill>
      <patternFill patternType="solid">
        <fgColor theme="0"/>
        <bgColor theme="0"/>
      </patternFill>
    </fill>
  </fills>
  <borders count="41">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
      <right style="thin">
        <color rgb="FF000000"/>
      </right>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bottom style="thin">
        <color rgb="FF000000"/>
      </bottom>
    </border>
    <border>
      <bottom style="thin">
        <color rgb="FF000000"/>
      </bottom>
    </border>
    <border>
      <left style="thin">
        <color rgb="FFE5E7EB"/>
      </left>
      <top style="thin">
        <color rgb="FFE5E7EB"/>
      </top>
      <bottom style="thin">
        <color rgb="FFE5E7EB"/>
      </bottom>
    </border>
    <border>
      <left style="medium">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style="medium">
        <color rgb="FF000000"/>
      </bottom>
    </border>
    <border>
      <left/>
      <right/>
      <top/>
      <bottom/>
    </border>
    <border>
      <right/>
      <top/>
      <bottom/>
    </border>
    <border>
      <left/>
      <top/>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ck">
        <color rgb="FF000000"/>
      </left>
      <right style="thick">
        <color rgb="FF000000"/>
      </right>
      <top style="thick">
        <color rgb="FF000000"/>
      </top>
      <bottom style="thick">
        <color rgb="FF000000"/>
      </bottom>
    </border>
    <border>
      <left style="thin">
        <color rgb="FF000000"/>
      </left>
      <right/>
      <top/>
      <bottom/>
    </border>
    <border>
      <left/>
      <right style="thin">
        <color rgb="FF000000"/>
      </right>
      <top/>
      <bottom/>
    </border>
    <border>
      <left/>
      <right/>
      <bottom/>
    </border>
    <border>
      <left/>
      <right/>
      <top/>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s>
  <cellStyleXfs count="1">
    <xf borderId="0" fillId="0" fontId="0" numFmtId="0" applyAlignment="1" applyFont="1"/>
  </cellStyleXfs>
  <cellXfs count="417">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2" numFmtId="0" xfId="0" applyAlignment="1" applyFont="1">
      <alignment horizontal="center" shrinkToFit="0" vertical="center" wrapText="1"/>
    </xf>
    <xf borderId="1" fillId="2" fontId="3" numFmtId="0" xfId="0" applyAlignment="1" applyBorder="1" applyFill="1" applyFont="1">
      <alignment horizontal="center" shrinkToFit="0" vertical="center" wrapText="1"/>
    </xf>
    <xf borderId="2" fillId="0" fontId="4" numFmtId="0" xfId="0" applyBorder="1" applyFont="1"/>
    <xf borderId="3" fillId="0" fontId="4" numFmtId="0" xfId="0" applyBorder="1" applyFont="1"/>
    <xf borderId="4" fillId="0" fontId="4" numFmtId="0" xfId="0" applyBorder="1" applyFont="1"/>
    <xf borderId="5" fillId="0" fontId="4" numFmtId="0" xfId="0" applyBorder="1" applyFont="1"/>
    <xf borderId="6" fillId="0" fontId="4" numFmtId="0" xfId="0" applyBorder="1" applyFont="1"/>
    <xf borderId="7" fillId="0" fontId="4" numFmtId="0" xfId="0" applyBorder="1" applyFont="1"/>
    <xf borderId="8" fillId="0" fontId="4" numFmtId="0" xfId="0" applyBorder="1" applyFont="1"/>
    <xf borderId="9" fillId="0" fontId="5" numFmtId="0" xfId="0" applyAlignment="1" applyBorder="1" applyFont="1">
      <alignment horizontal="center" shrinkToFit="0" vertical="center" wrapText="1"/>
    </xf>
    <xf borderId="10" fillId="0" fontId="4" numFmtId="0" xfId="0" applyBorder="1" applyFont="1"/>
    <xf borderId="9" fillId="0" fontId="6" numFmtId="0" xfId="0" applyAlignment="1" applyBorder="1" applyFont="1">
      <alignment horizontal="center" shrinkToFit="0" vertical="center" wrapText="1"/>
    </xf>
    <xf borderId="11" fillId="0" fontId="4" numFmtId="0" xfId="0" applyBorder="1" applyFont="1"/>
    <xf borderId="12" fillId="0" fontId="5" numFmtId="0" xfId="0" applyAlignment="1" applyBorder="1" applyFont="1">
      <alignment horizontal="center" shrinkToFit="0" vertical="center" wrapText="1"/>
    </xf>
    <xf borderId="13" fillId="0" fontId="2" numFmtId="0" xfId="0" applyAlignment="1" applyBorder="1" applyFont="1">
      <alignment horizontal="center" shrinkToFit="0" vertical="center" wrapText="1"/>
    </xf>
    <xf borderId="14" fillId="0" fontId="2" numFmtId="0" xfId="0" applyAlignment="1" applyBorder="1" applyFont="1">
      <alignment horizontal="center" shrinkToFit="0" vertical="center" wrapText="1"/>
    </xf>
    <xf borderId="15" fillId="0" fontId="5" numFmtId="0" xfId="0" applyAlignment="1" applyBorder="1" applyFont="1">
      <alignment horizontal="center" shrinkToFit="0" vertical="center" wrapText="1"/>
    </xf>
    <xf borderId="16" fillId="0" fontId="7" numFmtId="0" xfId="0" applyAlignment="1" applyBorder="1" applyFont="1">
      <alignment horizontal="left" shrinkToFit="0" vertical="center" wrapText="1"/>
    </xf>
    <xf borderId="17" fillId="0" fontId="4" numFmtId="0" xfId="0" applyBorder="1" applyFont="1"/>
    <xf borderId="18" fillId="0" fontId="4" numFmtId="0" xfId="0" applyBorder="1" applyFont="1"/>
    <xf borderId="13" fillId="0" fontId="4" numFmtId="0" xfId="0" applyBorder="1" applyFont="1"/>
    <xf borderId="19" fillId="0" fontId="4" numFmtId="0" xfId="0" applyBorder="1" applyFont="1"/>
    <xf borderId="14" fillId="0" fontId="4" numFmtId="0" xfId="0" applyBorder="1" applyFont="1"/>
    <xf borderId="20" fillId="0" fontId="2" numFmtId="0" xfId="0" applyAlignment="1" applyBorder="1" applyFont="1">
      <alignment horizontal="center" shrinkToFit="0" vertical="center" wrapText="1"/>
    </xf>
    <xf borderId="21" fillId="0" fontId="2" numFmtId="0" xfId="0" applyAlignment="1" applyBorder="1" applyFont="1">
      <alignment horizontal="center" shrinkToFit="0" vertical="center" wrapText="1"/>
    </xf>
    <xf borderId="20" fillId="0" fontId="4" numFmtId="0" xfId="0" applyBorder="1" applyFont="1"/>
    <xf borderId="22" fillId="0" fontId="4" numFmtId="0" xfId="0" applyBorder="1" applyFont="1"/>
    <xf borderId="23" fillId="0" fontId="4" numFmtId="0" xfId="0" applyBorder="1" applyFont="1"/>
    <xf borderId="21" fillId="0" fontId="4" numFmtId="0" xfId="0" applyBorder="1" applyFont="1"/>
    <xf borderId="16" fillId="0" fontId="2" numFmtId="0" xfId="0" applyAlignment="1" applyBorder="1" applyFont="1">
      <alignment horizontal="left" shrinkToFit="0" vertical="center" wrapText="1"/>
    </xf>
    <xf borderId="0" fillId="3" fontId="8" numFmtId="0" xfId="0" applyFill="1" applyFont="1"/>
    <xf borderId="16" fillId="4" fontId="9" numFmtId="0" xfId="0" applyAlignment="1" applyBorder="1" applyFill="1" applyFont="1">
      <alignment horizontal="center" shrinkToFit="0" wrapText="1"/>
    </xf>
    <xf borderId="12" fillId="3" fontId="2" numFmtId="0" xfId="0" applyAlignment="1" applyBorder="1" applyFont="1">
      <alignment horizontal="center" shrinkToFit="0" wrapText="1"/>
    </xf>
    <xf borderId="9" fillId="3" fontId="2" numFmtId="0" xfId="0" applyAlignment="1" applyBorder="1" applyFont="1">
      <alignment shrinkToFit="0" wrapText="1"/>
    </xf>
    <xf borderId="12" fillId="2" fontId="10" numFmtId="0" xfId="0" applyAlignment="1" applyBorder="1" applyFont="1">
      <alignment horizontal="center" shrinkToFit="0" wrapText="1"/>
    </xf>
    <xf borderId="9" fillId="3" fontId="5" numFmtId="0" xfId="0" applyAlignment="1" applyBorder="1" applyFont="1">
      <alignment shrinkToFit="0" wrapText="1"/>
    </xf>
    <xf borderId="1" fillId="2" fontId="11" numFmtId="0" xfId="0" applyAlignment="1" applyBorder="1" applyFont="1">
      <alignment horizontal="center" shrinkToFit="0" wrapText="1"/>
    </xf>
    <xf borderId="0" fillId="0" fontId="8" numFmtId="0" xfId="0" applyFont="1"/>
    <xf borderId="19" fillId="0" fontId="8" numFmtId="0" xfId="0" applyBorder="1" applyFont="1"/>
    <xf borderId="14" fillId="0" fontId="8" numFmtId="0" xfId="0" applyBorder="1" applyFont="1"/>
    <xf borderId="16" fillId="5" fontId="10" numFmtId="0" xfId="0" applyAlignment="1" applyBorder="1" applyFill="1" applyFont="1">
      <alignment horizontal="center" shrinkToFit="0" wrapText="1"/>
    </xf>
    <xf borderId="9" fillId="5" fontId="10" numFmtId="0" xfId="0" applyAlignment="1" applyBorder="1" applyFont="1">
      <alignment horizontal="center" shrinkToFit="0" wrapText="1"/>
    </xf>
    <xf borderId="12" fillId="5" fontId="10" numFmtId="0" xfId="0" applyAlignment="1" applyBorder="1" applyFont="1">
      <alignment horizontal="center" shrinkToFit="0" wrapText="1"/>
    </xf>
    <xf borderId="19" fillId="0" fontId="10" numFmtId="0" xfId="0" applyAlignment="1" applyBorder="1" applyFont="1">
      <alignment horizontal="center" shrinkToFit="0" wrapText="1"/>
    </xf>
    <xf borderId="16" fillId="0" fontId="12" numFmtId="0" xfId="0" applyAlignment="1" applyBorder="1" applyFont="1">
      <alignment horizontal="center" shrinkToFit="0" wrapText="1"/>
    </xf>
    <xf borderId="17" fillId="0" fontId="12" numFmtId="0" xfId="0" applyAlignment="1" applyBorder="1" applyFont="1">
      <alignment horizontal="center" shrinkToFit="0" wrapText="1"/>
    </xf>
    <xf borderId="0" fillId="0" fontId="12" numFmtId="0" xfId="0" applyAlignment="1" applyFont="1">
      <alignment horizontal="center" shrinkToFit="0" wrapText="1"/>
    </xf>
    <xf borderId="13" fillId="0" fontId="8" numFmtId="0" xfId="0" applyBorder="1" applyFont="1"/>
    <xf borderId="19" fillId="0" fontId="13" numFmtId="10" xfId="0" applyAlignment="1" applyBorder="1" applyFont="1" applyNumberFormat="1">
      <alignment horizontal="center" shrinkToFit="0" wrapText="1"/>
    </xf>
    <xf borderId="0" fillId="0" fontId="13" numFmtId="10" xfId="0" applyAlignment="1" applyFont="1" applyNumberFormat="1">
      <alignment horizontal="center" shrinkToFit="0" wrapText="1"/>
    </xf>
    <xf borderId="22" fillId="0" fontId="2" numFmtId="0" xfId="0" applyAlignment="1" applyBorder="1" applyFont="1">
      <alignment horizontal="center" shrinkToFit="0" wrapText="1"/>
    </xf>
    <xf borderId="23" fillId="0" fontId="2" numFmtId="0" xfId="0" applyAlignment="1" applyBorder="1" applyFont="1">
      <alignment horizontal="center" shrinkToFit="0" wrapText="1"/>
    </xf>
    <xf borderId="19" fillId="0" fontId="2" numFmtId="0" xfId="0" applyAlignment="1" applyBorder="1" applyFont="1">
      <alignment horizontal="center" shrinkToFit="0" wrapText="1"/>
    </xf>
    <xf borderId="0" fillId="0" fontId="2" numFmtId="0" xfId="0" applyAlignment="1" applyFont="1">
      <alignment horizontal="center" shrinkToFit="0" wrapText="1"/>
    </xf>
    <xf borderId="19" fillId="3" fontId="8" numFmtId="0" xfId="0" applyBorder="1" applyFont="1"/>
    <xf borderId="9" fillId="3" fontId="13" numFmtId="0" xfId="0" applyAlignment="1" applyBorder="1" applyFont="1">
      <alignment horizontal="center" shrinkToFit="0" wrapText="1"/>
    </xf>
    <xf borderId="10" fillId="3" fontId="13" numFmtId="0" xfId="0" applyAlignment="1" applyBorder="1" applyFont="1">
      <alignment horizontal="center" shrinkToFit="0" wrapText="1"/>
    </xf>
    <xf borderId="11" fillId="3" fontId="13" numFmtId="0" xfId="0" applyAlignment="1" applyBorder="1" applyFont="1">
      <alignment horizontal="center" shrinkToFit="0" wrapText="1"/>
    </xf>
    <xf borderId="24" fillId="0" fontId="8" numFmtId="0" xfId="0" applyBorder="1" applyFont="1"/>
    <xf borderId="19" fillId="0" fontId="13" numFmtId="0" xfId="0" applyAlignment="1" applyBorder="1" applyFont="1">
      <alignment horizontal="center" shrinkToFit="0" wrapText="1"/>
    </xf>
    <xf borderId="14" fillId="0" fontId="13" numFmtId="0" xfId="0" applyAlignment="1" applyBorder="1" applyFont="1">
      <alignment horizontal="center" shrinkToFit="0" wrapText="1"/>
    </xf>
    <xf borderId="0" fillId="0" fontId="13" numFmtId="0" xfId="0" applyAlignment="1" applyFont="1">
      <alignment horizontal="center" shrinkToFit="0" wrapText="1"/>
    </xf>
    <xf borderId="15" fillId="0" fontId="13" numFmtId="0" xfId="0" applyAlignment="1" applyBorder="1" applyFont="1">
      <alignment horizontal="center" shrinkToFit="0" wrapText="1"/>
    </xf>
    <xf borderId="25" fillId="2" fontId="12" numFmtId="0" xfId="0" applyAlignment="1" applyBorder="1" applyFont="1">
      <alignment horizontal="center" shrinkToFit="0" wrapText="1"/>
    </xf>
    <xf borderId="13" fillId="0" fontId="13" numFmtId="0" xfId="0" applyAlignment="1" applyBorder="1" applyFont="1">
      <alignment horizontal="center" shrinkToFit="0" wrapText="1"/>
    </xf>
    <xf borderId="0" fillId="3" fontId="8" numFmtId="10" xfId="0" applyFont="1" applyNumberFormat="1"/>
    <xf borderId="22" fillId="0" fontId="10" numFmtId="0" xfId="0" applyAlignment="1" applyBorder="1" applyFont="1">
      <alignment horizontal="center" shrinkToFit="0" wrapText="1"/>
    </xf>
    <xf borderId="23" fillId="0" fontId="8" numFmtId="0" xfId="0" applyBorder="1" applyFont="1"/>
    <xf borderId="22" fillId="0" fontId="13" numFmtId="0" xfId="0" applyAlignment="1" applyBorder="1" applyFont="1">
      <alignment horizontal="center" shrinkToFit="0" wrapText="1"/>
    </xf>
    <xf borderId="21" fillId="0" fontId="13" numFmtId="0" xfId="0" applyAlignment="1" applyBorder="1" applyFont="1">
      <alignment horizontal="center" shrinkToFit="0" wrapText="1"/>
    </xf>
    <xf borderId="23" fillId="0" fontId="13" numFmtId="0" xfId="0" applyAlignment="1" applyBorder="1" applyFont="1">
      <alignment horizontal="center" shrinkToFit="0" wrapText="1"/>
    </xf>
    <xf borderId="20" fillId="0" fontId="13" numFmtId="0" xfId="0" applyAlignment="1" applyBorder="1" applyFont="1">
      <alignment horizontal="center" shrinkToFit="0" wrapText="1"/>
    </xf>
    <xf borderId="12" fillId="6" fontId="10" numFmtId="0" xfId="0" applyAlignment="1" applyBorder="1" applyFill="1" applyFont="1">
      <alignment horizontal="center" shrinkToFit="0" wrapText="1"/>
    </xf>
    <xf borderId="9" fillId="0" fontId="2" numFmtId="0" xfId="0" applyAlignment="1" applyBorder="1" applyFont="1">
      <alignment shrinkToFit="0" wrapText="1"/>
    </xf>
    <xf borderId="1" fillId="6" fontId="14" numFmtId="0" xfId="0" applyAlignment="1" applyBorder="1" applyFont="1">
      <alignment horizontal="center" shrinkToFit="0" wrapText="1"/>
    </xf>
    <xf borderId="9" fillId="7" fontId="10" numFmtId="0" xfId="0" applyAlignment="1" applyBorder="1" applyFill="1" applyFont="1">
      <alignment horizontal="center" shrinkToFit="0" wrapText="1"/>
    </xf>
    <xf borderId="12" fillId="8" fontId="10" numFmtId="0" xfId="0" applyAlignment="1" applyBorder="1" applyFill="1" applyFont="1">
      <alignment horizontal="center" shrinkToFit="0" wrapText="1"/>
    </xf>
    <xf borderId="19" fillId="3" fontId="10" numFmtId="0" xfId="0" applyAlignment="1" applyBorder="1" applyFont="1">
      <alignment horizontal="center" shrinkToFit="0" wrapText="1"/>
    </xf>
    <xf borderId="16" fillId="3" fontId="12" numFmtId="0" xfId="0" applyAlignment="1" applyBorder="1" applyFont="1">
      <alignment horizontal="center" shrinkToFit="0" wrapText="1"/>
    </xf>
    <xf borderId="0" fillId="3" fontId="12" numFmtId="0" xfId="0" applyAlignment="1" applyFont="1">
      <alignment horizontal="center" shrinkToFit="0" wrapText="1"/>
    </xf>
    <xf borderId="17" fillId="3" fontId="12" numFmtId="0" xfId="0" applyAlignment="1" applyBorder="1" applyFont="1">
      <alignment horizontal="center" shrinkToFit="0" wrapText="1"/>
    </xf>
    <xf borderId="13" fillId="3" fontId="8" numFmtId="0" xfId="0" applyBorder="1" applyFont="1"/>
    <xf borderId="19" fillId="3" fontId="13" numFmtId="10" xfId="0" applyAlignment="1" applyBorder="1" applyFont="1" applyNumberFormat="1">
      <alignment horizontal="center" shrinkToFit="0" wrapText="1"/>
    </xf>
    <xf borderId="0" fillId="3" fontId="13" numFmtId="10" xfId="0" applyAlignment="1" applyFont="1" applyNumberFormat="1">
      <alignment horizontal="center" shrinkToFit="0" wrapText="1"/>
    </xf>
    <xf borderId="19" fillId="3" fontId="2" numFmtId="0" xfId="0" applyAlignment="1" applyBorder="1" applyFont="1">
      <alignment horizontal="center" shrinkToFit="0" wrapText="1"/>
    </xf>
    <xf borderId="22" fillId="3" fontId="2" numFmtId="0" xfId="0" applyAlignment="1" applyBorder="1" applyFont="1">
      <alignment horizontal="center" shrinkToFit="0" wrapText="1"/>
    </xf>
    <xf borderId="0" fillId="3" fontId="2" numFmtId="0" xfId="0" applyAlignment="1" applyFont="1">
      <alignment horizontal="center" shrinkToFit="0" wrapText="1"/>
    </xf>
    <xf borderId="19" fillId="3" fontId="13" numFmtId="0" xfId="0" applyAlignment="1" applyBorder="1" applyFont="1">
      <alignment horizontal="center" shrinkToFit="0" wrapText="1"/>
    </xf>
    <xf borderId="0" fillId="3" fontId="13" numFmtId="0" xfId="0" applyAlignment="1" applyFont="1">
      <alignment horizontal="center" shrinkToFit="0" wrapText="1"/>
    </xf>
    <xf borderId="0" fillId="3" fontId="13" numFmtId="3" xfId="0" applyAlignment="1" applyFont="1" applyNumberFormat="1">
      <alignment horizontal="center" shrinkToFit="0" wrapText="1"/>
    </xf>
    <xf borderId="25" fillId="6" fontId="12" numFmtId="0" xfId="0" applyAlignment="1" applyBorder="1" applyFont="1">
      <alignment horizontal="center" shrinkToFit="0" wrapText="1"/>
    </xf>
    <xf borderId="22" fillId="3" fontId="10" numFmtId="0" xfId="0" applyAlignment="1" applyBorder="1" applyFont="1">
      <alignment horizontal="center" shrinkToFit="0" wrapText="1"/>
    </xf>
    <xf borderId="23" fillId="3" fontId="8" numFmtId="0" xfId="0" applyBorder="1" applyFont="1"/>
    <xf borderId="22" fillId="3" fontId="13" numFmtId="0" xfId="0" applyAlignment="1" applyBorder="1" applyFont="1">
      <alignment horizontal="center" shrinkToFit="0" wrapText="1"/>
    </xf>
    <xf borderId="23" fillId="3" fontId="13" numFmtId="0" xfId="0" applyAlignment="1" applyBorder="1" applyFont="1">
      <alignment horizontal="center" shrinkToFit="0" wrapText="1"/>
    </xf>
    <xf borderId="22" fillId="3" fontId="13" numFmtId="10" xfId="0" applyAlignment="1" applyBorder="1" applyFont="1" applyNumberFormat="1">
      <alignment horizontal="center" shrinkToFit="0" wrapText="1"/>
    </xf>
    <xf borderId="23" fillId="3" fontId="13" numFmtId="10" xfId="0" applyAlignment="1" applyBorder="1" applyFont="1" applyNumberFormat="1">
      <alignment horizontal="center" shrinkToFit="0" wrapText="1"/>
    </xf>
    <xf borderId="12" fillId="9" fontId="10" numFmtId="0" xfId="0" applyAlignment="1" applyBorder="1" applyFill="1" applyFont="1">
      <alignment horizontal="center" shrinkToFit="0" wrapText="1"/>
    </xf>
    <xf borderId="0" fillId="0" fontId="8" numFmtId="0" xfId="0" applyAlignment="1" applyFont="1">
      <alignment vertical="bottom"/>
    </xf>
    <xf borderId="1" fillId="9" fontId="15" numFmtId="0" xfId="0" applyAlignment="1" applyBorder="1" applyFont="1">
      <alignment horizontal="center" shrinkToFit="0" wrapText="1"/>
    </xf>
    <xf borderId="14" fillId="3" fontId="8" numFmtId="0" xfId="0" applyBorder="1" applyFont="1"/>
    <xf borderId="16" fillId="10" fontId="10" numFmtId="0" xfId="0" applyAlignment="1" applyBorder="1" applyFill="1" applyFont="1">
      <alignment horizontal="center" shrinkToFit="0" wrapText="1"/>
    </xf>
    <xf borderId="9" fillId="10" fontId="10" numFmtId="0" xfId="0" applyAlignment="1" applyBorder="1" applyFont="1">
      <alignment horizontal="center" shrinkToFit="0" wrapText="1"/>
    </xf>
    <xf borderId="12" fillId="10" fontId="10" numFmtId="0" xfId="0" applyAlignment="1" applyBorder="1" applyFont="1">
      <alignment horizontal="center" shrinkToFit="0" wrapText="1"/>
    </xf>
    <xf borderId="19" fillId="0" fontId="12" numFmtId="0" xfId="0" applyAlignment="1" applyBorder="1" applyFont="1">
      <alignment horizontal="center" shrinkToFit="0" wrapText="1"/>
    </xf>
    <xf borderId="19" fillId="0" fontId="13" numFmtId="9" xfId="0" applyAlignment="1" applyBorder="1" applyFont="1" applyNumberFormat="1">
      <alignment horizontal="center" shrinkToFit="0" wrapText="1"/>
    </xf>
    <xf borderId="0" fillId="0" fontId="13" numFmtId="9" xfId="0" applyAlignment="1" applyFont="1" applyNumberFormat="1">
      <alignment horizontal="center" shrinkToFit="0" wrapText="1"/>
    </xf>
    <xf borderId="14" fillId="3" fontId="16" numFmtId="0" xfId="0" applyAlignment="1" applyBorder="1" applyFont="1">
      <alignment horizontal="center" shrinkToFit="0" wrapText="1"/>
    </xf>
    <xf borderId="15" fillId="3" fontId="13" numFmtId="0" xfId="0" applyAlignment="1" applyBorder="1" applyFont="1">
      <alignment horizontal="center" shrinkToFit="0" wrapText="1"/>
    </xf>
    <xf borderId="26" fillId="9" fontId="12" numFmtId="0" xfId="0" applyAlignment="1" applyBorder="1" applyFont="1">
      <alignment horizontal="center" shrinkToFit="0" wrapText="1"/>
    </xf>
    <xf borderId="13" fillId="3" fontId="13" numFmtId="0" xfId="0" applyAlignment="1" applyBorder="1" applyFont="1">
      <alignment horizontal="center" shrinkToFit="0" wrapText="1"/>
    </xf>
    <xf borderId="21" fillId="3" fontId="16" numFmtId="0" xfId="0" applyAlignment="1" applyBorder="1" applyFont="1">
      <alignment horizontal="center" shrinkToFit="0" wrapText="1"/>
    </xf>
    <xf borderId="22" fillId="0" fontId="13" numFmtId="10" xfId="0" applyAlignment="1" applyBorder="1" applyFont="1" applyNumberFormat="1">
      <alignment horizontal="center" shrinkToFit="0" wrapText="1"/>
    </xf>
    <xf borderId="23" fillId="0" fontId="13" numFmtId="10" xfId="0" applyAlignment="1" applyBorder="1" applyFont="1" applyNumberFormat="1">
      <alignment horizontal="center" shrinkToFit="0" wrapText="1"/>
    </xf>
    <xf borderId="22" fillId="0" fontId="13" numFmtId="9" xfId="0" applyAlignment="1" applyBorder="1" applyFont="1" applyNumberFormat="1">
      <alignment horizontal="center" shrinkToFit="0" wrapText="1"/>
    </xf>
    <xf borderId="20" fillId="3" fontId="13" numFmtId="0" xfId="0" applyAlignment="1" applyBorder="1" applyFont="1">
      <alignment horizontal="center" shrinkToFit="0" wrapText="1"/>
    </xf>
    <xf borderId="12" fillId="11" fontId="10" numFmtId="0" xfId="0" applyAlignment="1" applyBorder="1" applyFill="1" applyFont="1">
      <alignment horizontal="center" shrinkToFit="0" wrapText="1"/>
    </xf>
    <xf borderId="1" fillId="11" fontId="17" numFmtId="0" xfId="0" applyAlignment="1" applyBorder="1" applyFont="1">
      <alignment horizontal="center" shrinkToFit="0" wrapText="1"/>
    </xf>
    <xf borderId="16" fillId="12" fontId="10" numFmtId="0" xfId="0" applyAlignment="1" applyBorder="1" applyFill="1" applyFont="1">
      <alignment horizontal="center" shrinkToFit="0" wrapText="1"/>
    </xf>
    <xf borderId="9" fillId="12" fontId="10" numFmtId="0" xfId="0" applyAlignment="1" applyBorder="1" applyFont="1">
      <alignment horizontal="center" shrinkToFit="0" wrapText="1"/>
    </xf>
    <xf borderId="12" fillId="12" fontId="10" numFmtId="0" xfId="0" applyAlignment="1" applyBorder="1" applyFont="1">
      <alignment horizontal="center" shrinkToFit="0" wrapText="1"/>
    </xf>
    <xf borderId="19" fillId="3" fontId="13" numFmtId="164" xfId="0" applyAlignment="1" applyBorder="1" applyFont="1" applyNumberFormat="1">
      <alignment horizontal="center" shrinkToFit="0" wrapText="1"/>
    </xf>
    <xf borderId="0" fillId="3" fontId="8" numFmtId="164" xfId="0" applyFont="1" applyNumberFormat="1"/>
    <xf borderId="14" fillId="3" fontId="13" numFmtId="0" xfId="0" applyAlignment="1" applyBorder="1" applyFont="1">
      <alignment horizontal="center" shrinkToFit="0" wrapText="1"/>
    </xf>
    <xf borderId="19" fillId="3" fontId="13" numFmtId="9" xfId="0" applyAlignment="1" applyBorder="1" applyFont="1" applyNumberFormat="1">
      <alignment horizontal="center" shrinkToFit="0" wrapText="1"/>
    </xf>
    <xf borderId="25" fillId="11" fontId="12" numFmtId="0" xfId="0" applyAlignment="1" applyBorder="1" applyFont="1">
      <alignment horizontal="center" shrinkToFit="0" wrapText="1"/>
    </xf>
    <xf borderId="21" fillId="3" fontId="13" numFmtId="0" xfId="0" applyAlignment="1" applyBorder="1" applyFont="1">
      <alignment horizontal="center" shrinkToFit="0" wrapText="1"/>
    </xf>
    <xf borderId="22" fillId="3" fontId="13" numFmtId="9" xfId="0" applyAlignment="1" applyBorder="1" applyFont="1" applyNumberFormat="1">
      <alignment horizontal="center" shrinkToFit="0" wrapText="1"/>
    </xf>
    <xf borderId="12" fillId="13" fontId="10" numFmtId="0" xfId="0" applyAlignment="1" applyBorder="1" applyFill="1" applyFont="1">
      <alignment horizontal="center" shrinkToFit="0" wrapText="1"/>
    </xf>
    <xf borderId="9" fillId="3" fontId="2" numFmtId="0" xfId="0" applyAlignment="1" applyBorder="1" applyFont="1">
      <alignment horizontal="center" shrinkToFit="0" wrapText="1"/>
    </xf>
    <xf borderId="9" fillId="3" fontId="8" numFmtId="0" xfId="0" applyBorder="1" applyFont="1"/>
    <xf borderId="1" fillId="13" fontId="10" numFmtId="0" xfId="0" applyAlignment="1" applyBorder="1" applyFont="1">
      <alignment horizontal="center" shrinkToFit="0" wrapText="1"/>
    </xf>
    <xf borderId="9" fillId="14" fontId="10" numFmtId="0" xfId="0" applyAlignment="1" applyBorder="1" applyFill="1" applyFont="1">
      <alignment horizontal="center" shrinkToFit="0" wrapText="1"/>
    </xf>
    <xf borderId="16" fillId="14" fontId="10" numFmtId="0" xfId="0" applyAlignment="1" applyBorder="1" applyFont="1">
      <alignment horizontal="center" shrinkToFit="0" wrapText="1"/>
    </xf>
    <xf borderId="15" fillId="14" fontId="10" numFmtId="0" xfId="0" applyAlignment="1" applyBorder="1" applyFont="1">
      <alignment horizontal="center" shrinkToFit="0" wrapText="1"/>
    </xf>
    <xf borderId="15" fillId="0" fontId="8" numFmtId="0" xfId="0" applyBorder="1" applyFont="1"/>
    <xf borderId="0" fillId="3" fontId="13" numFmtId="164" xfId="0" applyAlignment="1" applyFont="1" applyNumberFormat="1">
      <alignment horizontal="center" shrinkToFit="0" wrapText="1"/>
    </xf>
    <xf borderId="25" fillId="15" fontId="12" numFmtId="0" xfId="0" applyAlignment="1" applyBorder="1" applyFill="1" applyFont="1">
      <alignment horizontal="center" shrinkToFit="0" wrapText="1"/>
    </xf>
    <xf borderId="0" fillId="0" fontId="8" numFmtId="0" xfId="0" applyAlignment="1" applyFont="1">
      <alignment horizontal="center" shrinkToFit="0" vertical="center" wrapText="1"/>
    </xf>
    <xf borderId="27" fillId="3" fontId="9" numFmtId="0" xfId="0" applyAlignment="1" applyBorder="1" applyFont="1">
      <alignment horizontal="center" shrinkToFit="0" vertical="center" wrapText="1"/>
    </xf>
    <xf borderId="0" fillId="3" fontId="9" numFmtId="4" xfId="0" applyAlignment="1" applyFont="1" applyNumberFormat="1">
      <alignment horizontal="center" shrinkToFit="0" vertical="center" wrapText="1"/>
    </xf>
    <xf borderId="1" fillId="16" fontId="9" numFmtId="4" xfId="0" applyAlignment="1" applyBorder="1" applyFill="1" applyFont="1" applyNumberFormat="1">
      <alignment horizontal="center" shrinkToFit="0" vertical="center" wrapText="1"/>
    </xf>
    <xf borderId="1" fillId="17" fontId="9" numFmtId="0" xfId="0" applyAlignment="1" applyBorder="1" applyFill="1" applyFont="1">
      <alignment horizontal="center" shrinkToFit="0" vertical="center" wrapText="1"/>
    </xf>
    <xf borderId="1" fillId="18" fontId="9" numFmtId="0" xfId="0" applyAlignment="1" applyBorder="1" applyFill="1" applyFont="1">
      <alignment horizontal="center" shrinkToFit="0" vertical="center" wrapText="1"/>
    </xf>
    <xf borderId="1" fillId="19" fontId="9" numFmtId="0" xfId="0" applyAlignment="1" applyBorder="1" applyFill="1" applyFont="1">
      <alignment horizontal="center" shrinkToFit="0" vertical="center" wrapText="1"/>
    </xf>
    <xf borderId="28" fillId="3" fontId="9" numFmtId="0" xfId="0" applyAlignment="1" applyBorder="1" applyFont="1">
      <alignment horizontal="center" shrinkToFit="0" vertical="center" wrapText="1"/>
    </xf>
    <xf borderId="29" fillId="3" fontId="9" numFmtId="0" xfId="0" applyAlignment="1" applyBorder="1" applyFont="1">
      <alignment horizontal="center" shrinkToFit="0" vertical="center" wrapText="1"/>
    </xf>
    <xf borderId="1" fillId="20" fontId="9" numFmtId="0" xfId="0" applyAlignment="1" applyBorder="1" applyFill="1" applyFont="1">
      <alignment horizontal="center" shrinkToFit="0" vertical="center" wrapText="1"/>
    </xf>
    <xf borderId="0" fillId="3" fontId="8" numFmtId="0" xfId="0" applyAlignment="1" applyFont="1">
      <alignment horizontal="center" shrinkToFit="0" vertical="center" wrapText="1"/>
    </xf>
    <xf borderId="12" fillId="8" fontId="12" numFmtId="0" xfId="0" applyAlignment="1" applyBorder="1" applyFont="1">
      <alignment horizontal="center" shrinkToFit="0" vertical="center" wrapText="1"/>
    </xf>
    <xf borderId="0" fillId="0" fontId="18" numFmtId="0" xfId="0" applyAlignment="1" applyFont="1">
      <alignment horizontal="center" shrinkToFit="0" vertical="center" wrapText="1"/>
    </xf>
    <xf borderId="12" fillId="14" fontId="12" numFmtId="4" xfId="0" applyAlignment="1" applyBorder="1" applyFont="1" applyNumberFormat="1">
      <alignment horizontal="center" shrinkToFit="0" vertical="center" wrapText="1"/>
    </xf>
    <xf borderId="12" fillId="14" fontId="12" numFmtId="0" xfId="0" applyAlignment="1" applyBorder="1" applyFont="1">
      <alignment horizontal="center" shrinkToFit="0" vertical="center" wrapText="1"/>
    </xf>
    <xf borderId="14" fillId="3" fontId="10" numFmtId="0" xfId="0" applyAlignment="1" applyBorder="1" applyFont="1">
      <alignment horizontal="center" shrinkToFit="0" vertical="center" wrapText="1"/>
    </xf>
    <xf borderId="17" fillId="3" fontId="19" numFmtId="0" xfId="0" applyAlignment="1" applyBorder="1" applyFont="1">
      <alignment horizontal="center" shrinkToFit="0" vertical="center" wrapText="1"/>
    </xf>
    <xf borderId="18" fillId="3" fontId="19" numFmtId="0" xfId="0" applyAlignment="1" applyBorder="1" applyFont="1">
      <alignment horizontal="center" shrinkToFit="0" vertical="center" wrapText="1"/>
    </xf>
    <xf borderId="16" fillId="0" fontId="10" numFmtId="0" xfId="0" applyAlignment="1" applyBorder="1" applyFont="1">
      <alignment horizontal="center" shrinkToFit="0" vertical="center" wrapText="1"/>
    </xf>
    <xf borderId="17" fillId="0" fontId="10" numFmtId="0" xfId="0" applyAlignment="1" applyBorder="1" applyFont="1">
      <alignment horizontal="center" shrinkToFit="0" vertical="center" wrapText="1"/>
    </xf>
    <xf borderId="18" fillId="0" fontId="10" numFmtId="0" xfId="0" applyAlignment="1" applyBorder="1" applyFont="1">
      <alignment horizontal="center" shrinkToFit="0" vertical="center" wrapText="1"/>
    </xf>
    <xf borderId="30" fillId="2" fontId="10" numFmtId="0" xfId="0" applyAlignment="1" applyBorder="1" applyFont="1">
      <alignment horizontal="center" shrinkToFit="0" vertical="center" wrapText="1"/>
    </xf>
    <xf borderId="31" fillId="2" fontId="10" numFmtId="0" xfId="0" applyAlignment="1" applyBorder="1" applyFont="1">
      <alignment horizontal="center" shrinkToFit="0" vertical="center" wrapText="1"/>
    </xf>
    <xf borderId="32" fillId="2" fontId="10" numFmtId="0" xfId="0" applyAlignment="1" applyBorder="1" applyFont="1">
      <alignment horizontal="center" shrinkToFit="0" vertical="center" wrapText="1"/>
    </xf>
    <xf borderId="0" fillId="0" fontId="10" numFmtId="0" xfId="0" applyAlignment="1" applyFont="1">
      <alignment horizontal="center" shrinkToFit="0" vertical="center" wrapText="1"/>
    </xf>
    <xf borderId="33" fillId="21" fontId="10" numFmtId="0" xfId="0" applyAlignment="1" applyBorder="1" applyFill="1" applyFont="1">
      <alignment horizontal="center" shrinkToFit="0" vertical="center" wrapText="1"/>
    </xf>
    <xf borderId="12" fillId="8" fontId="13" numFmtId="165" xfId="0" applyAlignment="1" applyBorder="1" applyFont="1" applyNumberFormat="1">
      <alignment horizontal="center" shrinkToFit="0" vertical="center" wrapText="1"/>
    </xf>
    <xf borderId="12" fillId="14" fontId="13" numFmtId="4" xfId="0" applyAlignment="1" applyBorder="1" applyFont="1" applyNumberFormat="1">
      <alignment horizontal="center" shrinkToFit="0" vertical="center" wrapText="1"/>
    </xf>
    <xf borderId="13" fillId="3" fontId="20" numFmtId="166" xfId="0" applyAlignment="1" applyBorder="1" applyFont="1" applyNumberFormat="1">
      <alignment horizontal="center" shrinkToFit="0" vertical="center" wrapText="1"/>
    </xf>
    <xf borderId="0" fillId="3" fontId="21" numFmtId="167" xfId="0" applyAlignment="1" applyFont="1" applyNumberFormat="1">
      <alignment horizontal="center" shrinkToFit="0" vertical="center" wrapText="1"/>
    </xf>
    <xf borderId="0" fillId="3" fontId="21" numFmtId="0" xfId="0" applyAlignment="1" applyFont="1">
      <alignment horizontal="center" shrinkToFit="0" vertical="center" wrapText="1"/>
    </xf>
    <xf borderId="0" fillId="3" fontId="22" numFmtId="0" xfId="0" applyAlignment="1" applyFont="1">
      <alignment horizontal="center" shrinkToFit="0" vertical="center" wrapText="1"/>
    </xf>
    <xf borderId="0" fillId="3" fontId="23" numFmtId="0" xfId="0" applyAlignment="1" applyFont="1">
      <alignment horizontal="center" shrinkToFit="0" vertical="center" wrapText="1"/>
    </xf>
    <xf borderId="0" fillId="3" fontId="23" numFmtId="10" xfId="0" applyAlignment="1" applyFont="1" applyNumberFormat="1">
      <alignment horizontal="center" shrinkToFit="0" vertical="center" wrapText="1"/>
    </xf>
    <xf borderId="0" fillId="3" fontId="23" numFmtId="168" xfId="0" applyAlignment="1" applyFont="1" applyNumberFormat="1">
      <alignment horizontal="center" shrinkToFit="0" vertical="center" wrapText="1"/>
    </xf>
    <xf borderId="14" fillId="3" fontId="23" numFmtId="10" xfId="0" applyAlignment="1" applyBorder="1" applyFont="1" applyNumberFormat="1">
      <alignment horizontal="center" shrinkToFit="0" vertical="center" wrapText="1"/>
    </xf>
    <xf borderId="19" fillId="0" fontId="20" numFmtId="166" xfId="0" applyAlignment="1" applyBorder="1" applyFont="1" applyNumberFormat="1">
      <alignment horizontal="center" shrinkToFit="0" vertical="center" wrapText="1"/>
    </xf>
    <xf borderId="0" fillId="0" fontId="20" numFmtId="0" xfId="0" applyAlignment="1" applyFont="1">
      <alignment horizontal="center" shrinkToFit="0" vertical="center" wrapText="1"/>
    </xf>
    <xf borderId="0" fillId="0" fontId="20" numFmtId="10" xfId="0" applyAlignment="1" applyFont="1" applyNumberFormat="1">
      <alignment horizontal="center" shrinkToFit="0" vertical="center" wrapText="1"/>
    </xf>
    <xf borderId="0" fillId="0" fontId="20" numFmtId="168" xfId="0" applyAlignment="1" applyFont="1" applyNumberFormat="1">
      <alignment horizontal="center" shrinkToFit="0" vertical="center" wrapText="1"/>
    </xf>
    <xf borderId="14" fillId="0" fontId="20" numFmtId="10" xfId="0" applyAlignment="1" applyBorder="1" applyFont="1" applyNumberFormat="1">
      <alignment horizontal="center" shrinkToFit="0" vertical="center" wrapText="1"/>
    </xf>
    <xf borderId="34" fillId="5" fontId="20" numFmtId="166" xfId="0" applyAlignment="1" applyBorder="1" applyFont="1" applyNumberFormat="1">
      <alignment horizontal="center" shrinkToFit="0" vertical="center" wrapText="1"/>
    </xf>
    <xf borderId="27" fillId="5" fontId="20" numFmtId="0" xfId="0" applyAlignment="1" applyBorder="1" applyFont="1">
      <alignment horizontal="center" shrinkToFit="0" vertical="center" wrapText="1"/>
    </xf>
    <xf borderId="27" fillId="5" fontId="20" numFmtId="10" xfId="0" applyAlignment="1" applyBorder="1" applyFont="1" applyNumberFormat="1">
      <alignment horizontal="center" shrinkToFit="0" vertical="center" wrapText="1"/>
    </xf>
    <xf borderId="27" fillId="5" fontId="20" numFmtId="168" xfId="0" applyAlignment="1" applyBorder="1" applyFont="1" applyNumberFormat="1">
      <alignment horizontal="center" shrinkToFit="0" vertical="center" wrapText="1"/>
    </xf>
    <xf borderId="35" fillId="5" fontId="20" numFmtId="10" xfId="0" applyAlignment="1" applyBorder="1" applyFont="1" applyNumberFormat="1">
      <alignment horizontal="center" shrinkToFit="0" vertical="center" wrapText="1"/>
    </xf>
    <xf borderId="0" fillId="0" fontId="20" numFmtId="10" xfId="0" applyAlignment="1" applyFont="1" applyNumberFormat="1">
      <alignment horizontal="center" shrinkToFit="0" vertical="center" wrapText="1"/>
    </xf>
    <xf borderId="20" fillId="21" fontId="18" numFmtId="10" xfId="0" applyAlignment="1" applyBorder="1" applyFont="1" applyNumberFormat="1">
      <alignment horizontal="center" shrinkToFit="0" vertical="center" wrapText="1"/>
    </xf>
    <xf borderId="14" fillId="3" fontId="23" numFmtId="0" xfId="0" applyAlignment="1" applyBorder="1" applyFont="1">
      <alignment horizontal="center" shrinkToFit="0" vertical="center" wrapText="1"/>
    </xf>
    <xf borderId="14" fillId="0" fontId="20" numFmtId="0" xfId="0" applyAlignment="1" applyBorder="1" applyFont="1">
      <alignment horizontal="center" shrinkToFit="0" vertical="center" wrapText="1"/>
    </xf>
    <xf borderId="12" fillId="22" fontId="12" numFmtId="0" xfId="0" applyAlignment="1" applyBorder="1" applyFill="1" applyFont="1">
      <alignment horizontal="center" shrinkToFit="0" vertical="center" wrapText="1"/>
    </xf>
    <xf borderId="0" fillId="23" fontId="12" numFmtId="0" xfId="0" applyAlignment="1" applyFill="1" applyFont="1">
      <alignment horizontal="center" shrinkToFit="0" vertical="center" wrapText="1"/>
    </xf>
    <xf borderId="12" fillId="22" fontId="13" numFmtId="10" xfId="0" applyAlignment="1" applyBorder="1" applyFont="1" applyNumberFormat="1">
      <alignment horizontal="center" shrinkToFit="0" vertical="center" wrapText="1"/>
    </xf>
    <xf borderId="12" fillId="24" fontId="12" numFmtId="0" xfId="0" applyAlignment="1" applyBorder="1" applyFill="1" applyFont="1">
      <alignment horizontal="center" shrinkToFit="0" vertical="center" wrapText="1"/>
    </xf>
    <xf borderId="12" fillId="24" fontId="12" numFmtId="4" xfId="0" applyAlignment="1" applyBorder="1" applyFont="1" applyNumberFormat="1">
      <alignment horizontal="center" shrinkToFit="0" vertical="center" wrapText="1"/>
    </xf>
    <xf borderId="12" fillId="24" fontId="13" numFmtId="0" xfId="0" applyAlignment="1" applyBorder="1" applyFont="1">
      <alignment horizontal="center" shrinkToFit="0" vertical="center" wrapText="1"/>
    </xf>
    <xf borderId="15" fillId="22" fontId="12" numFmtId="0" xfId="0" applyAlignment="1" applyBorder="1" applyFont="1">
      <alignment horizontal="center" shrinkToFit="0" vertical="center" wrapText="1"/>
    </xf>
    <xf borderId="15" fillId="22" fontId="13" numFmtId="10" xfId="0" applyAlignment="1" applyBorder="1" applyFont="1" applyNumberFormat="1">
      <alignment horizontal="center" shrinkToFit="0" vertical="center" wrapText="1"/>
    </xf>
    <xf borderId="12" fillId="24" fontId="13" numFmtId="169" xfId="0" applyAlignment="1" applyBorder="1" applyFont="1" applyNumberFormat="1">
      <alignment horizontal="center" shrinkToFit="0" vertical="center" wrapText="1"/>
    </xf>
    <xf borderId="15" fillId="24" fontId="12" numFmtId="4" xfId="0" applyAlignment="1" applyBorder="1" applyFont="1" applyNumberFormat="1">
      <alignment horizontal="center" shrinkToFit="0" vertical="center" wrapText="1"/>
    </xf>
    <xf borderId="15" fillId="24" fontId="13" numFmtId="10" xfId="0" applyAlignment="1" applyBorder="1" applyFont="1" applyNumberFormat="1">
      <alignment horizontal="center" shrinkToFit="0" vertical="center" wrapText="1"/>
    </xf>
    <xf borderId="12" fillId="24" fontId="13" numFmtId="10" xfId="0" applyAlignment="1" applyBorder="1" applyFont="1" applyNumberFormat="1">
      <alignment horizontal="center" shrinkToFit="0" vertical="center" wrapText="1"/>
    </xf>
    <xf borderId="12" fillId="24" fontId="13" numFmtId="170" xfId="0" applyAlignment="1" applyBorder="1" applyFont="1" applyNumberFormat="1">
      <alignment horizontal="center" shrinkToFit="0" vertical="center" wrapText="1"/>
    </xf>
    <xf borderId="12" fillId="24" fontId="13" numFmtId="4" xfId="0" applyAlignment="1" applyBorder="1" applyFont="1" applyNumberFormat="1">
      <alignment horizontal="center" shrinkToFit="0" vertical="center" wrapText="1"/>
    </xf>
    <xf borderId="0" fillId="23" fontId="10" numFmtId="4" xfId="0" applyAlignment="1" applyFont="1" applyNumberFormat="1">
      <alignment horizontal="center" shrinkToFit="0" vertical="center" wrapText="1"/>
    </xf>
    <xf borderId="12" fillId="24" fontId="10" numFmtId="0" xfId="0" applyAlignment="1" applyBorder="1" applyFont="1">
      <alignment horizontal="center" shrinkToFit="0" vertical="center" wrapText="1"/>
    </xf>
    <xf borderId="12" fillId="24" fontId="10" numFmtId="4" xfId="0" applyAlignment="1" applyBorder="1" applyFont="1" applyNumberFormat="1">
      <alignment horizontal="center" shrinkToFit="0" vertical="center" wrapText="1"/>
    </xf>
    <xf borderId="0" fillId="3" fontId="10" numFmtId="0" xfId="0" applyAlignment="1" applyFont="1">
      <alignment horizontal="center" shrinkToFit="0" vertical="center" wrapText="1"/>
    </xf>
    <xf borderId="15" fillId="24" fontId="10" numFmtId="4" xfId="0" applyAlignment="1" applyBorder="1" applyFont="1" applyNumberFormat="1">
      <alignment horizontal="center" shrinkToFit="0" vertical="center" wrapText="1"/>
    </xf>
    <xf borderId="0" fillId="0" fontId="24" numFmtId="0" xfId="0" applyAlignment="1" applyFont="1">
      <alignment horizontal="center" shrinkToFit="0" vertical="center" wrapText="1"/>
    </xf>
    <xf borderId="22" fillId="0" fontId="20" numFmtId="166" xfId="0" applyAlignment="1" applyBorder="1" applyFont="1" applyNumberFormat="1">
      <alignment horizontal="center" shrinkToFit="0" vertical="center" wrapText="1"/>
    </xf>
    <xf borderId="23" fillId="0" fontId="20" numFmtId="0" xfId="0" applyAlignment="1" applyBorder="1" applyFont="1">
      <alignment horizontal="center" shrinkToFit="0" vertical="center" wrapText="1"/>
    </xf>
    <xf borderId="23" fillId="0" fontId="20" numFmtId="10" xfId="0" applyAlignment="1" applyBorder="1" applyFont="1" applyNumberFormat="1">
      <alignment horizontal="center" shrinkToFit="0" vertical="center" wrapText="1"/>
    </xf>
    <xf borderId="21" fillId="0" fontId="20" numFmtId="0" xfId="0" applyAlignment="1" applyBorder="1" applyFont="1">
      <alignment horizontal="center" shrinkToFit="0" vertical="center" wrapText="1"/>
    </xf>
    <xf borderId="0" fillId="3" fontId="20" numFmtId="166" xfId="0" applyAlignment="1" applyFont="1" applyNumberFormat="1">
      <alignment horizontal="center" shrinkToFit="0" vertical="center" wrapText="1"/>
    </xf>
    <xf borderId="17" fillId="3" fontId="8" numFmtId="0" xfId="0" applyAlignment="1" applyBorder="1" applyFont="1">
      <alignment horizontal="center" shrinkToFit="0" vertical="center" wrapText="1"/>
    </xf>
    <xf borderId="17" fillId="3" fontId="20" numFmtId="0" xfId="0" applyAlignment="1" applyBorder="1" applyFont="1">
      <alignment horizontal="center" shrinkToFit="0" vertical="center" wrapText="1"/>
    </xf>
    <xf borderId="0" fillId="3" fontId="20" numFmtId="0" xfId="0" applyAlignment="1" applyFont="1">
      <alignment horizontal="center" shrinkToFit="0" vertical="center" wrapText="1"/>
    </xf>
    <xf borderId="0" fillId="3" fontId="20" numFmtId="0" xfId="0" applyAlignment="1" applyFont="1">
      <alignment horizontal="center" shrinkToFit="0" vertical="center" wrapText="1"/>
    </xf>
    <xf borderId="0" fillId="3" fontId="20" numFmtId="10" xfId="0" applyAlignment="1" applyFont="1" applyNumberFormat="1">
      <alignment horizontal="center" shrinkToFit="0" vertical="center" wrapText="1"/>
    </xf>
    <xf borderId="36" fillId="3" fontId="20" numFmtId="0" xfId="0" applyAlignment="1" applyBorder="1" applyFont="1">
      <alignment horizontal="center" shrinkToFit="0" vertical="center" wrapText="1"/>
    </xf>
    <xf borderId="0" fillId="0" fontId="20" numFmtId="0" xfId="0" applyAlignment="1" applyFont="1">
      <alignment horizontal="center" shrinkToFit="0" vertical="center" wrapText="1"/>
    </xf>
    <xf borderId="27" fillId="3" fontId="20" numFmtId="0" xfId="0" applyAlignment="1" applyBorder="1" applyFont="1">
      <alignment horizontal="center" shrinkToFit="0" vertical="center" wrapText="1"/>
    </xf>
    <xf borderId="0" fillId="3" fontId="24" numFmtId="0" xfId="0" applyAlignment="1" applyFont="1">
      <alignment horizontal="center" shrinkToFit="0" vertical="center" wrapText="1"/>
    </xf>
    <xf borderId="0" fillId="3" fontId="25" numFmtId="0" xfId="0" applyAlignment="1" applyFont="1">
      <alignment horizontal="center" shrinkToFit="0" vertical="center" wrapText="1"/>
    </xf>
    <xf borderId="0" fillId="3" fontId="24" numFmtId="10" xfId="0" applyAlignment="1" applyFont="1" applyNumberFormat="1">
      <alignment horizontal="center" shrinkToFit="0" vertical="center" wrapText="1"/>
    </xf>
    <xf borderId="0" fillId="0" fontId="26" numFmtId="10" xfId="0" applyFont="1" applyNumberFormat="1"/>
    <xf borderId="0" fillId="0" fontId="8" numFmtId="0" xfId="0" applyAlignment="1" applyFont="1">
      <alignment vertical="bottom"/>
    </xf>
    <xf borderId="0" fillId="25" fontId="12" numFmtId="0" xfId="0" applyAlignment="1" applyFill="1" applyFont="1">
      <alignment horizontal="center" readingOrder="0" shrinkToFit="0" vertical="center" wrapText="1"/>
    </xf>
    <xf borderId="0" fillId="0" fontId="26" numFmtId="0" xfId="0" applyFont="1"/>
    <xf borderId="0" fillId="0" fontId="10" numFmtId="0" xfId="0" applyAlignment="1" applyFont="1">
      <alignment horizontal="center" readingOrder="0" shrinkToFit="0" vertical="center" wrapText="0"/>
    </xf>
    <xf borderId="0" fillId="0" fontId="10" numFmtId="0" xfId="0" applyAlignment="1" applyFont="1">
      <alignment horizontal="center" readingOrder="0" shrinkToFit="0" vertical="center" wrapText="0"/>
    </xf>
    <xf borderId="0" fillId="0" fontId="10" numFmtId="0" xfId="0" applyAlignment="1" applyFont="1">
      <alignment horizontal="center" readingOrder="0" shrinkToFit="0" vertical="center" wrapText="0"/>
    </xf>
    <xf borderId="0" fillId="0" fontId="10" numFmtId="0" xfId="0" applyAlignment="1" applyFont="1">
      <alignment horizontal="center" readingOrder="0" shrinkToFit="0" vertical="center" wrapText="0"/>
    </xf>
    <xf borderId="0" fillId="0" fontId="10" numFmtId="10" xfId="0" applyAlignment="1" applyFont="1" applyNumberFormat="1">
      <alignment horizontal="center" readingOrder="0" shrinkToFit="0" vertical="center" wrapText="1"/>
    </xf>
    <xf borderId="0" fillId="26" fontId="27" numFmtId="0" xfId="0" applyAlignment="1" applyFill="1" applyFont="1">
      <alignment horizontal="center" readingOrder="0" vertical="center"/>
    </xf>
    <xf borderId="0" fillId="26" fontId="28" numFmtId="0" xfId="0" applyAlignment="1" applyFont="1">
      <alignment horizontal="center" readingOrder="0" vertical="center"/>
    </xf>
    <xf borderId="0" fillId="3" fontId="8" numFmtId="166" xfId="0" applyAlignment="1" applyFont="1" applyNumberFormat="1">
      <alignment shrinkToFit="0" vertical="bottom" wrapText="0"/>
    </xf>
    <xf borderId="0" fillId="0" fontId="26" numFmtId="10" xfId="0" applyAlignment="1" applyFont="1" applyNumberFormat="1">
      <alignment shrinkToFit="0" vertical="center" wrapText="0"/>
    </xf>
    <xf borderId="0" fillId="0" fontId="26" numFmtId="0" xfId="0" applyAlignment="1" applyFont="1">
      <alignment readingOrder="0" shrinkToFit="0" vertical="center" wrapText="0"/>
    </xf>
    <xf borderId="0" fillId="27" fontId="2" numFmtId="0" xfId="0" applyAlignment="1" applyFill="1" applyFont="1">
      <alignment horizontal="center" readingOrder="0" vertical="center"/>
    </xf>
    <xf borderId="0" fillId="27" fontId="2" numFmtId="10" xfId="0" applyAlignment="1" applyFont="1" applyNumberFormat="1">
      <alignment horizontal="center" vertical="center"/>
    </xf>
    <xf borderId="0" fillId="0" fontId="2" numFmtId="0" xfId="0" applyFont="1"/>
    <xf borderId="0" fillId="28" fontId="2" numFmtId="0" xfId="0" applyAlignment="1" applyFill="1" applyFont="1">
      <alignment horizontal="center" readingOrder="0" vertical="center"/>
    </xf>
    <xf borderId="0" fillId="28" fontId="2" numFmtId="10" xfId="0" applyAlignment="1" applyFont="1" applyNumberFormat="1">
      <alignment horizontal="center" vertical="center"/>
    </xf>
    <xf borderId="16" fillId="24" fontId="5" numFmtId="0" xfId="0" applyAlignment="1" applyBorder="1" applyFont="1">
      <alignment horizontal="center" readingOrder="0" vertical="center"/>
    </xf>
    <xf borderId="18" fillId="24" fontId="5" numFmtId="0" xfId="0" applyAlignment="1" applyBorder="1" applyFont="1">
      <alignment horizontal="center" readingOrder="0" vertical="center"/>
    </xf>
    <xf borderId="16" fillId="4" fontId="5" numFmtId="0" xfId="0" applyAlignment="1" applyBorder="1" applyFont="1">
      <alignment horizontal="center" readingOrder="0" vertical="center"/>
    </xf>
    <xf borderId="18" fillId="4" fontId="5" numFmtId="0" xfId="0" applyAlignment="1" applyBorder="1" applyFont="1">
      <alignment horizontal="center" readingOrder="0" vertical="center"/>
    </xf>
    <xf borderId="19" fillId="24" fontId="2" numFmtId="9" xfId="0" applyAlignment="1" applyBorder="1" applyFont="1" applyNumberFormat="1">
      <alignment horizontal="center" readingOrder="0" vertical="center"/>
    </xf>
    <xf borderId="14" fillId="24" fontId="2" numFmtId="10" xfId="0" applyAlignment="1" applyBorder="1" applyFont="1" applyNumberFormat="1">
      <alignment horizontal="center" vertical="center"/>
    </xf>
    <xf borderId="19" fillId="4" fontId="2" numFmtId="9" xfId="0" applyAlignment="1" applyBorder="1" applyFont="1" applyNumberFormat="1">
      <alignment horizontal="center" readingOrder="0" vertical="center"/>
    </xf>
    <xf borderId="14" fillId="4" fontId="2" numFmtId="10" xfId="0" applyAlignment="1" applyBorder="1" applyFont="1" applyNumberFormat="1">
      <alignment horizontal="center" vertical="center"/>
    </xf>
    <xf borderId="22" fillId="24" fontId="2" numFmtId="10" xfId="0" applyAlignment="1" applyBorder="1" applyFont="1" applyNumberFormat="1">
      <alignment horizontal="center" readingOrder="0" vertical="center"/>
    </xf>
    <xf borderId="21" fillId="24" fontId="2" numFmtId="10" xfId="0" applyAlignment="1" applyBorder="1" applyFont="1" applyNumberFormat="1">
      <alignment horizontal="center" vertical="center"/>
    </xf>
    <xf borderId="22" fillId="4" fontId="2" numFmtId="10" xfId="0" applyAlignment="1" applyBorder="1" applyFont="1" applyNumberFormat="1">
      <alignment horizontal="center" readingOrder="0" vertical="center"/>
    </xf>
    <xf borderId="21" fillId="4" fontId="2" numFmtId="10" xfId="0" applyAlignment="1" applyBorder="1" applyFont="1" applyNumberFormat="1">
      <alignment horizontal="center" vertical="center"/>
    </xf>
    <xf borderId="0" fillId="3" fontId="8" numFmtId="166" xfId="0" applyAlignment="1" applyFont="1" applyNumberFormat="1">
      <alignment shrinkToFit="0" vertical="center" wrapText="0"/>
    </xf>
    <xf borderId="0" fillId="3" fontId="20" numFmtId="10" xfId="0" applyAlignment="1" applyFont="1" applyNumberFormat="1">
      <alignment shrinkToFit="0" vertical="center" wrapText="1"/>
    </xf>
    <xf borderId="0" fillId="0" fontId="8" numFmtId="0" xfId="0" applyAlignment="1" applyFont="1">
      <alignment vertical="bottom"/>
    </xf>
    <xf borderId="0" fillId="3" fontId="26" numFmtId="0" xfId="0" applyFont="1"/>
    <xf borderId="0" fillId="3" fontId="8" numFmtId="0" xfId="0" applyAlignment="1" applyFont="1">
      <alignment vertical="bottom"/>
    </xf>
    <xf borderId="0" fillId="0" fontId="8" numFmtId="0" xfId="0" applyAlignment="1" applyFont="1">
      <alignment horizontal="center" vertical="center"/>
    </xf>
    <xf borderId="16" fillId="16" fontId="9" numFmtId="4" xfId="0" applyAlignment="1" applyBorder="1" applyFont="1" applyNumberFormat="1">
      <alignment horizontal="center" vertical="center"/>
    </xf>
    <xf borderId="16" fillId="17" fontId="9" numFmtId="0" xfId="0" applyAlignment="1" applyBorder="1" applyFont="1">
      <alignment horizontal="center" vertical="center"/>
    </xf>
    <xf borderId="16" fillId="18" fontId="9" numFmtId="0" xfId="0" applyAlignment="1" applyBorder="1" applyFont="1">
      <alignment horizontal="center" vertical="center"/>
    </xf>
    <xf borderId="16" fillId="19" fontId="9" numFmtId="0" xfId="0" applyAlignment="1" applyBorder="1" applyFont="1">
      <alignment horizontal="center" vertical="center"/>
    </xf>
    <xf borderId="16" fillId="29" fontId="19" numFmtId="0" xfId="0" applyAlignment="1" applyBorder="1" applyFill="1" applyFont="1">
      <alignment horizontal="center" vertical="center"/>
    </xf>
    <xf borderId="17" fillId="29" fontId="19" numFmtId="0" xfId="0" applyAlignment="1" applyBorder="1" applyFont="1">
      <alignment horizontal="center" vertical="center"/>
    </xf>
    <xf borderId="16" fillId="0" fontId="8" numFmtId="0" xfId="0" applyBorder="1" applyFont="1"/>
    <xf borderId="17" fillId="0" fontId="8" numFmtId="0" xfId="0" applyBorder="1" applyFont="1"/>
    <xf borderId="19" fillId="29" fontId="21" numFmtId="171" xfId="0" applyBorder="1" applyFont="1" applyNumberFormat="1"/>
    <xf borderId="0" fillId="29" fontId="21" numFmtId="0" xfId="0" applyFont="1"/>
    <xf borderId="0" fillId="29" fontId="29" numFmtId="0" xfId="0" applyAlignment="1" applyFont="1">
      <alignment horizontal="center" vertical="center"/>
    </xf>
    <xf borderId="0" fillId="3" fontId="23" numFmtId="0" xfId="0" applyFont="1"/>
    <xf borderId="0" fillId="0" fontId="30" numFmtId="10" xfId="0" applyFont="1" applyNumberFormat="1"/>
    <xf borderId="0" fillId="0" fontId="30" numFmtId="0" xfId="0" applyFont="1"/>
    <xf borderId="14" fillId="0" fontId="30" numFmtId="10" xfId="0" applyBorder="1" applyFont="1" applyNumberFormat="1"/>
    <xf borderId="19" fillId="0" fontId="8" numFmtId="172" xfId="0" applyBorder="1" applyFont="1" applyNumberFormat="1"/>
    <xf borderId="0" fillId="0" fontId="8" numFmtId="0" xfId="0" applyFont="1"/>
    <xf borderId="27" fillId="3" fontId="20" numFmtId="0" xfId="0" applyBorder="1" applyFont="1"/>
    <xf borderId="0" fillId="0" fontId="8" numFmtId="10" xfId="0" applyFont="1" applyNumberFormat="1"/>
    <xf borderId="14" fillId="0" fontId="8" numFmtId="10" xfId="0" applyBorder="1" applyFont="1" applyNumberFormat="1"/>
    <xf borderId="0" fillId="0" fontId="8" numFmtId="173" xfId="0" applyFont="1" applyNumberFormat="1"/>
    <xf borderId="20" fillId="21" fontId="18" numFmtId="10" xfId="0" applyAlignment="1" applyBorder="1" applyFont="1" applyNumberFormat="1">
      <alignment shrinkToFit="0" wrapText="1"/>
    </xf>
    <xf borderId="14" fillId="0" fontId="30" numFmtId="0" xfId="0" applyBorder="1" applyFont="1"/>
    <xf borderId="14" fillId="0" fontId="8" numFmtId="0" xfId="0" applyBorder="1" applyFont="1"/>
    <xf borderId="12" fillId="24" fontId="12" numFmtId="0" xfId="0" applyAlignment="1" applyBorder="1" applyFont="1">
      <alignment horizontal="center" vertical="center"/>
    </xf>
    <xf borderId="0" fillId="0" fontId="18" numFmtId="0" xfId="0" applyFont="1"/>
    <xf borderId="12" fillId="24" fontId="13" numFmtId="0" xfId="0" applyAlignment="1" applyBorder="1" applyFont="1">
      <alignment horizontal="center" vertical="center"/>
    </xf>
    <xf borderId="0" fillId="3" fontId="12" numFmtId="0" xfId="0" applyAlignment="1" applyFont="1">
      <alignment horizontal="center" vertical="center"/>
    </xf>
    <xf borderId="12" fillId="24" fontId="13" numFmtId="169" xfId="0" applyAlignment="1" applyBorder="1" applyFont="1" applyNumberFormat="1">
      <alignment horizontal="center" vertical="center"/>
    </xf>
    <xf borderId="15" fillId="24" fontId="13" numFmtId="10" xfId="0" applyAlignment="1" applyBorder="1" applyFont="1" applyNumberFormat="1">
      <alignment horizontal="center" vertical="center"/>
    </xf>
    <xf borderId="12" fillId="24" fontId="12" numFmtId="10" xfId="0" applyAlignment="1" applyBorder="1" applyFont="1" applyNumberFormat="1">
      <alignment horizontal="center" shrinkToFit="0" vertical="center" wrapText="1"/>
    </xf>
    <xf borderId="12" fillId="24" fontId="12" numFmtId="170" xfId="0" applyAlignment="1" applyBorder="1" applyFont="1" applyNumberFormat="1">
      <alignment horizontal="center" shrinkToFit="0" vertical="center" wrapText="1"/>
    </xf>
    <xf borderId="22" fillId="29" fontId="21" numFmtId="171" xfId="0" applyBorder="1" applyFont="1" applyNumberFormat="1"/>
    <xf borderId="23" fillId="29" fontId="21" numFmtId="0" xfId="0" applyBorder="1" applyFont="1"/>
    <xf borderId="23" fillId="29" fontId="29" numFmtId="0" xfId="0" applyAlignment="1" applyBorder="1" applyFont="1">
      <alignment horizontal="center" vertical="center"/>
    </xf>
    <xf borderId="23" fillId="3" fontId="23" numFmtId="0" xfId="0" applyBorder="1" applyFont="1"/>
    <xf borderId="23" fillId="0" fontId="30" numFmtId="0" xfId="0" applyBorder="1" applyFont="1"/>
    <xf borderId="21" fillId="0" fontId="30" numFmtId="0" xfId="0" applyBorder="1" applyFont="1"/>
    <xf borderId="22" fillId="0" fontId="8" numFmtId="172" xfId="0" applyBorder="1" applyFont="1" applyNumberFormat="1"/>
    <xf borderId="23" fillId="0" fontId="8" numFmtId="0" xfId="0" applyBorder="1" applyFont="1"/>
    <xf borderId="37" fillId="3" fontId="20" numFmtId="0" xfId="0" applyBorder="1" applyFont="1"/>
    <xf borderId="21" fillId="0" fontId="8" numFmtId="0" xfId="0" applyBorder="1" applyFont="1"/>
    <xf borderId="0" fillId="3" fontId="8" numFmtId="0" xfId="0" applyAlignment="1" applyFont="1">
      <alignment horizontal="center" vertical="center"/>
    </xf>
    <xf borderId="0" fillId="3" fontId="20" numFmtId="0" xfId="0" applyFont="1"/>
    <xf borderId="0" fillId="3" fontId="31" numFmtId="0" xfId="0" applyAlignment="1" applyFont="1">
      <alignment horizontal="center" vertical="center"/>
    </xf>
    <xf borderId="0" fillId="3" fontId="8" numFmtId="0" xfId="0" applyAlignment="1" applyFont="1">
      <alignment horizontal="center"/>
    </xf>
    <xf borderId="0" fillId="3" fontId="32" numFmtId="0" xfId="0" applyAlignment="1" applyFont="1">
      <alignment horizontal="center"/>
    </xf>
    <xf borderId="0" fillId="3" fontId="33" numFmtId="0" xfId="0" applyAlignment="1" applyFont="1">
      <alignment horizontal="center" vertical="center"/>
    </xf>
    <xf borderId="16" fillId="20" fontId="34" numFmtId="0" xfId="0" applyAlignment="1" applyBorder="1" applyFont="1">
      <alignment horizontal="center" vertical="center"/>
    </xf>
    <xf borderId="0" fillId="0" fontId="8" numFmtId="0" xfId="0" applyAlignment="1" applyFont="1">
      <alignment horizontal="center"/>
    </xf>
    <xf borderId="16" fillId="17" fontId="34" numFmtId="0" xfId="0" applyAlignment="1" applyBorder="1" applyFont="1">
      <alignment horizontal="center" vertical="center"/>
    </xf>
    <xf borderId="16" fillId="18" fontId="34" numFmtId="0" xfId="0" applyAlignment="1" applyBorder="1" applyFont="1">
      <alignment horizontal="center" vertical="center"/>
    </xf>
    <xf borderId="16" fillId="19" fontId="34" numFmtId="0" xfId="0" applyAlignment="1" applyBorder="1" applyFont="1">
      <alignment horizontal="center" vertical="center"/>
    </xf>
    <xf borderId="0" fillId="30" fontId="8" numFmtId="0" xfId="0" applyAlignment="1" applyFill="1" applyFont="1">
      <alignment horizontal="center"/>
    </xf>
    <xf borderId="38" fillId="8" fontId="10" numFmtId="0" xfId="0" applyAlignment="1" applyBorder="1" applyFont="1">
      <alignment horizontal="center" vertical="center"/>
    </xf>
    <xf borderId="39" fillId="0" fontId="4" numFmtId="0" xfId="0" applyBorder="1" applyFont="1"/>
    <xf borderId="40" fillId="0" fontId="4" numFmtId="0" xfId="0" applyBorder="1" applyFont="1"/>
    <xf borderId="38" fillId="14" fontId="10" numFmtId="0" xfId="0" applyAlignment="1" applyBorder="1" applyFont="1">
      <alignment horizontal="center" vertical="center"/>
    </xf>
    <xf borderId="12" fillId="14" fontId="13" numFmtId="0" xfId="0" applyAlignment="1" applyBorder="1" applyFont="1">
      <alignment horizontal="center" shrinkToFit="0" vertical="center" wrapText="1"/>
    </xf>
    <xf borderId="0" fillId="3" fontId="10" numFmtId="0" xfId="0" applyAlignment="1" applyFont="1">
      <alignment horizontal="center" vertical="center"/>
    </xf>
    <xf borderId="16" fillId="3" fontId="19" numFmtId="0" xfId="0" applyAlignment="1" applyBorder="1" applyFont="1">
      <alignment horizontal="center" vertical="center"/>
    </xf>
    <xf borderId="17" fillId="3" fontId="19" numFmtId="0" xfId="0" applyAlignment="1" applyBorder="1" applyFont="1">
      <alignment horizontal="center" vertical="center"/>
    </xf>
    <xf borderId="17" fillId="0" fontId="10" numFmtId="0" xfId="0" applyAlignment="1" applyBorder="1" applyFont="1">
      <alignment horizontal="center" vertical="center"/>
    </xf>
    <xf borderId="18" fillId="0" fontId="10" numFmtId="0" xfId="0" applyAlignment="1" applyBorder="1" applyFont="1">
      <alignment horizontal="center" vertical="center"/>
    </xf>
    <xf borderId="0" fillId="0" fontId="10" numFmtId="0" xfId="0" applyAlignment="1" applyFont="1">
      <alignment horizontal="center" vertical="center"/>
    </xf>
    <xf borderId="16" fillId="0" fontId="10" numFmtId="0" xfId="0" applyAlignment="1" applyBorder="1" applyFont="1">
      <alignment horizontal="center" vertical="center"/>
    </xf>
    <xf borderId="16" fillId="0" fontId="10" numFmtId="0" xfId="0" applyAlignment="1" applyBorder="1" applyFont="1">
      <alignment horizontal="center" shrinkToFit="0" vertical="center" wrapText="0"/>
    </xf>
    <xf borderId="17" fillId="0" fontId="10" numFmtId="0" xfId="0" applyAlignment="1" applyBorder="1" applyFont="1">
      <alignment horizontal="center" shrinkToFit="0" vertical="center" wrapText="0"/>
    </xf>
    <xf borderId="0" fillId="0" fontId="24" numFmtId="0" xfId="0" applyAlignment="1" applyFont="1">
      <alignment horizontal="center"/>
    </xf>
    <xf borderId="25" fillId="21" fontId="10" numFmtId="0" xfId="0" applyAlignment="1" applyBorder="1" applyFont="1">
      <alignment horizontal="center" shrinkToFit="0" vertical="center" wrapText="1"/>
    </xf>
    <xf borderId="0" fillId="30" fontId="35" numFmtId="0" xfId="0" applyAlignment="1" applyFont="1">
      <alignment horizontal="center" shrinkToFit="0" vertical="center" wrapText="1"/>
    </xf>
    <xf borderId="19" fillId="3" fontId="21" numFmtId="174" xfId="0" applyBorder="1" applyFont="1" applyNumberFormat="1"/>
    <xf borderId="0" fillId="3" fontId="21" numFmtId="0" xfId="0" applyFont="1"/>
    <xf borderId="0" fillId="0" fontId="8" numFmtId="0" xfId="0" applyAlignment="1" applyFont="1">
      <alignment horizontal="center"/>
    </xf>
    <xf borderId="0" fillId="0" fontId="24" numFmtId="10" xfId="0" applyAlignment="1" applyFont="1" applyNumberFormat="1">
      <alignment horizontal="center"/>
    </xf>
    <xf borderId="0" fillId="0" fontId="24" numFmtId="0" xfId="0" applyAlignment="1" applyFont="1">
      <alignment horizontal="center"/>
    </xf>
    <xf borderId="14" fillId="0" fontId="24" numFmtId="0" xfId="0" applyAlignment="1" applyBorder="1" applyFont="1">
      <alignment horizontal="center"/>
    </xf>
    <xf borderId="19" fillId="0" fontId="36" numFmtId="174" xfId="0" applyBorder="1" applyFont="1" applyNumberFormat="1"/>
    <xf borderId="0" fillId="0" fontId="36" numFmtId="0" xfId="0" applyFont="1"/>
    <xf borderId="19" fillId="0" fontId="8" numFmtId="174" xfId="0" applyAlignment="1" applyBorder="1" applyFont="1" applyNumberFormat="1">
      <alignment shrinkToFit="0" vertical="bottom" wrapText="0"/>
    </xf>
    <xf borderId="0" fillId="0" fontId="8" numFmtId="0" xfId="0" applyAlignment="1" applyFont="1">
      <alignment horizontal="right" shrinkToFit="0" vertical="bottom" wrapText="0"/>
    </xf>
    <xf borderId="20" fillId="21" fontId="18" numFmtId="10" xfId="0" applyAlignment="1" applyBorder="1" applyFont="1" applyNumberFormat="1">
      <alignment horizontal="center" shrinkToFit="0" wrapText="1"/>
    </xf>
    <xf borderId="0" fillId="30" fontId="10" numFmtId="165" xfId="0" applyAlignment="1" applyFont="1" applyNumberFormat="1">
      <alignment horizontal="center" shrinkToFit="0" vertical="center" wrapText="1"/>
    </xf>
    <xf borderId="0" fillId="3" fontId="35" numFmtId="4" xfId="0" applyAlignment="1" applyFont="1" applyNumberFormat="1">
      <alignment horizontal="center" shrinkToFit="0" vertical="center" wrapText="1"/>
    </xf>
    <xf borderId="14" fillId="0" fontId="24" numFmtId="10" xfId="0" applyAlignment="1" applyBorder="1" applyFont="1" applyNumberFormat="1">
      <alignment horizontal="center"/>
    </xf>
    <xf borderId="14" fillId="0" fontId="8" numFmtId="0" xfId="0" applyAlignment="1" applyBorder="1" applyFont="1">
      <alignment horizontal="center"/>
    </xf>
    <xf borderId="15" fillId="14" fontId="13" numFmtId="0" xfId="0" applyAlignment="1" applyBorder="1" applyFont="1">
      <alignment horizontal="center" shrinkToFit="0" vertical="center" wrapText="1"/>
    </xf>
    <xf borderId="15" fillId="14" fontId="12" numFmtId="4" xfId="0" applyAlignment="1" applyBorder="1" applyFont="1" applyNumberFormat="1">
      <alignment horizontal="center" shrinkToFit="0" vertical="center" wrapText="1"/>
    </xf>
    <xf borderId="38" fillId="22" fontId="10" numFmtId="0" xfId="0" applyAlignment="1" applyBorder="1" applyFont="1">
      <alignment horizontal="center" shrinkToFit="0" vertical="center" wrapText="1"/>
    </xf>
    <xf borderId="38" fillId="24" fontId="10" numFmtId="0" xfId="0" applyAlignment="1" applyBorder="1" applyFont="1">
      <alignment horizontal="center"/>
    </xf>
    <xf borderId="19" fillId="0" fontId="8" numFmtId="175" xfId="0" applyAlignment="1" applyBorder="1" applyFont="1" applyNumberFormat="1">
      <alignment shrinkToFit="0" vertical="bottom" wrapText="0"/>
    </xf>
    <xf borderId="12" fillId="22" fontId="37" numFmtId="0" xfId="0" applyAlignment="1" applyBorder="1" applyFont="1">
      <alignment horizontal="center" shrinkToFit="0" vertical="bottom" wrapText="1"/>
    </xf>
    <xf borderId="20" fillId="22" fontId="37" numFmtId="0" xfId="0" applyAlignment="1" applyBorder="1" applyFont="1">
      <alignment horizontal="center" shrinkToFit="0" vertical="bottom" wrapText="1"/>
    </xf>
    <xf borderId="10" fillId="22" fontId="37" numFmtId="0" xfId="0" applyAlignment="1" applyBorder="1" applyFont="1">
      <alignment horizontal="center" shrinkToFit="0" vertical="bottom" wrapText="1"/>
    </xf>
    <xf borderId="20" fillId="24" fontId="12" numFmtId="0" xfId="0" applyAlignment="1" applyBorder="1" applyFont="1">
      <alignment horizontal="center" vertical="center"/>
    </xf>
    <xf borderId="20" fillId="24" fontId="12" numFmtId="0" xfId="0" applyAlignment="1" applyBorder="1" applyFont="1">
      <alignment horizontal="center" shrinkToFit="0" vertical="center" wrapText="1"/>
    </xf>
    <xf borderId="20" fillId="24" fontId="12" numFmtId="4" xfId="0" applyAlignment="1" applyBorder="1" applyFont="1" applyNumberFormat="1">
      <alignment horizontal="center" shrinkToFit="0" vertical="center" wrapText="1"/>
    </xf>
    <xf borderId="0" fillId="3" fontId="18" numFmtId="0" xfId="0" applyAlignment="1" applyFont="1">
      <alignment horizontal="center"/>
    </xf>
    <xf borderId="21" fillId="22" fontId="38" numFmtId="10" xfId="0" applyAlignment="1" applyBorder="1" applyFont="1" applyNumberFormat="1">
      <alignment horizontal="center" shrinkToFit="0" vertical="bottom" wrapText="1"/>
    </xf>
    <xf borderId="19" fillId="3" fontId="21" numFmtId="175" xfId="0" applyBorder="1" applyFont="1" applyNumberFormat="1"/>
    <xf borderId="19" fillId="0" fontId="36" numFmtId="175" xfId="0" applyBorder="1" applyFont="1" applyNumberFormat="1"/>
    <xf borderId="12" fillId="24" fontId="38" numFmtId="0" xfId="0" applyAlignment="1" applyBorder="1" applyFont="1">
      <alignment horizontal="center" shrinkToFit="0" wrapText="0"/>
    </xf>
    <xf borderId="10" fillId="24" fontId="38" numFmtId="0" xfId="0" applyAlignment="1" applyBorder="1" applyFont="1">
      <alignment horizontal="center" shrinkToFit="0" wrapText="0"/>
    </xf>
    <xf borderId="19" fillId="0" fontId="8" numFmtId="176" xfId="0" applyAlignment="1" applyBorder="1" applyFont="1" applyNumberFormat="1">
      <alignment shrinkToFit="0" vertical="bottom" wrapText="0"/>
    </xf>
    <xf borderId="0" fillId="3" fontId="10" numFmtId="4" xfId="0" applyAlignment="1" applyFont="1" applyNumberFormat="1">
      <alignment horizontal="center" shrinkToFit="0" vertical="center" wrapText="1"/>
    </xf>
    <xf borderId="0" fillId="3" fontId="10" numFmtId="169" xfId="0" applyAlignment="1" applyFont="1" applyNumberFormat="1">
      <alignment horizontal="center" vertical="center"/>
    </xf>
    <xf borderId="0" fillId="3" fontId="10" numFmtId="10" xfId="0" applyAlignment="1" applyFont="1" applyNumberFormat="1">
      <alignment horizontal="center" vertical="center"/>
    </xf>
    <xf borderId="19" fillId="3" fontId="21" numFmtId="176" xfId="0" applyBorder="1" applyFont="1" applyNumberFormat="1"/>
    <xf borderId="19" fillId="0" fontId="36" numFmtId="176" xfId="0" applyBorder="1" applyFont="1" applyNumberFormat="1"/>
    <xf borderId="0" fillId="3" fontId="10" numFmtId="10" xfId="0" applyAlignment="1" applyFont="1" applyNumberFormat="1">
      <alignment horizontal="center" shrinkToFit="0" vertical="center" wrapText="1"/>
    </xf>
    <xf borderId="0" fillId="3" fontId="35" numFmtId="170" xfId="0" applyAlignment="1" applyFont="1" applyNumberFormat="1">
      <alignment horizontal="center" shrinkToFit="0" vertical="center" wrapText="1"/>
    </xf>
    <xf borderId="0" fillId="3" fontId="10" numFmtId="170" xfId="0" applyAlignment="1" applyFont="1" applyNumberFormat="1">
      <alignment horizontal="center" shrinkToFit="0" vertical="center" wrapText="1"/>
    </xf>
    <xf borderId="19" fillId="0" fontId="8" numFmtId="171" xfId="0" applyAlignment="1" applyBorder="1" applyFont="1" applyNumberFormat="1">
      <alignment shrinkToFit="0" vertical="bottom" wrapText="0"/>
    </xf>
    <xf borderId="19" fillId="3" fontId="21" numFmtId="171" xfId="0" applyBorder="1" applyFont="1" applyNumberFormat="1"/>
    <xf borderId="19" fillId="0" fontId="36" numFmtId="171" xfId="0" applyBorder="1" applyFont="1" applyNumberFormat="1"/>
    <xf borderId="14" fillId="3" fontId="8" numFmtId="0" xfId="0" applyAlignment="1" applyBorder="1" applyFont="1">
      <alignment horizontal="center"/>
    </xf>
    <xf borderId="0" fillId="3" fontId="21" numFmtId="175" xfId="0" applyFont="1" applyNumberFormat="1"/>
    <xf borderId="17" fillId="0" fontId="8" numFmtId="175" xfId="0" applyAlignment="1" applyBorder="1" applyFont="1" applyNumberFormat="1">
      <alignment shrinkToFit="0" vertical="bottom" wrapText="0"/>
    </xf>
    <xf borderId="17" fillId="0" fontId="8" numFmtId="0" xfId="0" applyAlignment="1" applyBorder="1" applyFont="1">
      <alignment horizontal="right" shrinkToFit="0" vertical="bottom" wrapText="0"/>
    </xf>
    <xf borderId="17" fillId="0" fontId="39" numFmtId="0" xfId="0" applyAlignment="1" applyBorder="1" applyFont="1">
      <alignment horizontal="center"/>
    </xf>
    <xf borderId="17" fillId="0" fontId="8" numFmtId="0" xfId="0" applyAlignment="1" applyBorder="1" applyFont="1">
      <alignment horizontal="center"/>
    </xf>
    <xf borderId="17" fillId="3" fontId="8" numFmtId="175" xfId="0" applyAlignment="1" applyBorder="1" applyFont="1" applyNumberFormat="1">
      <alignment shrinkToFit="0" vertical="bottom" wrapText="0"/>
    </xf>
    <xf borderId="17" fillId="3" fontId="8" numFmtId="0" xfId="0" applyAlignment="1" applyBorder="1" applyFont="1">
      <alignment horizontal="right" shrinkToFit="0" vertical="bottom" wrapText="0"/>
    </xf>
    <xf borderId="17" fillId="3" fontId="8" numFmtId="0" xfId="0" applyAlignment="1" applyBorder="1" applyFont="1">
      <alignment horizontal="center"/>
    </xf>
    <xf borderId="17" fillId="3" fontId="8" numFmtId="0" xfId="0" applyBorder="1" applyFont="1"/>
    <xf borderId="0" fillId="0" fontId="8" numFmtId="175" xfId="0" applyAlignment="1" applyFont="1" applyNumberFormat="1">
      <alignment shrinkToFit="0" vertical="bottom" wrapText="0"/>
    </xf>
    <xf borderId="0" fillId="0" fontId="8" numFmtId="0" xfId="0" applyAlignment="1" applyFont="1">
      <alignment horizontal="right" shrinkToFit="0" vertical="bottom" wrapText="0"/>
    </xf>
    <xf borderId="0" fillId="0" fontId="39" numFmtId="0" xfId="0" applyAlignment="1" applyFont="1">
      <alignment horizontal="center"/>
    </xf>
    <xf borderId="0" fillId="3" fontId="8" numFmtId="174" xfId="0" applyAlignment="1" applyFont="1" applyNumberFormat="1">
      <alignment shrinkToFit="0" vertical="bottom" wrapText="0"/>
    </xf>
    <xf borderId="0" fillId="3" fontId="8" numFmtId="0" xfId="0" applyAlignment="1" applyFont="1">
      <alignment horizontal="right" shrinkToFit="0" vertical="bottom" wrapText="0"/>
    </xf>
    <xf borderId="0" fillId="3" fontId="8" numFmtId="0" xfId="0" applyAlignment="1" applyFont="1">
      <alignment horizontal="center"/>
    </xf>
    <xf borderId="0" fillId="3" fontId="8" numFmtId="175" xfId="0" applyAlignment="1" applyFont="1" applyNumberFormat="1">
      <alignment shrinkToFit="0" vertical="bottom" wrapText="0"/>
    </xf>
    <xf borderId="0" fillId="3" fontId="8" numFmtId="0" xfId="0" applyFont="1"/>
    <xf borderId="0" fillId="0" fontId="8" numFmtId="177" xfId="0" applyAlignment="1" applyFont="1" applyNumberFormat="1">
      <alignment horizontal="center"/>
    </xf>
    <xf borderId="0" fillId="3" fontId="8" numFmtId="10" xfId="0" applyAlignment="1" applyFont="1" applyNumberFormat="1">
      <alignment horizontal="center"/>
    </xf>
    <xf borderId="0" fillId="3" fontId="30" numFmtId="10" xfId="0" applyAlignment="1" applyFont="1" applyNumberFormat="1">
      <alignment horizontal="center" shrinkToFit="0" vertical="bottom" wrapText="0"/>
    </xf>
    <xf borderId="0" fillId="3" fontId="8" numFmtId="177" xfId="0" applyAlignment="1" applyFont="1" applyNumberFormat="1">
      <alignment horizontal="center"/>
    </xf>
    <xf borderId="19" fillId="0" fontId="8" numFmtId="176" xfId="0" applyAlignment="1" applyBorder="1" applyFont="1" applyNumberFormat="1">
      <alignment horizontal="left" shrinkToFit="0" vertical="bottom" wrapText="0"/>
    </xf>
    <xf borderId="1" fillId="23" fontId="10" numFmtId="4" xfId="0" applyAlignment="1" applyBorder="1" applyFont="1" applyNumberFormat="1">
      <alignment horizontal="center" shrinkToFit="0" vertical="center" wrapText="1"/>
    </xf>
    <xf borderId="19" fillId="0" fontId="8" numFmtId="171" xfId="0" applyAlignment="1" applyBorder="1" applyFont="1" applyNumberFormat="1">
      <alignment horizontal="left" shrinkToFit="0" vertical="bottom" wrapText="0"/>
    </xf>
    <xf borderId="22" fillId="0" fontId="8" numFmtId="174" xfId="0" applyAlignment="1" applyBorder="1" applyFont="1" applyNumberFormat="1">
      <alignment shrinkToFit="0" vertical="bottom" wrapText="0"/>
    </xf>
    <xf borderId="23" fillId="0" fontId="8" numFmtId="0" xfId="0" applyAlignment="1" applyBorder="1" applyFont="1">
      <alignment horizontal="right" shrinkToFit="0" vertical="bottom" wrapText="0"/>
    </xf>
    <xf borderId="22" fillId="0" fontId="8" numFmtId="171" xfId="0" applyAlignment="1" applyBorder="1" applyFont="1" applyNumberFormat="1">
      <alignment horizontal="left" shrinkToFit="0" vertical="bottom" wrapText="0"/>
    </xf>
    <xf borderId="17" fillId="29" fontId="21" numFmtId="171" xfId="0" applyBorder="1" applyFont="1" applyNumberFormat="1"/>
    <xf borderId="17" fillId="29" fontId="21" numFmtId="0" xfId="0" applyBorder="1" applyFont="1"/>
    <xf borderId="17" fillId="29" fontId="29" numFmtId="0" xfId="0" applyAlignment="1" applyBorder="1" applyFont="1">
      <alignment horizontal="center" vertical="center"/>
    </xf>
    <xf borderId="17" fillId="3" fontId="23" numFmtId="0" xfId="0" applyBorder="1" applyFont="1"/>
    <xf borderId="17" fillId="0" fontId="30" numFmtId="0" xfId="0" applyBorder="1" applyFont="1"/>
    <xf borderId="0" fillId="3" fontId="20" numFmtId="0" xfId="0" applyFont="1"/>
    <xf borderId="0" fillId="0" fontId="40" numFmtId="0" xfId="0" applyAlignment="1" applyFont="1">
      <alignment horizontal="center" shrinkToFit="0" vertical="center" wrapText="1"/>
    </xf>
    <xf borderId="1" fillId="0" fontId="40" numFmtId="0" xfId="0" applyAlignment="1" applyBorder="1" applyFont="1">
      <alignment horizontal="center" shrinkToFit="0" vertical="center" wrapText="1"/>
    </xf>
    <xf borderId="0" fillId="0" fontId="2" numFmtId="0" xfId="0" applyAlignment="1" applyFont="1">
      <alignment horizontal="left" shrinkToFit="0" vertical="center" wrapText="1"/>
    </xf>
    <xf borderId="0" fillId="0" fontId="8" numFmtId="0" xfId="0" applyAlignment="1" applyFont="1">
      <alignment shrinkToFit="0" vertical="center" wrapText="1"/>
    </xf>
    <xf borderId="16" fillId="0" fontId="8" numFmtId="0" xfId="0" applyAlignment="1" applyBorder="1" applyFont="1">
      <alignment shrinkToFit="0" vertical="center" wrapText="1"/>
    </xf>
  </cellXfs>
  <cellStyles count="1">
    <cellStyle xfId="0" name="Normal" builtinId="0"/>
  </cellStyles>
  <dxfs count="15">
    <dxf>
      <font/>
      <fill>
        <patternFill patternType="none"/>
      </fill>
      <border/>
    </dxf>
    <dxf>
      <font/>
      <fill>
        <patternFill patternType="solid">
          <fgColor rgb="FFF7CB4D"/>
          <bgColor rgb="FFF7CB4D"/>
        </patternFill>
      </fill>
      <border/>
    </dxf>
    <dxf>
      <font/>
      <fill>
        <patternFill patternType="solid">
          <fgColor rgb="FFFFFFFF"/>
          <bgColor rgb="FFFFFFFF"/>
        </patternFill>
      </fill>
      <border/>
    </dxf>
    <dxf>
      <font/>
      <fill>
        <patternFill patternType="solid">
          <fgColor rgb="FFFEF8E3"/>
          <bgColor rgb="FFFEF8E3"/>
        </patternFill>
      </fill>
      <border/>
    </dxf>
    <dxf>
      <font/>
      <fill>
        <patternFill patternType="solid">
          <fgColor rgb="FF8BC34A"/>
          <bgColor rgb="FF8BC34A"/>
        </patternFill>
      </fill>
      <border/>
    </dxf>
    <dxf>
      <font/>
      <fill>
        <patternFill patternType="solid">
          <fgColor rgb="FFEEF7E3"/>
          <bgColor rgb="FFEEF7E3"/>
        </patternFill>
      </fill>
      <border/>
    </dxf>
    <dxf>
      <font/>
      <fill>
        <patternFill patternType="solid">
          <fgColor rgb="FFA64D79"/>
          <bgColor rgb="FFA64D79"/>
        </patternFill>
      </fill>
      <border/>
    </dxf>
    <dxf>
      <font/>
      <fill>
        <patternFill patternType="solid">
          <fgColor rgb="FFEAD1DC"/>
          <bgColor rgb="FFEAD1DC"/>
        </patternFill>
      </fill>
      <border/>
    </dxf>
    <dxf>
      <font/>
      <fill>
        <patternFill patternType="solid">
          <fgColor rgb="FF8989EB"/>
          <bgColor rgb="FF8989EB"/>
        </patternFill>
      </fill>
      <border/>
    </dxf>
    <dxf>
      <font/>
      <fill>
        <patternFill patternType="solid">
          <fgColor rgb="FFE8E7FC"/>
          <bgColor rgb="FFE8E7FC"/>
        </patternFill>
      </fill>
      <border/>
    </dxf>
    <dxf>
      <font/>
      <fill>
        <patternFill patternType="solid">
          <fgColor rgb="FF5B95F9"/>
          <bgColor rgb="FF5B95F9"/>
        </patternFill>
      </fill>
      <border/>
    </dxf>
    <dxf>
      <font/>
      <fill>
        <patternFill patternType="solid">
          <fgColor rgb="FFE8F0FE"/>
          <bgColor rgb="FFE8F0FE"/>
        </patternFill>
      </fill>
      <border/>
    </dxf>
    <dxf>
      <font/>
      <fill>
        <patternFill patternType="solid">
          <fgColor rgb="FF356854"/>
          <bgColor rgb="FF356854"/>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0">
    <tableStyle count="3" pivot="0" name="Part A-style">
      <tableStyleElement dxfId="1" type="headerRow"/>
      <tableStyleElement dxfId="2" type="firstRowStripe"/>
      <tableStyleElement dxfId="3" type="secondRowStripe"/>
    </tableStyle>
    <tableStyle count="3" pivot="0" name="Part A-style 2">
      <tableStyleElement dxfId="4" type="headerRow"/>
      <tableStyleElement dxfId="2" type="firstRowStripe"/>
      <tableStyleElement dxfId="5" type="secondRowStripe"/>
    </tableStyle>
    <tableStyle count="3" pivot="0" name="Part A-style 3">
      <tableStyleElement dxfId="6" type="headerRow"/>
      <tableStyleElement dxfId="2" type="firstRowStripe"/>
      <tableStyleElement dxfId="7" type="secondRowStripe"/>
    </tableStyle>
    <tableStyle count="3" pivot="0" name="Part A-style 4">
      <tableStyleElement dxfId="8" type="headerRow"/>
      <tableStyleElement dxfId="2" type="firstRowStripe"/>
      <tableStyleElement dxfId="9" type="secondRowStripe"/>
    </tableStyle>
    <tableStyle count="3" pivot="0" name="Part A-style 5">
      <tableStyleElement dxfId="10" type="headerRow"/>
      <tableStyleElement dxfId="2" type="firstRowStripe"/>
      <tableStyleElement dxfId="11" type="secondRowStripe"/>
    </tableStyle>
    <tableStyle count="3" pivot="0" name="Part A-style 6">
      <tableStyleElement dxfId="1" type="headerRow"/>
      <tableStyleElement dxfId="2" type="firstRowStripe"/>
      <tableStyleElement dxfId="3" type="secondRowStripe"/>
    </tableStyle>
    <tableStyle count="3" pivot="0" name="Part A-style 7">
      <tableStyleElement dxfId="10" type="headerRow"/>
      <tableStyleElement dxfId="2" type="firstRowStripe"/>
      <tableStyleElement dxfId="11" type="secondRowStripe"/>
    </tableStyle>
    <tableStyle count="4" pivot="0" name="VAR-style">
      <tableStyleElement dxfId="12" type="headerRow"/>
      <tableStyleElement dxfId="2" type="firstRowStripe"/>
      <tableStyleElement dxfId="13" type="secondRowStripe"/>
      <tableStyleElement dxfId="14" size="0" type="wholeTable"/>
    </tableStyle>
    <tableStyle count="3" pivot="0" name="Part B-style">
      <tableStyleElement dxfId="1" type="headerRow"/>
      <tableStyleElement dxfId="2" type="firstRowStripe"/>
      <tableStyleElement dxfId="3" type="secondRowStripe"/>
    </tableStyle>
    <tableStyle count="3" pivot="0" name="Part B-style 2">
      <tableStyleElement dxfId="4" type="headerRow"/>
      <tableStyleElement dxfId="2" type="firstRowStripe"/>
      <tableStyleElement dxfId="5" type="secondRowStripe"/>
    </tableStyle>
    <tableStyle count="3" pivot="0" name="Part B-style 3">
      <tableStyleElement dxfId="6" type="headerRow"/>
      <tableStyleElement dxfId="2" type="firstRowStripe"/>
      <tableStyleElement dxfId="7" type="secondRowStripe"/>
    </tableStyle>
    <tableStyle count="3" pivot="0" name="Part B-style 4">
      <tableStyleElement dxfId="8" type="headerRow"/>
      <tableStyleElement dxfId="2" type="firstRowStripe"/>
      <tableStyleElement dxfId="9" type="secondRowStripe"/>
    </tableStyle>
    <tableStyle count="3" pivot="0" name="Part C-style">
      <tableStyleElement dxfId="10" type="headerRow"/>
      <tableStyleElement dxfId="2" type="firstRowStripe"/>
      <tableStyleElement dxfId="11" type="secondRowStripe"/>
    </tableStyle>
    <tableStyle count="3" pivot="0" name="Part C-style 2">
      <tableStyleElement dxfId="4" type="headerRow"/>
      <tableStyleElement dxfId="2" type="firstRowStripe"/>
      <tableStyleElement dxfId="5" type="secondRowStripe"/>
    </tableStyle>
    <tableStyle count="3" pivot="0" name="Part C-style 3">
      <tableStyleElement dxfId="6" type="headerRow"/>
      <tableStyleElement dxfId="2" type="firstRowStripe"/>
      <tableStyleElement dxfId="7" type="secondRowStripe"/>
    </tableStyle>
    <tableStyle count="3" pivot="0" name="Part C-style 4">
      <tableStyleElement dxfId="8" type="headerRow"/>
      <tableStyleElement dxfId="2" type="firstRowStripe"/>
      <tableStyleElement dxfId="9" type="secondRowStripe"/>
    </tableStyle>
    <tableStyle count="3" pivot="0" name="Part D-style">
      <tableStyleElement dxfId="10" type="headerRow"/>
      <tableStyleElement dxfId="2" type="firstRowStripe"/>
      <tableStyleElement dxfId="11" type="secondRowStripe"/>
    </tableStyle>
    <tableStyle count="3" pivot="0" name="Part D-style 2">
      <tableStyleElement dxfId="4" type="headerRow"/>
      <tableStyleElement dxfId="2" type="firstRowStripe"/>
      <tableStyleElement dxfId="5" type="secondRowStripe"/>
    </tableStyle>
    <tableStyle count="3" pivot="0" name="Part D-style 3">
      <tableStyleElement dxfId="6" type="headerRow"/>
      <tableStyleElement dxfId="2" type="firstRowStripe"/>
      <tableStyleElement dxfId="7" type="secondRowStripe"/>
    </tableStyle>
    <tableStyle count="3" pivot="0" name="Part D-style 4">
      <tableStyleElement dxfId="8" type="headerRow"/>
      <tableStyleElement dxfId="2" type="firstRowStripe"/>
      <tableStyleElement dxfId="9"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4.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Chart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600075</xdr:colOff>
      <xdr:row>15</xdr:row>
      <xdr:rowOff>276225</xdr:rowOff>
    </xdr:from>
    <xdr:ext cx="5715000" cy="3533775"/>
    <xdr:pic>
      <xdr:nvPicPr>
        <xdr:cNvPr id="1256998247"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723900</xdr:colOff>
      <xdr:row>15</xdr:row>
      <xdr:rowOff>276225</xdr:rowOff>
    </xdr:from>
    <xdr:ext cx="5715000" cy="3533775"/>
    <xdr:pic>
      <xdr:nvPicPr>
        <xdr:cNvPr id="335381616"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6:K272" displayName="Table_1" name="Table_1" id="1">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Part A-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ref="N6:W272" displayName="Table_2" name="Table_2" id="2">
  <tableColumns count="10">
    <tableColumn name="Date" id="1"/>
    <tableColumn name="Open" id="2"/>
    <tableColumn name="High" id="3"/>
    <tableColumn name="Low" id="4"/>
    <tableColumn name="Close" id="5"/>
    <tableColumn name="Volume" id="6"/>
    <tableColumn name="Daily Returns" id="7"/>
    <tableColumn name="Standard Deviation" id="8"/>
    <tableColumn name="Average Return" id="9"/>
    <tableColumn name="Annual Return" id="10"/>
  </tableColumns>
  <tableStyleInfo name="Part A-style 2" showColumnStripes="0" showFirstColumn="1" showLastColumn="1" showRowStripes="1"/>
</table>
</file>

<file path=xl/tables/table3.xml><?xml version="1.0" encoding="utf-8"?>
<table xmlns="http://schemas.openxmlformats.org/spreadsheetml/2006/main" ref="Z6:AI272" displayName="Table_3" name="Table_3" id="3">
  <tableColumns count="10">
    <tableColumn name="Date" id="1"/>
    <tableColumn name="Open" id="2"/>
    <tableColumn name="High" id="3"/>
    <tableColumn name="Low" id="4"/>
    <tableColumn name="Close" id="5"/>
    <tableColumn name="Volume" id="6"/>
    <tableColumn name="Daily Returns" id="7"/>
    <tableColumn name="Standard Deviation" id="8"/>
    <tableColumn name="Average Return" id="9"/>
    <tableColumn name="Annual Return" id="10"/>
  </tableColumns>
  <tableStyleInfo name="Part A-style 3" showColumnStripes="0" showFirstColumn="1" showLastColumn="1" showRowStripes="1"/>
</table>
</file>

<file path=xl/tables/table4.xml><?xml version="1.0" encoding="utf-8"?>
<table xmlns="http://schemas.openxmlformats.org/spreadsheetml/2006/main" ref="AL6:AU272" displayName="Table_4" name="Table_4" id="4">
  <tableColumns count="10">
    <tableColumn name="Date" id="1"/>
    <tableColumn name="Open" id="2"/>
    <tableColumn name="High" id="3"/>
    <tableColumn name="Low" id="4"/>
    <tableColumn name="Close" id="5"/>
    <tableColumn name="Volume" id="6"/>
    <tableColumn name="Daily Returns" id="7"/>
    <tableColumn name="Standard Deviation" id="8"/>
    <tableColumn name="Average Return" id="9"/>
    <tableColumn name="Annual Return" id="10"/>
  </tableColumns>
  <tableStyleInfo name="Part A-style 4" showColumnStripes="0" showFirstColumn="1" showLastColumn="1" showRowStripes="1"/>
</table>
</file>

<file path=xl/tables/table5.xml><?xml version="1.0" encoding="utf-8"?>
<table xmlns="http://schemas.openxmlformats.org/spreadsheetml/2006/main" ref="AX6:BG272" displayName="Table_5" name="Table_5" id="5">
  <tableColumns count="10">
    <tableColumn name="Date" id="1"/>
    <tableColumn name="Open" id="2"/>
    <tableColumn name="High" id="3"/>
    <tableColumn name="Low" id="4"/>
    <tableColumn name="Close" id="5"/>
    <tableColumn name="Volume" id="6"/>
    <tableColumn name="Daily Returns" id="7"/>
    <tableColumn name="Standard Deviation" id="8"/>
    <tableColumn name="Average Return" id="9"/>
    <tableColumn name="Annual Return" id="10"/>
  </tableColumns>
  <tableStyleInfo name="Part A-style 5" showColumnStripes="0" showFirstColumn="1" showLastColumn="1" showRowStripes="1"/>
</table>
</file>

<file path=xl/tables/table6.xml><?xml version="1.0" encoding="utf-8"?>
<table xmlns="http://schemas.openxmlformats.org/spreadsheetml/2006/main" headerRowCount="0" ref="A284:K305" displayName="Table_6" name="Table_6" id="6">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Part A-style 6" showColumnStripes="0" showFirstColumn="1" showLastColumn="1" showRowStripes="1"/>
  <extLst>
    <ext uri="GoogleSheetsCustomDataVersion1">
      <go:sheetsCustomData xmlns:go="http://customooxmlschemas.google.com/" headerRowCount="1"/>
    </ext>
  </extLst>
</table>
</file>

<file path=xl/tables/table7.xml><?xml version="1.0" encoding="utf-8"?>
<table xmlns="http://schemas.openxmlformats.org/spreadsheetml/2006/main" headerRowCount="0" ref="AX284:BG305" displayName="Table_7" name="Table_7" id="7">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Part A-style 7" showColumnStripes="0" showFirstColumn="1" showLastColumn="1" showRowStripes="1"/>
  <extLst>
    <ext uri="GoogleSheetsCustomDataVersion1">
      <go:sheetsCustomData xmlns:go="http://customooxmlschemas.google.com/" headerRowCount="1"/>
    </ext>
  </extLst>
</table>
</file>

<file path=xl/tables/table8.xml><?xml version="1.0" encoding="utf-8"?>
<table xmlns="http://schemas.openxmlformats.org/spreadsheetml/2006/main" ref="A6:E272" displayName="Table1" name="Table1" id="8">
  <tableColumns count="5">
    <tableColumn name="DATES" id="1"/>
    <tableColumn name="Daily Returns" id="2"/>
    <tableColumn name="Sorted Returns" id="3"/>
    <tableColumn name="Replication " id="4"/>
    <tableColumn name="Simulated Return" id="5"/>
  </tableColumns>
  <tableStyleInfo name="VAR-style" showColumnStripes="0" showFirstColumn="1" showLastColumn="1" showRowStripes="1"/>
</table>
</file>

<file path=xl/tables/table9.xml><?xml version="1.0" encoding="utf-8"?>
<table xmlns="http://schemas.openxmlformats.org/spreadsheetml/2006/main" ref="B6:K27" displayName="Table_8" name="Table_8" id="9">
  <tableColumns count="10">
    <tableColumn name="Date" id="1"/>
    <tableColumn name="Open" id="2"/>
    <tableColumn name="High" id="3"/>
    <tableColumn name="Low" id="4"/>
    <tableColumn name="Close" id="5"/>
    <tableColumn name="Volume" id="6"/>
    <tableColumn name="Daily Returns" id="7"/>
    <tableColumn name="Standard Deviation" id="8"/>
    <tableColumn name="Average Return" id="9"/>
    <tableColumn name="Annual Return" id="10"/>
  </tableColumns>
  <tableStyleInfo name="Part B-style" showColumnStripes="0" showFirstColumn="1" showLastColumn="1" showRowStripes="1"/>
</table>
</file>

<file path=xl/tables/table10.xml><?xml version="1.0" encoding="utf-8"?>
<table xmlns="http://schemas.openxmlformats.org/spreadsheetml/2006/main" ref="N6:W27" displayName="Table_9" name="Table_9" id="10">
  <tableColumns count="10">
    <tableColumn name="Date" id="1"/>
    <tableColumn name="Open" id="2"/>
    <tableColumn name="High" id="3"/>
    <tableColumn name="Low" id="4"/>
    <tableColumn name="Close" id="5"/>
    <tableColumn name="Volume" id="6"/>
    <tableColumn name="Daily Returns" id="7"/>
    <tableColumn name="Standard Deviation" id="8"/>
    <tableColumn name="Average Return" id="9"/>
    <tableColumn name="Annual Return" id="10"/>
  </tableColumns>
  <tableStyleInfo name="Part B-style 2" showColumnStripes="0" showFirstColumn="1" showLastColumn="1" showRowStripes="1"/>
</table>
</file>

<file path=xl/tables/table11.xml><?xml version="1.0" encoding="utf-8"?>
<table xmlns="http://schemas.openxmlformats.org/spreadsheetml/2006/main" ref="Z6:AI27" displayName="Table_10" name="Table_10" id="11">
  <tableColumns count="10">
    <tableColumn name="Date" id="1"/>
    <tableColumn name="Open" id="2"/>
    <tableColumn name="High" id="3"/>
    <tableColumn name="Low" id="4"/>
    <tableColumn name="Close" id="5"/>
    <tableColumn name="Volume" id="6"/>
    <tableColumn name="Daily Returns" id="7"/>
    <tableColumn name="Standard Deviation" id="8"/>
    <tableColumn name="Average Return" id="9"/>
    <tableColumn name="Annual Return" id="10"/>
  </tableColumns>
  <tableStyleInfo name="Part B-style 3" showColumnStripes="0" showFirstColumn="1" showLastColumn="1" showRowStripes="1"/>
</table>
</file>

<file path=xl/tables/table12.xml><?xml version="1.0" encoding="utf-8"?>
<table xmlns="http://schemas.openxmlformats.org/spreadsheetml/2006/main" ref="AL6:AU27" displayName="Table_11" name="Table_11" id="12">
  <tableColumns count="10">
    <tableColumn name="Date" id="1"/>
    <tableColumn name="Open" id="2"/>
    <tableColumn name="High" id="3"/>
    <tableColumn name="Low" id="4"/>
    <tableColumn name="Close" id="5"/>
    <tableColumn name="Volume" id="6"/>
    <tableColumn name="Daily Returns" id="7"/>
    <tableColumn name="Standard Deviation" id="8"/>
    <tableColumn name="Average Return" id="9"/>
    <tableColumn name="Annual Return" id="10"/>
  </tableColumns>
  <tableStyleInfo name="Part B-style 4" showColumnStripes="0" showFirstColumn="1" showLastColumn="1" showRowStripes="1"/>
</table>
</file>

<file path=xl/tables/table13.xml><?xml version="1.0" encoding="utf-8"?>
<table xmlns="http://schemas.openxmlformats.org/spreadsheetml/2006/main" ref="B6:K264" displayName="Table_12" name="Table_12" id="13">
  <tableColumns count="10">
    <tableColumn name="Date" id="1"/>
    <tableColumn name="Open" id="2"/>
    <tableColumn name="High" id="3"/>
    <tableColumn name="Low" id="4"/>
    <tableColumn name="Close" id="5"/>
    <tableColumn name="Volume" id="6"/>
    <tableColumn name="Daily Returns" id="7"/>
    <tableColumn name="Standard Deviation" id="8"/>
    <tableColumn name="Average Returns" id="9"/>
    <tableColumn name="Annual Returns" id="10"/>
  </tableColumns>
  <tableStyleInfo name="Part C-style" showColumnStripes="0" showFirstColumn="1" showLastColumn="1" showRowStripes="1"/>
</table>
</file>

<file path=xl/tables/table14.xml><?xml version="1.0" encoding="utf-8"?>
<table xmlns="http://schemas.openxmlformats.org/spreadsheetml/2006/main" ref="N6:W285" displayName="Table_13" name="Table_13" id="14">
  <tableColumns count="10">
    <tableColumn name="Date" id="1"/>
    <tableColumn name="Open" id="2"/>
    <tableColumn name="High" id="3"/>
    <tableColumn name="Low" id="4"/>
    <tableColumn name="Price" id="5"/>
    <tableColumn name="Volume" id="6"/>
    <tableColumn name="Daily Returns" id="7"/>
    <tableColumn name="Standard Deviation" id="8"/>
    <tableColumn name="Average Returns" id="9"/>
    <tableColumn name="Annual Returns" id="10"/>
  </tableColumns>
  <tableStyleInfo name="Part C-style 2" showColumnStripes="0" showFirstColumn="1" showLastColumn="1" showRowStripes="1"/>
</table>
</file>

<file path=xl/tables/table15.xml><?xml version="1.0" encoding="utf-8"?>
<table xmlns="http://schemas.openxmlformats.org/spreadsheetml/2006/main" ref="Z6:AI271" displayName="Table_14" name="Table_14" id="15">
  <tableColumns count="10">
    <tableColumn name="Date" id="1"/>
    <tableColumn name="Open" id="2"/>
    <tableColumn name="High" id="3"/>
    <tableColumn name="Low" id="4"/>
    <tableColumn name="Price" id="5"/>
    <tableColumn name="Volume" id="6"/>
    <tableColumn name="Daily Returns" id="7"/>
    <tableColumn name="Standard Deviation" id="8"/>
    <tableColumn name="Average Returns" id="9"/>
    <tableColumn name="Annual Returns" id="10"/>
  </tableColumns>
  <tableStyleInfo name="Part C-style 3" showColumnStripes="0" showFirstColumn="1" showLastColumn="1" showRowStripes="1"/>
</table>
</file>

<file path=xl/tables/table16.xml><?xml version="1.0" encoding="utf-8"?>
<table xmlns="http://schemas.openxmlformats.org/spreadsheetml/2006/main" ref="AL6:AU271" displayName="Table_15" name="Table_15" id="16">
  <tableColumns count="10">
    <tableColumn name="Date" id="1"/>
    <tableColumn name="Open" id="2"/>
    <tableColumn name="High" id="3"/>
    <tableColumn name="Low" id="4"/>
    <tableColumn name="Price" id="5"/>
    <tableColumn name="Volume" id="6"/>
    <tableColumn name="Daily Returns" id="7"/>
    <tableColumn name="Standard Deviation" id="8"/>
    <tableColumn name="Average Returns" id="9"/>
    <tableColumn name="Annual Returns" id="10"/>
  </tableColumns>
  <tableStyleInfo name="Part C-style 4" showColumnStripes="0" showFirstColumn="1" showLastColumn="1" showRowStripes="1"/>
</table>
</file>

<file path=xl/tables/table17.xml><?xml version="1.0" encoding="utf-8"?>
<table xmlns="http://schemas.openxmlformats.org/spreadsheetml/2006/main" ref="B6:K27" displayName="Table_16" name="Table_16" id="17">
  <tableColumns count="10">
    <tableColumn name="Date" id="1"/>
    <tableColumn name="Open" id="2"/>
    <tableColumn name="High" id="3"/>
    <tableColumn name="Low" id="4"/>
    <tableColumn name="Price" id="5"/>
    <tableColumn name="Volume" id="6"/>
    <tableColumn name="Daily Returns" id="7"/>
    <tableColumn name="Standard Deviation" id="8"/>
    <tableColumn name="Average Return" id="9"/>
    <tableColumn name="Annual Return" id="10"/>
  </tableColumns>
  <tableStyleInfo name="Part D-style" showColumnStripes="0" showFirstColumn="1" showLastColumn="1" showRowStripes="1"/>
</table>
</file>

<file path=xl/tables/table18.xml><?xml version="1.0" encoding="utf-8"?>
<table xmlns="http://schemas.openxmlformats.org/spreadsheetml/2006/main" ref="N6:W27" displayName="Table_17" name="Table_17" id="18">
  <tableColumns count="10">
    <tableColumn name="Date" id="1"/>
    <tableColumn name="Open" id="2"/>
    <tableColumn name="High" id="3"/>
    <tableColumn name="Low" id="4"/>
    <tableColumn name="Price" id="5"/>
    <tableColumn name="Volume" id="6"/>
    <tableColumn name="Daily Returns" id="7"/>
    <tableColumn name="Standard Deviation" id="8"/>
    <tableColumn name="Average Return" id="9"/>
    <tableColumn name="Annual Return" id="10"/>
  </tableColumns>
  <tableStyleInfo name="Part D-style 2" showColumnStripes="0" showFirstColumn="1" showLastColumn="1" showRowStripes="1"/>
</table>
</file>

<file path=xl/tables/table19.xml><?xml version="1.0" encoding="utf-8"?>
<table xmlns="http://schemas.openxmlformats.org/spreadsheetml/2006/main" ref="Z6:AI27" displayName="Table_18" name="Table_18" id="19">
  <tableColumns count="10">
    <tableColumn name="Date" id="1"/>
    <tableColumn name="Open" id="2"/>
    <tableColumn name="High" id="3"/>
    <tableColumn name="Low" id="4"/>
    <tableColumn name="Price" id="5"/>
    <tableColumn name="Volume" id="6"/>
    <tableColumn name="Daily Returns" id="7"/>
    <tableColumn name="Standard Deviation" id="8"/>
    <tableColumn name="Average Return" id="9"/>
    <tableColumn name="Annual Return" id="10"/>
  </tableColumns>
  <tableStyleInfo name="Part D-style 3" showColumnStripes="0" showFirstColumn="1" showLastColumn="1" showRowStripes="1"/>
</table>
</file>

<file path=xl/tables/table20.xml><?xml version="1.0" encoding="utf-8"?>
<table xmlns="http://schemas.openxmlformats.org/spreadsheetml/2006/main" ref="AL6:AU27" displayName="Table_19" name="Table_19" id="20">
  <tableColumns count="10">
    <tableColumn name="Date" id="1"/>
    <tableColumn name="Open" id="2"/>
    <tableColumn name="High" id="3"/>
    <tableColumn name="Low" id="4"/>
    <tableColumn name="Price" id="5"/>
    <tableColumn name="Volume" id="6"/>
    <tableColumn name="Daily Returns" id="7"/>
    <tableColumn name="Standard Deviation" id="8"/>
    <tableColumn name="Average Return" id="9"/>
    <tableColumn name="Annual Return" id="10"/>
  </tableColumns>
  <tableStyleInfo name="Part D-style 4"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11" Type="http://schemas.openxmlformats.org/officeDocument/2006/relationships/table" Target="../tables/table3.xml"/><Relationship Id="rId10" Type="http://schemas.openxmlformats.org/officeDocument/2006/relationships/table" Target="../tables/table2.xml"/><Relationship Id="rId13" Type="http://schemas.openxmlformats.org/officeDocument/2006/relationships/table" Target="../tables/table5.xml"/><Relationship Id="rId12" Type="http://schemas.openxmlformats.org/officeDocument/2006/relationships/table" Target="../tables/table4.xml"/><Relationship Id="rId9" Type="http://schemas.openxmlformats.org/officeDocument/2006/relationships/table" Target="../tables/table1.xml"/><Relationship Id="rId15" Type="http://schemas.openxmlformats.org/officeDocument/2006/relationships/table" Target="../tables/table7.xml"/><Relationship Id="rId14" Type="http://schemas.openxmlformats.org/officeDocument/2006/relationships/table" Target="../tables/table6.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8.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9" Type="http://schemas.openxmlformats.org/officeDocument/2006/relationships/table" Target="../tables/table12.xml"/><Relationship Id="rId6" Type="http://schemas.openxmlformats.org/officeDocument/2006/relationships/table" Target="../tables/table9.xml"/><Relationship Id="rId7" Type="http://schemas.openxmlformats.org/officeDocument/2006/relationships/table" Target="../tables/table10.xml"/><Relationship Id="rId8" Type="http://schemas.openxmlformats.org/officeDocument/2006/relationships/table" Target="../tables/table1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9" Type="http://schemas.openxmlformats.org/officeDocument/2006/relationships/table" Target="../tables/table16.xml"/><Relationship Id="rId6" Type="http://schemas.openxmlformats.org/officeDocument/2006/relationships/table" Target="../tables/table13.xml"/><Relationship Id="rId7" Type="http://schemas.openxmlformats.org/officeDocument/2006/relationships/table" Target="../tables/table14.xml"/><Relationship Id="rId8" Type="http://schemas.openxmlformats.org/officeDocument/2006/relationships/table" Target="../tables/table1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9" Type="http://schemas.openxmlformats.org/officeDocument/2006/relationships/table" Target="../tables/table20.xml"/><Relationship Id="rId6" Type="http://schemas.openxmlformats.org/officeDocument/2006/relationships/table" Target="../tables/table17.xml"/><Relationship Id="rId7" Type="http://schemas.openxmlformats.org/officeDocument/2006/relationships/table" Target="../tables/table18.xml"/><Relationship Id="rId8" Type="http://schemas.openxmlformats.org/officeDocument/2006/relationships/table" Target="../tables/table19.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6.0"/>
    <col customWidth="1" min="3" max="3" width="16.63"/>
    <col customWidth="1" min="4" max="6" width="12.63"/>
    <col customWidth="1" min="10" max="10" width="15.5"/>
  </cols>
  <sheetData>
    <row r="1" ht="15.75" customHeight="1">
      <c r="A1" s="1"/>
      <c r="B1" s="1"/>
      <c r="C1" s="1"/>
      <c r="D1" s="1"/>
      <c r="E1" s="1"/>
      <c r="F1" s="1"/>
      <c r="G1" s="1"/>
      <c r="H1" s="1"/>
      <c r="I1" s="1"/>
      <c r="J1" s="1"/>
      <c r="K1" s="1"/>
      <c r="L1" s="1"/>
      <c r="M1" s="1"/>
      <c r="N1" s="1"/>
      <c r="O1" s="1"/>
      <c r="P1" s="2"/>
      <c r="Q1" s="2"/>
      <c r="R1" s="2"/>
      <c r="S1" s="2"/>
      <c r="T1" s="2"/>
      <c r="U1" s="2"/>
      <c r="V1" s="2"/>
      <c r="W1" s="2"/>
      <c r="X1" s="2"/>
      <c r="Y1" s="2"/>
      <c r="Z1" s="2"/>
      <c r="AA1" s="2"/>
    </row>
    <row r="2" ht="15.75" customHeight="1">
      <c r="A2" s="1"/>
      <c r="B2" s="3" t="s">
        <v>0</v>
      </c>
      <c r="C2" s="4"/>
      <c r="D2" s="4"/>
      <c r="E2" s="4"/>
      <c r="F2" s="4"/>
      <c r="G2" s="4"/>
      <c r="H2" s="4"/>
      <c r="I2" s="4"/>
      <c r="J2" s="4"/>
      <c r="K2" s="4"/>
      <c r="L2" s="4"/>
      <c r="M2" s="4"/>
      <c r="N2" s="4"/>
      <c r="O2" s="5"/>
      <c r="P2" s="2"/>
      <c r="Q2" s="2"/>
      <c r="R2" s="2"/>
      <c r="S2" s="2"/>
      <c r="T2" s="2"/>
      <c r="U2" s="2"/>
      <c r="V2" s="2"/>
      <c r="W2" s="2"/>
      <c r="X2" s="2"/>
      <c r="Y2" s="2"/>
      <c r="Z2" s="2"/>
      <c r="AA2" s="2"/>
    </row>
    <row r="3" ht="15.75" customHeight="1">
      <c r="A3" s="1"/>
      <c r="B3" s="6"/>
      <c r="O3" s="7"/>
      <c r="P3" s="2"/>
      <c r="Q3" s="2"/>
      <c r="R3" s="2"/>
      <c r="S3" s="2"/>
      <c r="T3" s="2"/>
      <c r="U3" s="2"/>
      <c r="V3" s="2"/>
      <c r="W3" s="2"/>
      <c r="X3" s="2"/>
      <c r="Y3" s="2"/>
      <c r="Z3" s="2"/>
      <c r="AA3" s="2"/>
    </row>
    <row r="4" ht="15.75" customHeight="1">
      <c r="A4" s="1"/>
      <c r="B4" s="6"/>
      <c r="O4" s="7"/>
      <c r="P4" s="2"/>
      <c r="Q4" s="2"/>
      <c r="R4" s="2"/>
      <c r="S4" s="2"/>
      <c r="T4" s="2"/>
      <c r="U4" s="2"/>
      <c r="V4" s="2"/>
      <c r="W4" s="2"/>
      <c r="X4" s="2"/>
      <c r="Y4" s="2"/>
      <c r="Z4" s="2"/>
      <c r="AA4" s="2"/>
    </row>
    <row r="5" ht="15.75" customHeight="1">
      <c r="A5" s="1"/>
      <c r="B5" s="6"/>
      <c r="O5" s="7"/>
      <c r="P5" s="2"/>
      <c r="Q5" s="2"/>
      <c r="R5" s="2"/>
      <c r="S5" s="2"/>
      <c r="T5" s="2"/>
      <c r="U5" s="2"/>
      <c r="V5" s="2"/>
      <c r="W5" s="2"/>
      <c r="X5" s="2"/>
      <c r="Y5" s="2"/>
      <c r="Z5" s="2"/>
      <c r="AA5" s="2"/>
    </row>
    <row r="6" ht="15.75" customHeight="1">
      <c r="A6" s="1"/>
      <c r="B6" s="6"/>
      <c r="O6" s="7"/>
      <c r="P6" s="2"/>
      <c r="Q6" s="2"/>
      <c r="R6" s="2"/>
      <c r="S6" s="2"/>
      <c r="T6" s="2"/>
      <c r="U6" s="2"/>
      <c r="V6" s="2"/>
      <c r="W6" s="2"/>
      <c r="X6" s="2"/>
      <c r="Y6" s="2"/>
      <c r="Z6" s="2"/>
      <c r="AA6" s="2"/>
    </row>
    <row r="7" ht="15.75" customHeight="1">
      <c r="A7" s="1"/>
      <c r="B7" s="8"/>
      <c r="C7" s="9"/>
      <c r="D7" s="9"/>
      <c r="E7" s="9"/>
      <c r="F7" s="9"/>
      <c r="G7" s="9"/>
      <c r="H7" s="9"/>
      <c r="I7" s="9"/>
      <c r="J7" s="9"/>
      <c r="K7" s="9"/>
      <c r="L7" s="9"/>
      <c r="M7" s="9"/>
      <c r="N7" s="9"/>
      <c r="O7" s="10"/>
      <c r="P7" s="2"/>
      <c r="Q7" s="2"/>
      <c r="R7" s="2"/>
      <c r="S7" s="2"/>
      <c r="T7" s="2"/>
      <c r="U7" s="2"/>
      <c r="V7" s="2"/>
      <c r="W7" s="2"/>
      <c r="X7" s="2"/>
      <c r="Y7" s="2"/>
      <c r="Z7" s="2"/>
      <c r="AA7" s="2"/>
    </row>
    <row r="8" ht="15.75" customHeight="1">
      <c r="A8" s="2"/>
      <c r="B8" s="2"/>
      <c r="C8" s="2"/>
      <c r="D8" s="2"/>
      <c r="E8" s="2"/>
      <c r="F8" s="2"/>
      <c r="G8" s="2"/>
      <c r="H8" s="2"/>
      <c r="I8" s="2"/>
      <c r="J8" s="2"/>
      <c r="K8" s="2"/>
      <c r="L8" s="2"/>
      <c r="M8" s="2"/>
      <c r="N8" s="2"/>
      <c r="O8" s="2"/>
      <c r="P8" s="2"/>
      <c r="Q8" s="2"/>
      <c r="R8" s="2"/>
      <c r="S8" s="2"/>
      <c r="T8" s="2"/>
      <c r="U8" s="2"/>
      <c r="V8" s="2"/>
      <c r="W8" s="2"/>
      <c r="X8" s="2"/>
      <c r="Y8" s="2"/>
      <c r="Z8" s="2"/>
      <c r="AA8" s="2"/>
    </row>
    <row r="9" ht="15.75" customHeight="1">
      <c r="A9" s="2"/>
      <c r="B9" s="2"/>
      <c r="C9" s="2"/>
      <c r="D9" s="2"/>
      <c r="E9" s="2"/>
      <c r="F9" s="2"/>
      <c r="G9" s="2"/>
      <c r="H9" s="2"/>
      <c r="I9" s="2"/>
      <c r="J9" s="2"/>
      <c r="K9" s="2"/>
      <c r="L9" s="2"/>
      <c r="M9" s="2"/>
      <c r="N9" s="2"/>
      <c r="O9" s="2"/>
      <c r="P9" s="2"/>
      <c r="Q9" s="2"/>
      <c r="R9" s="2"/>
      <c r="S9" s="2"/>
      <c r="T9" s="2"/>
      <c r="U9" s="2"/>
      <c r="V9" s="2"/>
      <c r="W9" s="2"/>
      <c r="X9" s="2"/>
      <c r="Y9" s="2"/>
      <c r="Z9" s="2"/>
      <c r="AA9" s="2"/>
    </row>
    <row r="10" ht="15.75" customHeight="1">
      <c r="A10" s="2"/>
      <c r="B10" s="2"/>
      <c r="C10" s="2"/>
      <c r="D10" s="2"/>
      <c r="E10" s="2"/>
      <c r="F10" s="2"/>
      <c r="G10" s="2"/>
      <c r="H10" s="2"/>
      <c r="I10" s="2"/>
      <c r="J10" s="2"/>
      <c r="K10" s="2"/>
      <c r="L10" s="2"/>
      <c r="M10" s="2"/>
      <c r="N10" s="2"/>
      <c r="O10" s="2"/>
      <c r="P10" s="2"/>
      <c r="Q10" s="2"/>
      <c r="R10" s="2"/>
      <c r="S10" s="2"/>
      <c r="T10" s="2"/>
      <c r="U10" s="2"/>
      <c r="V10" s="2"/>
      <c r="W10" s="2"/>
      <c r="X10" s="2"/>
      <c r="Y10" s="2"/>
      <c r="Z10" s="2"/>
      <c r="AA10" s="2"/>
    </row>
    <row r="11" ht="15.75" customHeight="1">
      <c r="A11" s="2"/>
      <c r="B11" s="11" t="s">
        <v>1</v>
      </c>
      <c r="C11" s="12"/>
      <c r="D11" s="2"/>
      <c r="E11" s="2"/>
      <c r="F11" s="13" t="s">
        <v>2</v>
      </c>
      <c r="G11" s="14"/>
      <c r="H11" s="14"/>
      <c r="I11" s="14"/>
      <c r="J11" s="14"/>
      <c r="K11" s="12"/>
      <c r="L11" s="2"/>
      <c r="M11" s="2"/>
      <c r="N11" s="2"/>
      <c r="O11" s="2"/>
      <c r="P11" s="2"/>
      <c r="Q11" s="2"/>
      <c r="R11" s="2"/>
      <c r="S11" s="2"/>
      <c r="T11" s="2"/>
      <c r="U11" s="2"/>
      <c r="V11" s="2"/>
      <c r="W11" s="2"/>
      <c r="X11" s="2"/>
      <c r="Y11" s="2"/>
      <c r="Z11" s="2"/>
      <c r="AA11" s="2"/>
    </row>
    <row r="12" ht="15.75" customHeight="1">
      <c r="A12" s="2"/>
      <c r="B12" s="15" t="s">
        <v>3</v>
      </c>
      <c r="C12" s="15" t="s">
        <v>4</v>
      </c>
      <c r="D12" s="2"/>
      <c r="E12" s="2"/>
      <c r="F12" s="2"/>
      <c r="G12" s="2"/>
      <c r="H12" s="2"/>
      <c r="I12" s="2"/>
      <c r="J12" s="2"/>
      <c r="K12" s="2"/>
      <c r="L12" s="2"/>
      <c r="M12" s="2"/>
      <c r="N12" s="2"/>
      <c r="O12" s="2"/>
      <c r="P12" s="2"/>
      <c r="Q12" s="2"/>
      <c r="R12" s="2"/>
      <c r="S12" s="2"/>
      <c r="T12" s="2"/>
      <c r="U12" s="2"/>
      <c r="V12" s="2"/>
      <c r="W12" s="2"/>
      <c r="X12" s="2"/>
      <c r="Y12" s="2"/>
      <c r="Z12" s="2"/>
      <c r="AA12" s="2"/>
    </row>
    <row r="13" ht="15.75" customHeight="1">
      <c r="A13" s="2"/>
      <c r="B13" s="16"/>
      <c r="C13" s="17"/>
      <c r="D13" s="2"/>
      <c r="E13" s="2"/>
      <c r="F13" s="18" t="s">
        <v>5</v>
      </c>
      <c r="G13" s="19" t="s">
        <v>6</v>
      </c>
      <c r="H13" s="20"/>
      <c r="I13" s="20"/>
      <c r="J13" s="20"/>
      <c r="K13" s="21"/>
      <c r="L13" s="2"/>
      <c r="M13" s="2"/>
      <c r="N13" s="2"/>
      <c r="O13" s="2"/>
      <c r="P13" s="2"/>
      <c r="Q13" s="2"/>
      <c r="R13" s="2"/>
      <c r="S13" s="2"/>
      <c r="T13" s="2"/>
      <c r="U13" s="2"/>
      <c r="V13" s="2"/>
      <c r="W13" s="2"/>
      <c r="X13" s="2"/>
      <c r="Y13" s="2"/>
      <c r="Z13" s="2"/>
      <c r="AA13" s="2"/>
    </row>
    <row r="14" ht="15.75" customHeight="1">
      <c r="A14" s="2"/>
      <c r="B14" s="16" t="s">
        <v>7</v>
      </c>
      <c r="C14" s="17" t="s">
        <v>8</v>
      </c>
      <c r="D14" s="2"/>
      <c r="E14" s="2"/>
      <c r="F14" s="22"/>
      <c r="G14" s="23"/>
      <c r="K14" s="24"/>
      <c r="L14" s="2"/>
      <c r="M14" s="2"/>
      <c r="N14" s="2"/>
      <c r="O14" s="2"/>
      <c r="P14" s="2"/>
      <c r="Q14" s="2"/>
      <c r="R14" s="2"/>
      <c r="S14" s="2"/>
      <c r="T14" s="2"/>
      <c r="U14" s="2"/>
      <c r="V14" s="2"/>
      <c r="W14" s="2"/>
      <c r="X14" s="2"/>
      <c r="Y14" s="2"/>
      <c r="Z14" s="2"/>
      <c r="AA14" s="2"/>
    </row>
    <row r="15" ht="15.75" customHeight="1">
      <c r="A15" s="2"/>
      <c r="B15" s="25" t="s">
        <v>9</v>
      </c>
      <c r="C15" s="26" t="s">
        <v>10</v>
      </c>
      <c r="D15" s="2"/>
      <c r="E15" s="2"/>
      <c r="F15" s="27"/>
      <c r="G15" s="28"/>
      <c r="H15" s="29"/>
      <c r="I15" s="29"/>
      <c r="J15" s="29"/>
      <c r="K15" s="30"/>
      <c r="L15" s="2"/>
      <c r="M15" s="2"/>
      <c r="N15" s="2"/>
      <c r="O15" s="2"/>
      <c r="P15" s="2"/>
      <c r="Q15" s="2"/>
      <c r="R15" s="2"/>
      <c r="S15" s="2"/>
      <c r="T15" s="2"/>
      <c r="U15" s="2"/>
      <c r="V15" s="2"/>
      <c r="W15" s="2"/>
      <c r="X15" s="2"/>
      <c r="Y15" s="2"/>
      <c r="Z15" s="2"/>
      <c r="AA15" s="2"/>
    </row>
    <row r="16" ht="15.75" customHeight="1">
      <c r="A16" s="2"/>
      <c r="B16" s="2"/>
      <c r="C16" s="2"/>
      <c r="D16" s="2"/>
      <c r="E16" s="2"/>
      <c r="F16" s="18" t="s">
        <v>11</v>
      </c>
      <c r="G16" s="31" t="s">
        <v>12</v>
      </c>
      <c r="H16" s="20"/>
      <c r="I16" s="20"/>
      <c r="J16" s="20"/>
      <c r="K16" s="21"/>
      <c r="L16" s="2"/>
      <c r="M16" s="2"/>
      <c r="N16" s="2"/>
      <c r="O16" s="2"/>
      <c r="P16" s="2"/>
      <c r="Q16" s="2"/>
      <c r="R16" s="2"/>
      <c r="S16" s="2"/>
      <c r="T16" s="2"/>
      <c r="U16" s="2"/>
      <c r="V16" s="2"/>
      <c r="W16" s="2"/>
      <c r="X16" s="2"/>
      <c r="Y16" s="2"/>
      <c r="Z16" s="2"/>
      <c r="AA16" s="2"/>
    </row>
    <row r="17" ht="15.75" customHeight="1">
      <c r="A17" s="2"/>
      <c r="B17" s="2"/>
      <c r="C17" s="2"/>
      <c r="D17" s="2"/>
      <c r="E17" s="2"/>
      <c r="F17" s="22"/>
      <c r="G17" s="23"/>
      <c r="K17" s="24"/>
      <c r="L17" s="2"/>
      <c r="M17" s="2"/>
      <c r="N17" s="2"/>
      <c r="O17" s="2"/>
      <c r="P17" s="2"/>
      <c r="Q17" s="2"/>
      <c r="R17" s="2"/>
      <c r="S17" s="2"/>
      <c r="T17" s="2"/>
      <c r="U17" s="2"/>
      <c r="V17" s="2"/>
      <c r="W17" s="2"/>
      <c r="X17" s="2"/>
      <c r="Y17" s="2"/>
      <c r="Z17" s="2"/>
      <c r="AA17" s="2"/>
    </row>
    <row r="18" ht="15.75" customHeight="1">
      <c r="A18" s="2"/>
      <c r="B18" s="2"/>
      <c r="C18" s="2"/>
      <c r="D18" s="2"/>
      <c r="E18" s="2"/>
      <c r="F18" s="27"/>
      <c r="G18" s="28"/>
      <c r="H18" s="29"/>
      <c r="I18" s="29"/>
      <c r="J18" s="29"/>
      <c r="K18" s="30"/>
      <c r="L18" s="2"/>
      <c r="M18" s="2"/>
      <c r="N18" s="2"/>
      <c r="O18" s="2"/>
      <c r="P18" s="2"/>
      <c r="Q18" s="2"/>
      <c r="R18" s="2"/>
      <c r="S18" s="2"/>
      <c r="T18" s="2"/>
      <c r="U18" s="2"/>
      <c r="V18" s="2"/>
      <c r="W18" s="2"/>
      <c r="X18" s="2"/>
      <c r="Y18" s="2"/>
      <c r="Z18" s="2"/>
      <c r="AA18" s="2"/>
    </row>
    <row r="19" ht="15.75" customHeight="1">
      <c r="A19" s="2"/>
      <c r="B19" s="2"/>
      <c r="C19" s="2"/>
      <c r="D19" s="2"/>
      <c r="E19" s="2"/>
      <c r="F19" s="18" t="s">
        <v>13</v>
      </c>
      <c r="G19" s="31" t="s">
        <v>14</v>
      </c>
      <c r="H19" s="20"/>
      <c r="I19" s="20"/>
      <c r="J19" s="20"/>
      <c r="K19" s="21"/>
      <c r="L19" s="2"/>
      <c r="M19" s="2"/>
      <c r="N19" s="2"/>
      <c r="O19" s="2"/>
      <c r="P19" s="2"/>
      <c r="Q19" s="2"/>
      <c r="R19" s="2"/>
      <c r="S19" s="2"/>
      <c r="T19" s="2"/>
      <c r="U19" s="2"/>
      <c r="V19" s="2"/>
      <c r="W19" s="2"/>
      <c r="X19" s="2"/>
      <c r="Y19" s="2"/>
      <c r="Z19" s="2"/>
      <c r="AA19" s="2"/>
    </row>
    <row r="20" ht="15.75" customHeight="1">
      <c r="A20" s="2"/>
      <c r="B20" s="2"/>
      <c r="C20" s="2"/>
      <c r="D20" s="2"/>
      <c r="E20" s="2"/>
      <c r="F20" s="22"/>
      <c r="G20" s="23"/>
      <c r="K20" s="24"/>
      <c r="L20" s="2"/>
      <c r="M20" s="2"/>
      <c r="N20" s="2"/>
      <c r="O20" s="2"/>
      <c r="P20" s="2"/>
      <c r="Q20" s="2"/>
      <c r="R20" s="2"/>
      <c r="S20" s="2"/>
      <c r="T20" s="2"/>
      <c r="U20" s="2"/>
      <c r="V20" s="2"/>
      <c r="W20" s="2"/>
      <c r="X20" s="2"/>
      <c r="Y20" s="2"/>
      <c r="Z20" s="2"/>
      <c r="AA20" s="2"/>
    </row>
    <row r="21" ht="15.75" customHeight="1">
      <c r="A21" s="2"/>
      <c r="B21" s="2"/>
      <c r="C21" s="2"/>
      <c r="D21" s="2"/>
      <c r="E21" s="2"/>
      <c r="F21" s="27"/>
      <c r="G21" s="28"/>
      <c r="H21" s="29"/>
      <c r="I21" s="29"/>
      <c r="J21" s="29"/>
      <c r="K21" s="30"/>
      <c r="L21" s="2"/>
      <c r="M21" s="2"/>
      <c r="N21" s="2"/>
      <c r="O21" s="2"/>
      <c r="P21" s="2"/>
      <c r="Q21" s="2"/>
      <c r="R21" s="2"/>
      <c r="S21" s="2"/>
      <c r="T21" s="2"/>
      <c r="U21" s="2"/>
      <c r="V21" s="2"/>
      <c r="W21" s="2"/>
      <c r="X21" s="2"/>
      <c r="Y21" s="2"/>
      <c r="Z21" s="2"/>
      <c r="AA21" s="2"/>
    </row>
    <row r="22" ht="15.75" customHeight="1">
      <c r="A22" s="2"/>
      <c r="B22" s="2"/>
      <c r="C22" s="2"/>
      <c r="D22" s="2"/>
      <c r="E22" s="2"/>
      <c r="F22" s="18" t="s">
        <v>15</v>
      </c>
      <c r="G22" s="31" t="s">
        <v>16</v>
      </c>
      <c r="H22" s="20"/>
      <c r="I22" s="20"/>
      <c r="J22" s="20"/>
      <c r="K22" s="21"/>
      <c r="L22" s="2"/>
      <c r="M22" s="2"/>
      <c r="N22" s="2"/>
      <c r="O22" s="2"/>
      <c r="P22" s="2"/>
      <c r="Q22" s="2"/>
      <c r="R22" s="2"/>
      <c r="S22" s="2"/>
      <c r="T22" s="2"/>
      <c r="U22" s="2"/>
      <c r="V22" s="2"/>
      <c r="W22" s="2"/>
      <c r="X22" s="2"/>
      <c r="Y22" s="2"/>
      <c r="Z22" s="2"/>
      <c r="AA22" s="2"/>
    </row>
    <row r="23" ht="15.75" customHeight="1">
      <c r="A23" s="2"/>
      <c r="B23" s="2"/>
      <c r="C23" s="2"/>
      <c r="D23" s="2"/>
      <c r="E23" s="2"/>
      <c r="F23" s="22"/>
      <c r="G23" s="23"/>
      <c r="K23" s="24"/>
      <c r="L23" s="2"/>
      <c r="M23" s="2"/>
      <c r="N23" s="2"/>
      <c r="O23" s="2"/>
      <c r="P23" s="2"/>
      <c r="Q23" s="2"/>
      <c r="R23" s="2"/>
      <c r="S23" s="2"/>
      <c r="T23" s="2"/>
      <c r="U23" s="2"/>
      <c r="V23" s="2"/>
      <c r="W23" s="2"/>
      <c r="X23" s="2"/>
      <c r="Y23" s="2"/>
      <c r="Z23" s="2"/>
      <c r="AA23" s="2"/>
    </row>
    <row r="24" ht="15.75" customHeight="1">
      <c r="A24" s="2"/>
      <c r="B24" s="2"/>
      <c r="C24" s="2"/>
      <c r="D24" s="2"/>
      <c r="E24" s="2"/>
      <c r="F24" s="27"/>
      <c r="G24" s="28"/>
      <c r="H24" s="29"/>
      <c r="I24" s="29"/>
      <c r="J24" s="29"/>
      <c r="K24" s="30"/>
      <c r="L24" s="2"/>
      <c r="M24" s="2"/>
      <c r="N24" s="2"/>
      <c r="O24" s="2"/>
      <c r="P24" s="2"/>
      <c r="Q24" s="2"/>
      <c r="R24" s="2"/>
      <c r="S24" s="2"/>
      <c r="T24" s="2"/>
      <c r="U24" s="2"/>
      <c r="V24" s="2"/>
      <c r="W24" s="2"/>
      <c r="X24" s="2"/>
      <c r="Y24" s="2"/>
      <c r="Z24" s="2"/>
      <c r="AA24" s="2"/>
    </row>
    <row r="25" ht="15.75" customHeight="1">
      <c r="A25" s="2"/>
      <c r="B25" s="2"/>
      <c r="C25" s="2"/>
      <c r="D25" s="2"/>
      <c r="E25" s="2"/>
      <c r="F25" s="18" t="s">
        <v>17</v>
      </c>
      <c r="G25" s="31" t="s">
        <v>18</v>
      </c>
      <c r="H25" s="20"/>
      <c r="I25" s="20"/>
      <c r="J25" s="20"/>
      <c r="K25" s="21"/>
      <c r="L25" s="2"/>
      <c r="M25" s="2"/>
      <c r="N25" s="2"/>
      <c r="O25" s="2"/>
      <c r="P25" s="2"/>
      <c r="Q25" s="2"/>
      <c r="R25" s="2"/>
      <c r="S25" s="2"/>
      <c r="T25" s="2"/>
      <c r="U25" s="2"/>
      <c r="V25" s="2"/>
      <c r="W25" s="2"/>
      <c r="X25" s="2"/>
      <c r="Y25" s="2"/>
      <c r="Z25" s="2"/>
      <c r="AA25" s="2"/>
    </row>
    <row r="26" ht="15.75" customHeight="1">
      <c r="A26" s="2"/>
      <c r="B26" s="2"/>
      <c r="C26" s="2"/>
      <c r="D26" s="2"/>
      <c r="E26" s="2"/>
      <c r="F26" s="22"/>
      <c r="G26" s="23"/>
      <c r="K26" s="24"/>
      <c r="L26" s="2"/>
      <c r="M26" s="2"/>
      <c r="N26" s="2"/>
      <c r="O26" s="2"/>
      <c r="P26" s="2"/>
      <c r="Q26" s="2"/>
      <c r="R26" s="2"/>
      <c r="S26" s="2"/>
      <c r="T26" s="2"/>
      <c r="U26" s="2"/>
      <c r="V26" s="2"/>
      <c r="W26" s="2"/>
      <c r="X26" s="2"/>
      <c r="Y26" s="2"/>
      <c r="Z26" s="2"/>
      <c r="AA26" s="2"/>
    </row>
    <row r="27" ht="15.75" customHeight="1">
      <c r="A27" s="2"/>
      <c r="B27" s="2"/>
      <c r="C27" s="2"/>
      <c r="D27" s="2"/>
      <c r="E27" s="2"/>
      <c r="F27" s="27"/>
      <c r="G27" s="28"/>
      <c r="H27" s="29"/>
      <c r="I27" s="29"/>
      <c r="J27" s="29"/>
      <c r="K27" s="30"/>
      <c r="L27" s="2"/>
      <c r="M27" s="2"/>
      <c r="N27" s="2"/>
      <c r="O27" s="2"/>
      <c r="P27" s="2"/>
      <c r="Q27" s="2"/>
      <c r="R27" s="2"/>
      <c r="S27" s="2"/>
      <c r="T27" s="2"/>
      <c r="U27" s="2"/>
      <c r="V27" s="2"/>
      <c r="W27" s="2"/>
      <c r="X27" s="2"/>
      <c r="Y27" s="2"/>
      <c r="Z27" s="2"/>
      <c r="AA27" s="2"/>
    </row>
    <row r="28" ht="15.75" customHeight="1">
      <c r="A28" s="2"/>
      <c r="B28" s="2"/>
      <c r="C28" s="2"/>
      <c r="D28" s="2"/>
      <c r="E28" s="2"/>
      <c r="F28" s="18" t="s">
        <v>19</v>
      </c>
      <c r="G28" s="31" t="s">
        <v>20</v>
      </c>
      <c r="H28" s="20"/>
      <c r="I28" s="20"/>
      <c r="J28" s="20"/>
      <c r="K28" s="21"/>
      <c r="L28" s="2"/>
      <c r="M28" s="2"/>
      <c r="N28" s="2"/>
      <c r="O28" s="2"/>
      <c r="P28" s="2"/>
      <c r="Q28" s="2"/>
      <c r="R28" s="2"/>
      <c r="S28" s="2"/>
      <c r="T28" s="2"/>
      <c r="U28" s="2"/>
      <c r="V28" s="2"/>
      <c r="W28" s="2"/>
      <c r="X28" s="2"/>
      <c r="Y28" s="2"/>
      <c r="Z28" s="2"/>
      <c r="AA28" s="2"/>
    </row>
    <row r="29" ht="15.75" customHeight="1">
      <c r="A29" s="2"/>
      <c r="B29" s="2"/>
      <c r="C29" s="2"/>
      <c r="D29" s="2"/>
      <c r="E29" s="2"/>
      <c r="F29" s="22"/>
      <c r="G29" s="23"/>
      <c r="K29" s="24"/>
      <c r="L29" s="2"/>
      <c r="M29" s="2"/>
      <c r="N29" s="2"/>
      <c r="O29" s="2"/>
      <c r="P29" s="2"/>
      <c r="Q29" s="2"/>
      <c r="R29" s="2"/>
      <c r="S29" s="2"/>
      <c r="T29" s="2"/>
      <c r="U29" s="2"/>
      <c r="V29" s="2"/>
      <c r="W29" s="2"/>
      <c r="X29" s="2"/>
      <c r="Y29" s="2"/>
      <c r="Z29" s="2"/>
      <c r="AA29" s="2"/>
    </row>
    <row r="30" ht="15.75" customHeight="1">
      <c r="A30" s="2"/>
      <c r="B30" s="2"/>
      <c r="C30" s="2"/>
      <c r="D30" s="2"/>
      <c r="E30" s="2"/>
      <c r="F30" s="27"/>
      <c r="G30" s="28"/>
      <c r="H30" s="29"/>
      <c r="I30" s="29"/>
      <c r="J30" s="29"/>
      <c r="K30" s="30"/>
      <c r="L30" s="2"/>
      <c r="M30" s="2"/>
      <c r="N30" s="2"/>
      <c r="O30" s="2"/>
      <c r="P30" s="2"/>
      <c r="Q30" s="2"/>
      <c r="R30" s="2"/>
      <c r="S30" s="2"/>
      <c r="T30" s="2"/>
      <c r="U30" s="2"/>
      <c r="V30" s="2"/>
      <c r="W30" s="2"/>
      <c r="X30" s="2"/>
      <c r="Y30" s="2"/>
      <c r="Z30" s="2"/>
      <c r="AA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F19:F21"/>
    <mergeCell ref="G19:K21"/>
    <mergeCell ref="F22:F24"/>
    <mergeCell ref="G22:K24"/>
    <mergeCell ref="F25:F27"/>
    <mergeCell ref="G25:K27"/>
    <mergeCell ref="F28:F30"/>
    <mergeCell ref="G28:K30"/>
    <mergeCell ref="B2:O7"/>
    <mergeCell ref="B11:C11"/>
    <mergeCell ref="F11:K11"/>
    <mergeCell ref="F13:F15"/>
    <mergeCell ref="G13:K15"/>
    <mergeCell ref="F16:F18"/>
    <mergeCell ref="G16:K1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9.38"/>
    <col customWidth="1" min="2" max="2" width="32.25"/>
    <col customWidth="1" min="3" max="3" width="26.38"/>
    <col customWidth="1" min="4" max="4" width="12.88"/>
    <col customWidth="1" min="5" max="5" width="22.63"/>
    <col customWidth="1" min="6" max="6" width="13.5"/>
    <col customWidth="1" min="7" max="7" width="18.88"/>
    <col customWidth="1" min="8" max="8" width="11.25"/>
    <col customWidth="1" min="9" max="9" width="22.63"/>
    <col customWidth="1" min="10" max="10" width="10.63"/>
    <col customWidth="1" min="11" max="11" width="18.88"/>
    <col customWidth="1" min="12" max="12" width="12.13"/>
    <col customWidth="1" min="13" max="13" width="18.25"/>
    <col customWidth="1" min="16" max="16" width="18.38"/>
    <col customWidth="1" min="18" max="18" width="17.25"/>
    <col customWidth="1" min="20" max="20" width="15.63"/>
    <col customWidth="1" min="22" max="22" width="14.88"/>
    <col customWidth="1" min="25" max="25" width="14.63"/>
    <col customWidth="1" min="27" max="27" width="14.13"/>
    <col customWidth="1" min="29" max="29" width="14.38"/>
    <col customWidth="1" min="30" max="30" width="15.25"/>
    <col customWidth="1" min="31" max="31" width="19.5"/>
    <col customWidth="1" min="32" max="32" width="16.5"/>
    <col customWidth="1" min="33" max="33" width="19.88"/>
    <col customWidth="1" min="34" max="34" width="15.0"/>
    <col customWidth="1" min="35" max="35" width="16.25"/>
    <col customWidth="1" min="37" max="37" width="23.63"/>
    <col customWidth="1" min="39" max="39" width="18.75"/>
    <col customWidth="1" min="40" max="40" width="20.88"/>
    <col customWidth="1" min="41" max="41" width="18.13"/>
  </cols>
  <sheetData>
    <row r="1" ht="32.25" customHeight="1">
      <c r="A1" s="32"/>
      <c r="B1" s="32"/>
      <c r="C1" s="32"/>
      <c r="D1" s="32"/>
      <c r="E1" s="32"/>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row>
    <row r="2" ht="35.25" customHeight="1">
      <c r="A2" s="32"/>
      <c r="B2" s="32"/>
      <c r="C2" s="32"/>
      <c r="D2" s="32"/>
      <c r="E2" s="32"/>
      <c r="F2" s="32"/>
      <c r="G2" s="32"/>
      <c r="H2" s="32"/>
      <c r="I2" s="32"/>
      <c r="J2" s="32"/>
      <c r="K2" s="32"/>
      <c r="L2" s="32"/>
      <c r="M2" s="32"/>
      <c r="N2" s="32"/>
      <c r="O2" s="32"/>
      <c r="P2" s="32"/>
      <c r="Q2" s="32"/>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c r="BE2" s="32"/>
      <c r="BF2" s="32"/>
      <c r="BG2" s="32"/>
      <c r="BH2" s="32"/>
      <c r="BI2" s="32"/>
      <c r="BJ2" s="32"/>
    </row>
    <row r="3" ht="15.75" customHeight="1">
      <c r="A3" s="32"/>
      <c r="B3" s="33" t="s">
        <v>21</v>
      </c>
      <c r="C3" s="21"/>
      <c r="D3" s="32"/>
      <c r="E3" s="32"/>
      <c r="F3" s="32"/>
      <c r="G3" s="32"/>
      <c r="H3" s="32"/>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c r="AQ3" s="32"/>
      <c r="AR3" s="32"/>
      <c r="AS3" s="32"/>
      <c r="AT3" s="32"/>
      <c r="AU3" s="32"/>
      <c r="AV3" s="32"/>
      <c r="AW3" s="32"/>
      <c r="AX3" s="32"/>
      <c r="AY3" s="32"/>
      <c r="AZ3" s="32"/>
      <c r="BA3" s="32"/>
      <c r="BB3" s="32"/>
      <c r="BC3" s="32"/>
      <c r="BD3" s="32"/>
      <c r="BE3" s="32"/>
      <c r="BF3" s="32"/>
      <c r="BG3" s="32"/>
      <c r="BH3" s="32"/>
      <c r="BI3" s="32"/>
      <c r="BJ3" s="32"/>
    </row>
    <row r="4" ht="37.5" customHeight="1">
      <c r="A4" s="32"/>
      <c r="B4" s="34" t="s">
        <v>22</v>
      </c>
      <c r="C4" s="35" t="s">
        <v>23</v>
      </c>
      <c r="D4" s="14"/>
      <c r="E4" s="14"/>
      <c r="F4" s="14"/>
      <c r="G4" s="14"/>
      <c r="H4" s="14"/>
      <c r="I4" s="12"/>
      <c r="J4" s="32"/>
      <c r="K4" s="32"/>
      <c r="L4" s="32"/>
      <c r="M4" s="32"/>
      <c r="N4" s="32"/>
      <c r="O4" s="32"/>
      <c r="P4" s="32"/>
      <c r="Q4" s="32"/>
      <c r="R4" s="32"/>
      <c r="S4" s="32"/>
      <c r="T4" s="32"/>
      <c r="U4" s="32"/>
      <c r="V4" s="32"/>
      <c r="W4" s="32"/>
      <c r="X4" s="32"/>
      <c r="Y4" s="32"/>
      <c r="Z4" s="32"/>
      <c r="AA4" s="32"/>
      <c r="AB4" s="32"/>
      <c r="AC4" s="32"/>
      <c r="AD4" s="32"/>
      <c r="AE4" s="32"/>
      <c r="AF4" s="32"/>
      <c r="AG4" s="32"/>
      <c r="AH4" s="32"/>
      <c r="AI4" s="32"/>
      <c r="AJ4" s="32"/>
      <c r="AK4" s="32"/>
      <c r="AL4" s="32"/>
      <c r="AM4" s="32"/>
      <c r="AN4" s="32"/>
      <c r="AO4" s="32"/>
      <c r="AP4" s="32"/>
      <c r="AQ4" s="32"/>
      <c r="AR4" s="32"/>
      <c r="AS4" s="32"/>
      <c r="AT4" s="32"/>
      <c r="AU4" s="32"/>
      <c r="AV4" s="32"/>
      <c r="AW4" s="32"/>
      <c r="AX4" s="32"/>
      <c r="AY4" s="32"/>
      <c r="AZ4" s="32"/>
      <c r="BA4" s="32"/>
      <c r="BB4" s="32"/>
      <c r="BC4" s="32"/>
      <c r="BD4" s="32"/>
      <c r="BE4" s="32"/>
      <c r="BF4" s="32"/>
      <c r="BG4" s="32"/>
      <c r="BH4" s="32"/>
      <c r="BI4" s="32"/>
      <c r="BJ4" s="32"/>
    </row>
    <row r="5" ht="45.0" customHeight="1">
      <c r="A5" s="32"/>
      <c r="B5" s="34" t="s">
        <v>24</v>
      </c>
      <c r="C5" s="35" t="s">
        <v>25</v>
      </c>
      <c r="D5" s="14"/>
      <c r="E5" s="14"/>
      <c r="F5" s="14"/>
      <c r="G5" s="14"/>
      <c r="H5" s="14"/>
      <c r="I5" s="12"/>
      <c r="J5" s="32"/>
      <c r="K5" s="32"/>
      <c r="L5" s="32"/>
      <c r="M5" s="32"/>
      <c r="N5" s="32"/>
      <c r="O5" s="32"/>
      <c r="P5" s="32"/>
      <c r="Q5" s="32"/>
      <c r="R5" s="32"/>
      <c r="S5" s="32"/>
      <c r="T5" s="32"/>
      <c r="U5" s="32"/>
      <c r="V5" s="32"/>
      <c r="W5" s="32"/>
      <c r="X5" s="32"/>
      <c r="Y5" s="32"/>
      <c r="Z5" s="32"/>
      <c r="AA5" s="32"/>
      <c r="AB5" s="32"/>
      <c r="AC5" s="32"/>
      <c r="AD5" s="32"/>
      <c r="AE5" s="32"/>
      <c r="AF5" s="32"/>
      <c r="AG5" s="32"/>
      <c r="AH5" s="32"/>
      <c r="AI5" s="32"/>
      <c r="AJ5" s="32"/>
      <c r="AK5" s="32"/>
      <c r="AL5" s="32"/>
      <c r="AM5" s="32"/>
      <c r="AN5" s="32"/>
      <c r="AO5" s="32"/>
      <c r="AP5" s="32"/>
      <c r="AQ5" s="32"/>
      <c r="AR5" s="32"/>
      <c r="AS5" s="32"/>
      <c r="AT5" s="32"/>
      <c r="AU5" s="32"/>
      <c r="AV5" s="32"/>
      <c r="AW5" s="32"/>
      <c r="AX5" s="32"/>
      <c r="AY5" s="32"/>
      <c r="AZ5" s="32"/>
      <c r="BA5" s="32"/>
      <c r="BB5" s="32"/>
      <c r="BC5" s="32"/>
      <c r="BD5" s="32"/>
      <c r="BE5" s="32"/>
      <c r="BF5" s="32"/>
      <c r="BG5" s="32"/>
      <c r="BH5" s="32"/>
      <c r="BI5" s="32"/>
      <c r="BJ5" s="32"/>
    </row>
    <row r="6" ht="42.75" customHeight="1">
      <c r="A6" s="32"/>
      <c r="B6" s="34" t="s">
        <v>26</v>
      </c>
      <c r="C6" s="35" t="s">
        <v>27</v>
      </c>
      <c r="D6" s="14"/>
      <c r="E6" s="14"/>
      <c r="F6" s="14"/>
      <c r="G6" s="14"/>
      <c r="H6" s="14"/>
      <c r="I6" s="12"/>
      <c r="J6" s="32"/>
      <c r="K6" s="32"/>
      <c r="L6" s="32"/>
      <c r="M6" s="32"/>
      <c r="N6" s="32"/>
      <c r="O6" s="32"/>
      <c r="P6" s="32"/>
      <c r="Q6" s="32"/>
      <c r="R6" s="32"/>
      <c r="S6" s="32"/>
      <c r="T6" s="32"/>
      <c r="U6" s="32"/>
      <c r="V6" s="32"/>
      <c r="W6" s="32"/>
      <c r="X6" s="32"/>
      <c r="Y6" s="32"/>
      <c r="Z6" s="32"/>
      <c r="AA6" s="32"/>
      <c r="AB6" s="32"/>
      <c r="AC6" s="32"/>
      <c r="AD6" s="32"/>
      <c r="AE6" s="32"/>
      <c r="AF6" s="32"/>
      <c r="AG6" s="32"/>
      <c r="AH6" s="32"/>
      <c r="AI6" s="32"/>
      <c r="AJ6" s="32"/>
      <c r="AK6" s="32"/>
      <c r="AL6" s="32"/>
      <c r="AM6" s="32"/>
      <c r="AN6" s="32"/>
      <c r="AO6" s="32"/>
      <c r="AP6" s="32"/>
      <c r="AQ6" s="32"/>
      <c r="AR6" s="32"/>
      <c r="AS6" s="32"/>
      <c r="AT6" s="32"/>
      <c r="AU6" s="32"/>
      <c r="AV6" s="32"/>
      <c r="AW6" s="32"/>
      <c r="AX6" s="32"/>
      <c r="AY6" s="32"/>
      <c r="AZ6" s="32"/>
      <c r="BA6" s="32"/>
      <c r="BB6" s="32"/>
      <c r="BC6" s="32"/>
      <c r="BD6" s="32"/>
      <c r="BE6" s="32"/>
      <c r="BF6" s="32"/>
      <c r="BG6" s="32"/>
      <c r="BH6" s="32"/>
      <c r="BI6" s="32"/>
      <c r="BJ6" s="32"/>
    </row>
    <row r="7" ht="41.25" customHeight="1">
      <c r="A7" s="32"/>
      <c r="B7" s="34" t="s">
        <v>28</v>
      </c>
      <c r="C7" s="35" t="s">
        <v>29</v>
      </c>
      <c r="D7" s="14"/>
      <c r="E7" s="14"/>
      <c r="F7" s="14"/>
      <c r="G7" s="14"/>
      <c r="H7" s="14"/>
      <c r="I7" s="12"/>
      <c r="J7" s="32"/>
      <c r="K7" s="32"/>
      <c r="L7" s="32"/>
      <c r="M7" s="32"/>
      <c r="N7" s="32"/>
      <c r="O7" s="32"/>
      <c r="P7" s="32"/>
      <c r="Q7" s="32"/>
      <c r="R7" s="32"/>
      <c r="S7" s="32"/>
      <c r="T7" s="32"/>
      <c r="U7" s="32"/>
      <c r="V7" s="32"/>
      <c r="W7" s="32"/>
      <c r="X7" s="32"/>
      <c r="Y7" s="32"/>
      <c r="Z7" s="32"/>
      <c r="AA7" s="32"/>
      <c r="AB7" s="32"/>
      <c r="AC7" s="32"/>
      <c r="AD7" s="32"/>
      <c r="AE7" s="32"/>
      <c r="AF7" s="32"/>
      <c r="AG7" s="32"/>
      <c r="AH7" s="32"/>
      <c r="AI7" s="32"/>
      <c r="AJ7" s="32"/>
      <c r="AK7" s="32"/>
      <c r="AL7" s="32"/>
      <c r="AM7" s="32"/>
      <c r="AN7" s="32"/>
      <c r="AO7" s="32"/>
      <c r="AP7" s="32"/>
      <c r="AQ7" s="32"/>
      <c r="AR7" s="32"/>
      <c r="AS7" s="32"/>
      <c r="AT7" s="32"/>
      <c r="AU7" s="32"/>
      <c r="AV7" s="32"/>
      <c r="AW7" s="32"/>
      <c r="AX7" s="32"/>
      <c r="AY7" s="32"/>
      <c r="AZ7" s="32"/>
      <c r="BA7" s="32"/>
      <c r="BB7" s="32"/>
      <c r="BC7" s="32"/>
      <c r="BD7" s="32"/>
      <c r="BE7" s="32"/>
      <c r="BF7" s="32"/>
      <c r="BG7" s="32"/>
      <c r="BH7" s="32"/>
      <c r="BI7" s="32"/>
      <c r="BJ7" s="32"/>
    </row>
    <row r="8" ht="76.5" customHeight="1">
      <c r="A8" s="32"/>
      <c r="B8" s="34" t="s">
        <v>30</v>
      </c>
      <c r="C8" s="35" t="s">
        <v>31</v>
      </c>
      <c r="D8" s="14"/>
      <c r="E8" s="14"/>
      <c r="F8" s="14"/>
      <c r="G8" s="14"/>
      <c r="H8" s="14"/>
      <c r="I8" s="12"/>
      <c r="J8" s="32"/>
      <c r="K8" s="32"/>
      <c r="L8" s="32"/>
      <c r="M8" s="32"/>
      <c r="N8" s="32"/>
      <c r="O8" s="32"/>
      <c r="P8" s="32"/>
      <c r="Q8" s="32"/>
      <c r="R8" s="32"/>
      <c r="S8" s="32"/>
      <c r="T8" s="32"/>
      <c r="U8" s="32"/>
      <c r="V8" s="32"/>
      <c r="W8" s="32"/>
      <c r="X8" s="32"/>
      <c r="Y8" s="32"/>
      <c r="Z8" s="32"/>
      <c r="AA8" s="32"/>
      <c r="AB8" s="32"/>
      <c r="AC8" s="32"/>
      <c r="AD8" s="32"/>
      <c r="AE8" s="32"/>
      <c r="AF8" s="32"/>
      <c r="AG8" s="32"/>
      <c r="AH8" s="32"/>
      <c r="AI8" s="32"/>
      <c r="AJ8" s="32"/>
      <c r="AK8" s="32"/>
      <c r="AL8" s="32"/>
      <c r="AM8" s="32"/>
      <c r="AN8" s="32"/>
      <c r="AO8" s="32"/>
      <c r="AP8" s="32"/>
      <c r="AQ8" s="32"/>
      <c r="AR8" s="32"/>
      <c r="AS8" s="32"/>
      <c r="AT8" s="32"/>
      <c r="AU8" s="32"/>
      <c r="AV8" s="32"/>
      <c r="AW8" s="32"/>
      <c r="AX8" s="32"/>
      <c r="AY8" s="32"/>
      <c r="AZ8" s="32"/>
      <c r="BA8" s="32"/>
      <c r="BB8" s="32"/>
      <c r="BC8" s="32"/>
      <c r="BD8" s="32"/>
      <c r="BE8" s="32"/>
      <c r="BF8" s="32"/>
      <c r="BG8" s="32"/>
      <c r="BH8" s="32"/>
      <c r="BI8" s="32"/>
      <c r="BJ8" s="32"/>
    </row>
    <row r="9" ht="48.0" customHeight="1">
      <c r="A9" s="32"/>
      <c r="B9" s="34" t="s">
        <v>32</v>
      </c>
      <c r="C9" s="35" t="s">
        <v>33</v>
      </c>
      <c r="D9" s="14"/>
      <c r="E9" s="14"/>
      <c r="F9" s="14"/>
      <c r="G9" s="14"/>
      <c r="H9" s="14"/>
      <c r="I9" s="12"/>
      <c r="J9" s="32"/>
      <c r="K9" s="32"/>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row>
    <row r="10" ht="38.25" customHeight="1">
      <c r="A10" s="32"/>
      <c r="B10" s="34" t="s">
        <v>34</v>
      </c>
      <c r="C10" s="35" t="s">
        <v>35</v>
      </c>
      <c r="D10" s="14"/>
      <c r="E10" s="14"/>
      <c r="F10" s="14"/>
      <c r="G10" s="14"/>
      <c r="H10" s="14"/>
      <c r="I10" s="12"/>
      <c r="J10" s="32"/>
      <c r="K10" s="32"/>
      <c r="L10" s="32"/>
      <c r="M10" s="32"/>
      <c r="N10" s="32"/>
      <c r="O10" s="32"/>
      <c r="P10" s="32"/>
      <c r="Q10" s="32"/>
      <c r="R10" s="32"/>
      <c r="S10" s="32"/>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c r="AR10" s="32"/>
      <c r="AS10" s="32"/>
      <c r="AT10" s="32"/>
      <c r="AU10" s="32"/>
      <c r="AV10" s="32"/>
      <c r="AW10" s="32"/>
      <c r="AX10" s="32"/>
      <c r="AY10" s="32"/>
      <c r="AZ10" s="32"/>
      <c r="BA10" s="32"/>
      <c r="BB10" s="32"/>
      <c r="BC10" s="32"/>
      <c r="BD10" s="32"/>
      <c r="BE10" s="32"/>
      <c r="BF10" s="32"/>
      <c r="BG10" s="32"/>
      <c r="BH10" s="32"/>
      <c r="BI10" s="32"/>
      <c r="BJ10" s="32"/>
    </row>
    <row r="11" ht="42.75" customHeight="1">
      <c r="A11" s="32"/>
      <c r="B11" s="34" t="s">
        <v>36</v>
      </c>
      <c r="C11" s="35" t="s">
        <v>37</v>
      </c>
      <c r="D11" s="14"/>
      <c r="E11" s="14"/>
      <c r="F11" s="14"/>
      <c r="G11" s="14"/>
      <c r="H11" s="14"/>
      <c r="I11" s="12"/>
      <c r="J11" s="32"/>
      <c r="K11" s="32"/>
      <c r="L11" s="32"/>
      <c r="M11" s="32"/>
      <c r="N11" s="32"/>
      <c r="O11" s="32"/>
      <c r="P11" s="32"/>
      <c r="Q11" s="32"/>
      <c r="R11" s="32"/>
      <c r="S11" s="32"/>
      <c r="T11" s="32"/>
      <c r="U11" s="32"/>
      <c r="V11" s="32"/>
      <c r="W11" s="32"/>
      <c r="X11" s="32"/>
      <c r="Y11" s="32"/>
      <c r="Z11" s="32"/>
      <c r="AA11" s="32"/>
      <c r="AB11" s="32"/>
      <c r="AC11" s="32"/>
      <c r="AD11" s="32"/>
      <c r="AE11" s="32"/>
      <c r="AF11" s="32"/>
      <c r="AG11" s="32"/>
      <c r="AH11" s="32"/>
      <c r="AI11" s="32"/>
      <c r="AJ11" s="32"/>
      <c r="AK11" s="32"/>
      <c r="AL11" s="32"/>
      <c r="AM11" s="32"/>
      <c r="AN11" s="32"/>
      <c r="AO11" s="32"/>
      <c r="AP11" s="32"/>
      <c r="AQ11" s="32"/>
      <c r="AR11" s="32"/>
      <c r="AS11" s="32"/>
      <c r="AT11" s="32"/>
      <c r="AU11" s="32"/>
      <c r="AV11" s="32"/>
      <c r="AW11" s="32"/>
      <c r="AX11" s="32"/>
      <c r="AY11" s="32"/>
      <c r="AZ11" s="32"/>
      <c r="BA11" s="32"/>
      <c r="BB11" s="32"/>
      <c r="BC11" s="32"/>
      <c r="BD11" s="32"/>
      <c r="BE11" s="32"/>
      <c r="BF11" s="32"/>
      <c r="BG11" s="32"/>
      <c r="BH11" s="32"/>
      <c r="BI11" s="32"/>
      <c r="BJ11" s="32"/>
    </row>
    <row r="12" ht="15.75" customHeight="1">
      <c r="A12" s="32"/>
      <c r="B12" s="32"/>
      <c r="C12" s="32"/>
      <c r="D12" s="32"/>
      <c r="E12" s="32"/>
      <c r="F12" s="32"/>
      <c r="G12" s="32"/>
      <c r="H12" s="32"/>
      <c r="I12" s="32"/>
      <c r="J12" s="32"/>
      <c r="K12" s="32"/>
      <c r="L12" s="32"/>
      <c r="M12" s="32"/>
      <c r="N12" s="32"/>
      <c r="O12" s="32"/>
      <c r="P12" s="32"/>
      <c r="Q12" s="32"/>
      <c r="R12" s="32"/>
      <c r="S12" s="32"/>
      <c r="T12" s="32"/>
      <c r="U12" s="32"/>
      <c r="V12" s="32"/>
      <c r="W12" s="32"/>
      <c r="X12" s="32"/>
      <c r="Y12" s="32"/>
      <c r="Z12" s="32"/>
      <c r="AA12" s="32"/>
      <c r="AB12" s="32"/>
      <c r="AC12" s="32"/>
      <c r="AD12" s="32"/>
      <c r="AE12" s="32"/>
      <c r="AF12" s="32"/>
      <c r="AG12" s="32"/>
      <c r="AH12" s="32"/>
      <c r="AI12" s="32"/>
      <c r="AJ12" s="32"/>
      <c r="AK12" s="32"/>
      <c r="AL12" s="32"/>
      <c r="AM12" s="32"/>
      <c r="AN12" s="32"/>
      <c r="AO12" s="32"/>
      <c r="AP12" s="32"/>
      <c r="AQ12" s="32"/>
      <c r="AR12" s="32"/>
      <c r="AS12" s="32"/>
      <c r="AT12" s="32"/>
      <c r="AU12" s="32"/>
      <c r="AV12" s="32"/>
      <c r="AW12" s="32"/>
      <c r="AX12" s="32"/>
      <c r="AY12" s="32"/>
      <c r="AZ12" s="32"/>
      <c r="BA12" s="32"/>
      <c r="BB12" s="32"/>
      <c r="BC12" s="32"/>
      <c r="BD12" s="32"/>
      <c r="BE12" s="32"/>
      <c r="BF12" s="32"/>
      <c r="BG12" s="32"/>
      <c r="BH12" s="32"/>
      <c r="BI12" s="32"/>
      <c r="BJ12" s="32"/>
    </row>
    <row r="13" ht="15.75" customHeight="1">
      <c r="A13" s="32"/>
      <c r="B13" s="32"/>
      <c r="C13" s="32"/>
      <c r="D13" s="32"/>
      <c r="E13" s="32"/>
      <c r="F13" s="32"/>
      <c r="G13" s="32"/>
      <c r="H13" s="32"/>
      <c r="I13" s="32"/>
      <c r="J13" s="32"/>
      <c r="K13" s="32"/>
      <c r="L13" s="32"/>
      <c r="M13" s="32"/>
      <c r="N13" s="32"/>
      <c r="O13" s="32"/>
      <c r="P13" s="32"/>
      <c r="Q13" s="32"/>
      <c r="R13" s="32"/>
      <c r="S13" s="32"/>
      <c r="T13" s="32"/>
      <c r="U13" s="32"/>
      <c r="V13" s="32"/>
      <c r="W13" s="32"/>
      <c r="X13" s="32"/>
      <c r="Y13" s="32"/>
      <c r="Z13" s="32"/>
      <c r="AA13" s="32"/>
      <c r="AB13" s="32"/>
      <c r="AC13" s="32"/>
      <c r="AD13" s="32"/>
      <c r="AE13" s="32"/>
      <c r="AF13" s="32"/>
      <c r="AG13" s="32"/>
      <c r="AH13" s="32"/>
      <c r="AI13" s="32"/>
      <c r="AJ13" s="32"/>
      <c r="AK13" s="32"/>
      <c r="AL13" s="32"/>
      <c r="AM13" s="32"/>
      <c r="AN13" s="32"/>
      <c r="AO13" s="32"/>
      <c r="AP13" s="32"/>
      <c r="AQ13" s="32"/>
      <c r="AR13" s="32"/>
      <c r="AS13" s="32"/>
      <c r="AT13" s="32"/>
      <c r="AU13" s="32"/>
      <c r="AV13" s="32"/>
      <c r="AW13" s="32"/>
      <c r="AX13" s="32"/>
      <c r="AY13" s="32"/>
      <c r="AZ13" s="32"/>
      <c r="BA13" s="32"/>
      <c r="BB13" s="32"/>
      <c r="BC13" s="32"/>
      <c r="BD13" s="32"/>
      <c r="BE13" s="32"/>
      <c r="BF13" s="32"/>
      <c r="BG13" s="32"/>
      <c r="BH13" s="32"/>
      <c r="BI13" s="32"/>
      <c r="BJ13" s="32"/>
    </row>
    <row r="14" ht="15.75" customHeight="1">
      <c r="A14" s="32"/>
      <c r="B14" s="36" t="s">
        <v>38</v>
      </c>
      <c r="C14" s="37" t="s">
        <v>39</v>
      </c>
      <c r="D14" s="14"/>
      <c r="E14" s="14"/>
      <c r="F14" s="14"/>
      <c r="G14" s="14"/>
      <c r="H14" s="14"/>
      <c r="I14" s="12"/>
      <c r="J14" s="32"/>
      <c r="K14" s="32"/>
      <c r="L14" s="32"/>
      <c r="M14" s="32"/>
      <c r="N14" s="32"/>
      <c r="O14" s="32"/>
      <c r="P14" s="32"/>
      <c r="Q14" s="32"/>
      <c r="R14" s="32"/>
      <c r="S14" s="32"/>
      <c r="T14" s="32"/>
      <c r="U14" s="32"/>
      <c r="V14" s="32"/>
      <c r="W14" s="32"/>
      <c r="X14" s="32"/>
      <c r="Y14" s="32"/>
      <c r="Z14" s="32"/>
      <c r="AA14" s="32"/>
      <c r="AB14" s="32"/>
      <c r="AC14" s="32"/>
      <c r="AD14" s="32"/>
      <c r="AE14" s="32"/>
      <c r="AF14" s="32"/>
      <c r="AG14" s="32"/>
      <c r="AH14" s="32"/>
      <c r="AI14" s="32"/>
      <c r="AJ14" s="32"/>
      <c r="AK14" s="32"/>
      <c r="AL14" s="32"/>
      <c r="AM14" s="32"/>
      <c r="AN14" s="32"/>
      <c r="AO14" s="32"/>
      <c r="AP14" s="32"/>
      <c r="AQ14" s="32"/>
      <c r="AR14" s="32"/>
      <c r="AS14" s="32"/>
      <c r="AT14" s="32"/>
      <c r="AU14" s="32"/>
      <c r="AV14" s="32"/>
      <c r="AW14" s="32"/>
      <c r="AX14" s="32"/>
      <c r="AY14" s="32"/>
      <c r="AZ14" s="32"/>
      <c r="BA14" s="32"/>
      <c r="BB14" s="32"/>
      <c r="BC14" s="32"/>
      <c r="BD14" s="32"/>
      <c r="BE14" s="32"/>
      <c r="BF14" s="32"/>
      <c r="BG14" s="32"/>
      <c r="BH14" s="32"/>
      <c r="BI14" s="32"/>
      <c r="BJ14" s="32"/>
    </row>
    <row r="15" ht="15.75" customHeight="1">
      <c r="A15" s="32"/>
      <c r="B15" s="32"/>
      <c r="C15" s="32"/>
      <c r="D15" s="32"/>
      <c r="E15" s="32"/>
      <c r="F15" s="32"/>
      <c r="G15" s="32"/>
      <c r="H15" s="32"/>
      <c r="I15" s="32"/>
      <c r="J15" s="32"/>
      <c r="K15" s="32"/>
      <c r="L15" s="32"/>
      <c r="M15" s="32"/>
      <c r="N15" s="32"/>
      <c r="O15" s="32"/>
      <c r="P15" s="32"/>
      <c r="Q15" s="32"/>
      <c r="R15" s="32"/>
      <c r="S15" s="32"/>
      <c r="T15" s="32"/>
      <c r="U15" s="32"/>
      <c r="V15" s="32"/>
      <c r="W15" s="32"/>
      <c r="X15" s="32"/>
      <c r="Y15" s="32"/>
      <c r="Z15" s="32"/>
      <c r="AA15" s="32"/>
      <c r="AB15" s="32"/>
      <c r="AC15" s="32"/>
      <c r="AD15" s="32"/>
      <c r="AE15" s="32"/>
      <c r="AF15" s="32"/>
      <c r="AG15" s="32"/>
      <c r="AH15" s="32"/>
      <c r="AI15" s="32"/>
      <c r="AJ15" s="32"/>
      <c r="AK15" s="32"/>
      <c r="AL15" s="32"/>
      <c r="AM15" s="32"/>
      <c r="AN15" s="32"/>
      <c r="AO15" s="32"/>
      <c r="AP15" s="32"/>
      <c r="AQ15" s="32"/>
      <c r="AR15" s="32"/>
      <c r="AS15" s="32"/>
      <c r="AT15" s="32"/>
      <c r="AU15" s="32"/>
      <c r="AV15" s="32"/>
      <c r="AW15" s="32"/>
      <c r="AX15" s="32"/>
      <c r="AY15" s="32"/>
      <c r="AZ15" s="32"/>
      <c r="BA15" s="32"/>
      <c r="BB15" s="32"/>
      <c r="BC15" s="32"/>
      <c r="BD15" s="32"/>
      <c r="BE15" s="32"/>
      <c r="BF15" s="32"/>
      <c r="BG15" s="32"/>
      <c r="BH15" s="32"/>
      <c r="BI15" s="32"/>
      <c r="BJ15" s="32"/>
    </row>
    <row r="16" ht="15.75" customHeight="1">
      <c r="A16" s="32"/>
      <c r="B16" s="32"/>
      <c r="C16" s="32"/>
      <c r="D16" s="32"/>
      <c r="E16" s="32"/>
      <c r="F16" s="32"/>
      <c r="G16" s="32"/>
      <c r="H16" s="32"/>
      <c r="I16" s="32"/>
      <c r="J16" s="32"/>
      <c r="K16" s="32"/>
      <c r="L16" s="32"/>
      <c r="M16" s="32"/>
      <c r="N16" s="32"/>
      <c r="O16" s="32"/>
      <c r="P16" s="32"/>
      <c r="Q16" s="32"/>
      <c r="R16" s="32"/>
      <c r="S16" s="32"/>
      <c r="T16" s="32"/>
      <c r="U16" s="32"/>
      <c r="V16" s="32"/>
      <c r="W16" s="32"/>
      <c r="X16" s="32"/>
      <c r="Y16" s="32"/>
      <c r="Z16" s="32"/>
      <c r="AA16" s="32"/>
      <c r="AB16" s="32"/>
      <c r="AC16" s="32"/>
      <c r="AD16" s="32"/>
      <c r="AE16" s="32"/>
      <c r="AF16" s="32"/>
      <c r="AG16" s="32"/>
      <c r="AH16" s="32"/>
      <c r="AI16" s="32"/>
      <c r="AJ16" s="32"/>
      <c r="AK16" s="32"/>
      <c r="AL16" s="32"/>
      <c r="AM16" s="32"/>
      <c r="AN16" s="32"/>
      <c r="AO16" s="32"/>
      <c r="AP16" s="32"/>
      <c r="AQ16" s="32"/>
      <c r="AR16" s="32"/>
      <c r="AS16" s="32"/>
      <c r="AT16" s="32"/>
      <c r="AU16" s="32"/>
      <c r="AV16" s="32"/>
      <c r="AW16" s="32"/>
      <c r="AX16" s="32"/>
      <c r="AY16" s="32"/>
      <c r="AZ16" s="32"/>
      <c r="BA16" s="32"/>
      <c r="BB16" s="32"/>
      <c r="BC16" s="32"/>
      <c r="BD16" s="32"/>
      <c r="BE16" s="32"/>
      <c r="BF16" s="32"/>
      <c r="BG16" s="32"/>
      <c r="BH16" s="32"/>
      <c r="BI16" s="32"/>
      <c r="BJ16" s="32"/>
    </row>
    <row r="17" ht="15.75" customHeight="1">
      <c r="A17" s="32"/>
      <c r="B17" s="38" t="s">
        <v>40</v>
      </c>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5"/>
      <c r="AP17" s="39"/>
      <c r="AQ17" s="39"/>
      <c r="AR17" s="39"/>
      <c r="AS17" s="39"/>
      <c r="AT17" s="39"/>
      <c r="AU17" s="39"/>
      <c r="AV17" s="39"/>
      <c r="AW17" s="39"/>
      <c r="AX17" s="39"/>
      <c r="AY17" s="39"/>
      <c r="AZ17" s="39"/>
      <c r="BA17" s="39"/>
      <c r="BB17" s="39"/>
      <c r="BC17" s="39"/>
      <c r="BD17" s="39"/>
      <c r="BE17" s="39"/>
      <c r="BF17" s="39"/>
      <c r="BG17" s="39"/>
      <c r="BH17" s="39"/>
      <c r="BI17" s="39"/>
      <c r="BJ17" s="39"/>
    </row>
    <row r="18" ht="15.75" customHeight="1">
      <c r="A18" s="32"/>
      <c r="B18" s="6"/>
      <c r="AO18" s="7"/>
      <c r="AP18" s="32"/>
      <c r="AQ18" s="32"/>
      <c r="AR18" s="32"/>
      <c r="AS18" s="32"/>
      <c r="AT18" s="32"/>
      <c r="AU18" s="32"/>
      <c r="AV18" s="32"/>
      <c r="AW18" s="32"/>
      <c r="AX18" s="32"/>
      <c r="AY18" s="32"/>
      <c r="AZ18" s="32"/>
      <c r="BA18" s="32"/>
      <c r="BB18" s="32"/>
      <c r="BC18" s="32"/>
      <c r="BD18" s="32"/>
      <c r="BE18" s="32"/>
      <c r="BF18" s="32"/>
      <c r="BG18" s="32"/>
      <c r="BH18" s="32"/>
      <c r="BI18" s="32"/>
      <c r="BJ18" s="32"/>
    </row>
    <row r="19" ht="15.75" customHeight="1">
      <c r="A19" s="32"/>
      <c r="B19" s="8"/>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10"/>
      <c r="AP19" s="32"/>
      <c r="AQ19" s="32"/>
      <c r="AR19" s="32"/>
      <c r="AS19" s="32"/>
      <c r="AT19" s="32"/>
      <c r="AU19" s="32"/>
      <c r="AV19" s="32"/>
      <c r="AW19" s="32"/>
      <c r="AX19" s="32"/>
      <c r="AY19" s="32"/>
      <c r="AZ19" s="32"/>
      <c r="BA19" s="32"/>
      <c r="BB19" s="32"/>
      <c r="BC19" s="32"/>
      <c r="BD19" s="32"/>
      <c r="BE19" s="32"/>
      <c r="BF19" s="32"/>
      <c r="BG19" s="32"/>
      <c r="BH19" s="32"/>
      <c r="BI19" s="32"/>
      <c r="BJ19" s="32"/>
    </row>
    <row r="20" ht="15.75" customHeight="1">
      <c r="A20" s="32"/>
      <c r="B20" s="40"/>
      <c r="C20" s="39"/>
      <c r="D20" s="39"/>
      <c r="E20" s="39"/>
      <c r="F20" s="39"/>
      <c r="G20" s="39"/>
      <c r="H20" s="39"/>
      <c r="I20" s="39"/>
      <c r="J20" s="39"/>
      <c r="K20" s="39"/>
      <c r="L20" s="39"/>
      <c r="M20" s="39"/>
      <c r="N20" s="39"/>
      <c r="O20" s="39"/>
      <c r="P20" s="39"/>
      <c r="Q20" s="39"/>
      <c r="R20" s="39"/>
      <c r="S20" s="39"/>
      <c r="T20" s="39"/>
      <c r="U20" s="39"/>
      <c r="V20" s="39"/>
      <c r="W20" s="39"/>
      <c r="X20" s="39"/>
      <c r="Y20" s="39"/>
      <c r="Z20" s="39"/>
      <c r="AA20" s="39"/>
      <c r="AB20" s="39"/>
      <c r="AC20" s="39"/>
      <c r="AD20" s="39"/>
      <c r="AE20" s="39"/>
      <c r="AF20" s="39"/>
      <c r="AG20" s="39"/>
      <c r="AH20" s="39"/>
      <c r="AI20" s="39"/>
      <c r="AJ20" s="39"/>
      <c r="AK20" s="39"/>
      <c r="AL20" s="39"/>
      <c r="AM20" s="39"/>
      <c r="AN20" s="39"/>
      <c r="AO20" s="41"/>
      <c r="AP20" s="39"/>
      <c r="AQ20" s="39"/>
      <c r="AR20" s="39"/>
      <c r="AS20" s="39"/>
      <c r="AT20" s="39"/>
      <c r="AU20" s="39"/>
      <c r="AV20" s="39"/>
      <c r="AW20" s="39"/>
      <c r="AX20" s="39"/>
      <c r="AY20" s="39"/>
      <c r="AZ20" s="39"/>
      <c r="BA20" s="39"/>
      <c r="BB20" s="39"/>
      <c r="BC20" s="39"/>
      <c r="BD20" s="39"/>
      <c r="BE20" s="39"/>
      <c r="BF20" s="39"/>
      <c r="BG20" s="39"/>
      <c r="BH20" s="39"/>
      <c r="BI20" s="39"/>
      <c r="BJ20" s="39"/>
    </row>
    <row r="21" ht="15.75" customHeight="1">
      <c r="A21" s="32"/>
      <c r="B21" s="40"/>
      <c r="C21" s="39"/>
      <c r="D21" s="42" t="s">
        <v>41</v>
      </c>
      <c r="E21" s="20"/>
      <c r="F21" s="20"/>
      <c r="G21" s="20"/>
      <c r="H21" s="20"/>
      <c r="I21" s="20"/>
      <c r="J21" s="20"/>
      <c r="K21" s="20"/>
      <c r="L21" s="20"/>
      <c r="M21" s="21"/>
      <c r="N21" s="39"/>
      <c r="O21" s="43" t="s">
        <v>42</v>
      </c>
      <c r="P21" s="14"/>
      <c r="Q21" s="14"/>
      <c r="R21" s="14"/>
      <c r="S21" s="14"/>
      <c r="T21" s="14"/>
      <c r="U21" s="14"/>
      <c r="V21" s="12"/>
      <c r="W21" s="39"/>
      <c r="X21" s="43" t="s">
        <v>43</v>
      </c>
      <c r="Y21" s="14"/>
      <c r="Z21" s="14"/>
      <c r="AA21" s="12"/>
      <c r="AB21" s="39"/>
      <c r="AC21" s="43" t="s">
        <v>44</v>
      </c>
      <c r="AD21" s="14"/>
      <c r="AE21" s="14"/>
      <c r="AF21" s="14"/>
      <c r="AG21" s="14"/>
      <c r="AH21" s="12"/>
      <c r="AI21" s="39"/>
      <c r="AJ21" s="43" t="s">
        <v>45</v>
      </c>
      <c r="AK21" s="14"/>
      <c r="AL21" s="14"/>
      <c r="AM21" s="12"/>
      <c r="AN21" s="39"/>
      <c r="AO21" s="44" t="s">
        <v>46</v>
      </c>
      <c r="AP21" s="39"/>
      <c r="AQ21" s="39"/>
      <c r="AR21" s="39"/>
      <c r="AS21" s="39"/>
      <c r="AT21" s="39"/>
      <c r="AU21" s="39"/>
      <c r="AV21" s="39"/>
      <c r="AW21" s="39"/>
      <c r="AX21" s="39"/>
      <c r="AY21" s="39"/>
      <c r="AZ21" s="39"/>
      <c r="BA21" s="39"/>
      <c r="BB21" s="39"/>
      <c r="BC21" s="39"/>
      <c r="BD21" s="39"/>
      <c r="BE21" s="39"/>
      <c r="BF21" s="39"/>
      <c r="BG21" s="39"/>
      <c r="BH21" s="39"/>
      <c r="BI21" s="39"/>
      <c r="BJ21" s="39"/>
    </row>
    <row r="22" ht="15.75" customHeight="1">
      <c r="A22" s="32"/>
      <c r="B22" s="45" t="s">
        <v>47</v>
      </c>
      <c r="C22" s="39"/>
      <c r="D22" s="46" t="s">
        <v>48</v>
      </c>
      <c r="E22" s="21"/>
      <c r="F22" s="46" t="s">
        <v>49</v>
      </c>
      <c r="G22" s="21"/>
      <c r="H22" s="46" t="s">
        <v>50</v>
      </c>
      <c r="I22" s="21"/>
      <c r="J22" s="46" t="s">
        <v>51</v>
      </c>
      <c r="K22" s="21"/>
      <c r="L22" s="47" t="s">
        <v>52</v>
      </c>
      <c r="M22" s="21"/>
      <c r="N22" s="39"/>
      <c r="O22" s="46" t="s">
        <v>53</v>
      </c>
      <c r="P22" s="21"/>
      <c r="Q22" s="46" t="s">
        <v>54</v>
      </c>
      <c r="R22" s="21"/>
      <c r="S22" s="46" t="s">
        <v>55</v>
      </c>
      <c r="T22" s="21"/>
      <c r="U22" s="48" t="s">
        <v>56</v>
      </c>
      <c r="V22" s="24"/>
      <c r="W22" s="39"/>
      <c r="X22" s="46" t="s">
        <v>57</v>
      </c>
      <c r="Y22" s="21"/>
      <c r="Z22" s="48" t="s">
        <v>58</v>
      </c>
      <c r="AA22" s="24"/>
      <c r="AB22" s="39"/>
      <c r="AC22" s="46" t="s">
        <v>59</v>
      </c>
      <c r="AD22" s="21"/>
      <c r="AE22" s="46" t="s">
        <v>60</v>
      </c>
      <c r="AF22" s="21"/>
      <c r="AG22" s="48" t="s">
        <v>61</v>
      </c>
      <c r="AH22" s="24"/>
      <c r="AI22" s="39"/>
      <c r="AJ22" s="46" t="s">
        <v>62</v>
      </c>
      <c r="AK22" s="21"/>
      <c r="AL22" s="48" t="s">
        <v>63</v>
      </c>
      <c r="AM22" s="24"/>
      <c r="AN22" s="39"/>
      <c r="AO22" s="49"/>
      <c r="AP22" s="39"/>
      <c r="AQ22" s="39"/>
      <c r="AR22" s="39"/>
      <c r="AS22" s="39"/>
      <c r="AT22" s="39"/>
      <c r="AU22" s="39"/>
      <c r="AV22" s="39"/>
      <c r="AW22" s="39"/>
      <c r="AX22" s="39"/>
      <c r="AY22" s="39"/>
      <c r="AZ22" s="39"/>
      <c r="BA22" s="39"/>
      <c r="BB22" s="39"/>
      <c r="BC22" s="39"/>
      <c r="BD22" s="39"/>
      <c r="BE22" s="39"/>
      <c r="BF22" s="39"/>
      <c r="BG22" s="39"/>
      <c r="BH22" s="39"/>
      <c r="BI22" s="39"/>
      <c r="BJ22" s="39"/>
    </row>
    <row r="23" ht="15.75" customHeight="1">
      <c r="A23" s="32"/>
      <c r="B23" s="45" t="s">
        <v>64</v>
      </c>
      <c r="C23" s="39"/>
      <c r="D23" s="50">
        <v>0.08</v>
      </c>
      <c r="E23" s="24"/>
      <c r="F23" s="50">
        <v>0.05</v>
      </c>
      <c r="G23" s="24"/>
      <c r="H23" s="50">
        <v>0.1</v>
      </c>
      <c r="I23" s="24"/>
      <c r="J23" s="50">
        <v>0.05</v>
      </c>
      <c r="K23" s="24"/>
      <c r="L23" s="51">
        <v>0.02</v>
      </c>
      <c r="M23" s="24"/>
      <c r="N23" s="39"/>
      <c r="O23" s="50">
        <v>0.07</v>
      </c>
      <c r="P23" s="24"/>
      <c r="Q23" s="50">
        <v>0.1</v>
      </c>
      <c r="R23" s="24"/>
      <c r="S23" s="50">
        <v>0.05</v>
      </c>
      <c r="T23" s="24"/>
      <c r="U23" s="51">
        <v>0.03</v>
      </c>
      <c r="V23" s="24"/>
      <c r="W23" s="39"/>
      <c r="X23" s="50">
        <v>0.07</v>
      </c>
      <c r="Y23" s="24"/>
      <c r="Z23" s="51">
        <v>0.08</v>
      </c>
      <c r="AA23" s="24"/>
      <c r="AB23" s="39"/>
      <c r="AC23" s="50">
        <v>0.07</v>
      </c>
      <c r="AD23" s="24"/>
      <c r="AE23" s="50">
        <v>0.1</v>
      </c>
      <c r="AF23" s="24"/>
      <c r="AG23" s="51">
        <v>0.03</v>
      </c>
      <c r="AH23" s="24"/>
      <c r="AI23" s="39"/>
      <c r="AJ23" s="50">
        <v>0.05</v>
      </c>
      <c r="AK23" s="24"/>
      <c r="AL23" s="51">
        <v>0.05</v>
      </c>
      <c r="AM23" s="24"/>
      <c r="AN23" s="39"/>
      <c r="AO23" s="22"/>
      <c r="AP23" s="39"/>
      <c r="AQ23" s="39"/>
      <c r="AR23" s="39"/>
      <c r="AS23" s="39"/>
      <c r="AT23" s="39"/>
      <c r="AU23" s="39"/>
      <c r="AV23" s="39"/>
      <c r="AW23" s="39"/>
      <c r="AX23" s="39"/>
      <c r="AY23" s="39"/>
      <c r="AZ23" s="39"/>
      <c r="BA23" s="39"/>
      <c r="BB23" s="39"/>
      <c r="BC23" s="39"/>
      <c r="BD23" s="39"/>
      <c r="BE23" s="39"/>
      <c r="BF23" s="39"/>
      <c r="BG23" s="39"/>
      <c r="BH23" s="39"/>
      <c r="BI23" s="39"/>
      <c r="BJ23" s="39"/>
    </row>
    <row r="24" ht="15.75" customHeight="1">
      <c r="A24" s="32"/>
      <c r="B24" s="45" t="s">
        <v>65</v>
      </c>
      <c r="C24" s="39"/>
      <c r="D24" s="52" t="s">
        <v>66</v>
      </c>
      <c r="E24" s="30"/>
      <c r="F24" s="52" t="s">
        <v>67</v>
      </c>
      <c r="G24" s="30"/>
      <c r="H24" s="52" t="s">
        <v>68</v>
      </c>
      <c r="I24" s="30"/>
      <c r="J24" s="52" t="s">
        <v>69</v>
      </c>
      <c r="K24" s="30"/>
      <c r="L24" s="53" t="s">
        <v>70</v>
      </c>
      <c r="M24" s="30"/>
      <c r="N24" s="39"/>
      <c r="O24" s="54" t="s">
        <v>71</v>
      </c>
      <c r="P24" s="24"/>
      <c r="Q24" s="55" t="s">
        <v>72</v>
      </c>
      <c r="S24" s="54" t="s">
        <v>73</v>
      </c>
      <c r="T24" s="24"/>
      <c r="U24" s="55" t="s">
        <v>74</v>
      </c>
      <c r="V24" s="24"/>
      <c r="W24" s="39"/>
      <c r="X24" s="54" t="s">
        <v>75</v>
      </c>
      <c r="Y24" s="24"/>
      <c r="Z24" s="55" t="s">
        <v>76</v>
      </c>
      <c r="AA24" s="24"/>
      <c r="AB24" s="39"/>
      <c r="AC24" s="54" t="s">
        <v>77</v>
      </c>
      <c r="AD24" s="24"/>
      <c r="AE24" s="54" t="s">
        <v>78</v>
      </c>
      <c r="AF24" s="24"/>
      <c r="AG24" s="55" t="s">
        <v>79</v>
      </c>
      <c r="AH24" s="24"/>
      <c r="AI24" s="39"/>
      <c r="AJ24" s="54" t="s">
        <v>80</v>
      </c>
      <c r="AK24" s="24"/>
      <c r="AL24" s="55" t="s">
        <v>81</v>
      </c>
      <c r="AM24" s="24"/>
      <c r="AN24" s="39"/>
      <c r="AO24" s="22"/>
      <c r="AP24" s="39"/>
      <c r="AQ24" s="39"/>
      <c r="AR24" s="39"/>
      <c r="AS24" s="39"/>
      <c r="AT24" s="39"/>
      <c r="AU24" s="39"/>
      <c r="AV24" s="39"/>
      <c r="AW24" s="39"/>
      <c r="AX24" s="39"/>
      <c r="AY24" s="39"/>
      <c r="AZ24" s="39"/>
      <c r="BA24" s="39"/>
      <c r="BB24" s="39"/>
      <c r="BC24" s="39"/>
      <c r="BD24" s="39"/>
      <c r="BE24" s="39"/>
      <c r="BF24" s="39"/>
      <c r="BG24" s="39"/>
      <c r="BH24" s="39"/>
      <c r="BI24" s="39"/>
      <c r="BJ24" s="39"/>
    </row>
    <row r="25" ht="15.75" customHeight="1">
      <c r="A25" s="32"/>
      <c r="B25" s="56"/>
      <c r="C25" s="32"/>
      <c r="D25" s="57" t="s">
        <v>82</v>
      </c>
      <c r="E25" s="58" t="s">
        <v>83</v>
      </c>
      <c r="F25" s="57" t="s">
        <v>82</v>
      </c>
      <c r="G25" s="58" t="s">
        <v>83</v>
      </c>
      <c r="H25" s="57" t="s">
        <v>82</v>
      </c>
      <c r="I25" s="58" t="s">
        <v>83</v>
      </c>
      <c r="J25" s="57" t="s">
        <v>82</v>
      </c>
      <c r="K25" s="58" t="s">
        <v>83</v>
      </c>
      <c r="L25" s="57" t="s">
        <v>84</v>
      </c>
      <c r="M25" s="58" t="s">
        <v>83</v>
      </c>
      <c r="N25" s="32"/>
      <c r="O25" s="57" t="s">
        <v>84</v>
      </c>
      <c r="P25" s="58" t="s">
        <v>83</v>
      </c>
      <c r="Q25" s="57" t="s">
        <v>84</v>
      </c>
      <c r="R25" s="58" t="s">
        <v>83</v>
      </c>
      <c r="S25" s="57" t="s">
        <v>84</v>
      </c>
      <c r="T25" s="58" t="s">
        <v>83</v>
      </c>
      <c r="U25" s="59" t="s">
        <v>84</v>
      </c>
      <c r="V25" s="58" t="s">
        <v>83</v>
      </c>
      <c r="W25" s="32"/>
      <c r="X25" s="57" t="s">
        <v>84</v>
      </c>
      <c r="Y25" s="58" t="s">
        <v>83</v>
      </c>
      <c r="Z25" s="59" t="s">
        <v>84</v>
      </c>
      <c r="AA25" s="58" t="s">
        <v>83</v>
      </c>
      <c r="AB25" s="32"/>
      <c r="AC25" s="57" t="s">
        <v>84</v>
      </c>
      <c r="AD25" s="58" t="s">
        <v>83</v>
      </c>
      <c r="AE25" s="57" t="s">
        <v>82</v>
      </c>
      <c r="AF25" s="58" t="s">
        <v>83</v>
      </c>
      <c r="AG25" s="59" t="s">
        <v>84</v>
      </c>
      <c r="AH25" s="58" t="s">
        <v>83</v>
      </c>
      <c r="AI25" s="32"/>
      <c r="AJ25" s="57" t="s">
        <v>84</v>
      </c>
      <c r="AK25" s="58" t="s">
        <v>83</v>
      </c>
      <c r="AL25" s="59" t="s">
        <v>84</v>
      </c>
      <c r="AM25" s="58" t="s">
        <v>83</v>
      </c>
      <c r="AN25" s="32"/>
      <c r="AO25" s="22"/>
      <c r="AP25" s="32"/>
      <c r="AQ25" s="32"/>
      <c r="AR25" s="32"/>
      <c r="AS25" s="32"/>
      <c r="AT25" s="32"/>
      <c r="AU25" s="32"/>
      <c r="AV25" s="32"/>
      <c r="AW25" s="32"/>
      <c r="AX25" s="32"/>
      <c r="AY25" s="32"/>
      <c r="AZ25" s="32"/>
      <c r="BA25" s="32"/>
      <c r="BB25" s="32"/>
      <c r="BC25" s="32"/>
      <c r="BD25" s="32"/>
      <c r="BE25" s="32"/>
      <c r="BF25" s="32"/>
      <c r="BG25" s="32"/>
      <c r="BH25" s="32"/>
      <c r="BI25" s="32"/>
      <c r="BJ25" s="32"/>
    </row>
    <row r="26" ht="15.75" customHeight="1">
      <c r="A26" s="32"/>
      <c r="B26" s="45" t="s">
        <v>85</v>
      </c>
      <c r="C26" s="60"/>
      <c r="D26" s="61">
        <v>43.9</v>
      </c>
      <c r="E26" s="62">
        <v>0.47</v>
      </c>
      <c r="F26" s="61">
        <v>10.2</v>
      </c>
      <c r="G26" s="62">
        <v>0.48</v>
      </c>
      <c r="H26" s="61">
        <v>14.4</v>
      </c>
      <c r="I26" s="62">
        <v>0.54</v>
      </c>
      <c r="J26" s="61">
        <v>1.43</v>
      </c>
      <c r="K26" s="62">
        <v>0.66</v>
      </c>
      <c r="L26" s="63">
        <v>1216200.0</v>
      </c>
      <c r="M26" s="62">
        <v>1.0</v>
      </c>
      <c r="N26" s="39"/>
      <c r="O26" s="61">
        <v>0.26</v>
      </c>
      <c r="P26" s="62">
        <v>1.0</v>
      </c>
      <c r="Q26" s="61">
        <v>0.28</v>
      </c>
      <c r="R26" s="62">
        <v>0.3</v>
      </c>
      <c r="S26" s="61">
        <v>0.06</v>
      </c>
      <c r="T26" s="62">
        <v>0.11</v>
      </c>
      <c r="U26" s="63">
        <v>1.0</v>
      </c>
      <c r="V26" s="62">
        <v>1.0</v>
      </c>
      <c r="W26" s="39"/>
      <c r="X26" s="61">
        <v>0.36</v>
      </c>
      <c r="Y26" s="62">
        <v>0.0</v>
      </c>
      <c r="Z26" s="63" t="s">
        <v>86</v>
      </c>
      <c r="AA26" s="62">
        <v>0.0</v>
      </c>
      <c r="AB26" s="39"/>
      <c r="AC26" s="61">
        <v>0.37</v>
      </c>
      <c r="AD26" s="62">
        <v>0.09</v>
      </c>
      <c r="AE26" s="61">
        <v>1.88</v>
      </c>
      <c r="AF26" s="62">
        <v>0.46</v>
      </c>
      <c r="AG26" s="63">
        <v>2.43</v>
      </c>
      <c r="AH26" s="62">
        <v>0.0</v>
      </c>
      <c r="AI26" s="39"/>
      <c r="AJ26" s="61">
        <v>0.54</v>
      </c>
      <c r="AK26" s="62">
        <v>0.71</v>
      </c>
      <c r="AL26" s="63">
        <v>0.0079</v>
      </c>
      <c r="AM26" s="62">
        <v>0.53</v>
      </c>
      <c r="AN26" s="39"/>
      <c r="AO26" s="64">
        <v>0.418617112</v>
      </c>
      <c r="AP26" s="39"/>
      <c r="AQ26" s="39"/>
      <c r="AR26" s="39"/>
      <c r="AS26" s="39"/>
      <c r="AT26" s="39"/>
      <c r="AU26" s="39"/>
      <c r="AV26" s="39"/>
      <c r="AW26" s="39"/>
      <c r="AX26" s="39"/>
      <c r="AY26" s="39"/>
      <c r="AZ26" s="39"/>
      <c r="BA26" s="39"/>
      <c r="BB26" s="39"/>
      <c r="BC26" s="39"/>
      <c r="BD26" s="39"/>
      <c r="BE26" s="39"/>
      <c r="BF26" s="39"/>
      <c r="BG26" s="39"/>
      <c r="BH26" s="39"/>
      <c r="BI26" s="39"/>
      <c r="BJ26" s="39"/>
    </row>
    <row r="27" ht="15.75" customHeight="1">
      <c r="A27" s="32"/>
      <c r="B27" s="40"/>
      <c r="C27" s="39"/>
      <c r="D27" s="40"/>
      <c r="E27" s="41"/>
      <c r="F27" s="40"/>
      <c r="G27" s="41"/>
      <c r="H27" s="40"/>
      <c r="I27" s="41"/>
      <c r="J27" s="40"/>
      <c r="K27" s="41"/>
      <c r="L27" s="39"/>
      <c r="M27" s="41"/>
      <c r="N27" s="39"/>
      <c r="O27" s="40"/>
      <c r="P27" s="41"/>
      <c r="Q27" s="40"/>
      <c r="R27" s="41"/>
      <c r="S27" s="40"/>
      <c r="T27" s="41"/>
      <c r="U27" s="39"/>
      <c r="V27" s="41"/>
      <c r="W27" s="39"/>
      <c r="X27" s="40"/>
      <c r="Y27" s="41"/>
      <c r="Z27" s="39"/>
      <c r="AA27" s="41"/>
      <c r="AB27" s="39"/>
      <c r="AC27" s="40"/>
      <c r="AD27" s="41"/>
      <c r="AE27" s="40"/>
      <c r="AF27" s="41"/>
      <c r="AG27" s="39"/>
      <c r="AH27" s="41"/>
      <c r="AI27" s="39"/>
      <c r="AJ27" s="40"/>
      <c r="AK27" s="41"/>
      <c r="AL27" s="39"/>
      <c r="AM27" s="41"/>
      <c r="AN27" s="39"/>
      <c r="AO27" s="49"/>
      <c r="AP27" s="39"/>
      <c r="AQ27" s="39"/>
      <c r="AR27" s="39"/>
      <c r="AS27" s="39"/>
      <c r="AT27" s="39"/>
      <c r="AU27" s="39"/>
      <c r="AV27" s="39"/>
      <c r="AW27" s="39"/>
      <c r="AX27" s="39"/>
      <c r="AY27" s="39"/>
      <c r="AZ27" s="39"/>
      <c r="BA27" s="39"/>
      <c r="BB27" s="39"/>
      <c r="BC27" s="39"/>
      <c r="BD27" s="39"/>
      <c r="BE27" s="39"/>
      <c r="BF27" s="39"/>
      <c r="BG27" s="39"/>
      <c r="BH27" s="39"/>
      <c r="BI27" s="39"/>
      <c r="BJ27" s="39"/>
    </row>
    <row r="28" ht="15.75" customHeight="1">
      <c r="A28" s="32"/>
      <c r="B28" s="45" t="s">
        <v>87</v>
      </c>
      <c r="C28" s="60"/>
      <c r="D28" s="61">
        <v>11.2</v>
      </c>
      <c r="E28" s="62">
        <v>1.0</v>
      </c>
      <c r="F28" s="61">
        <v>3.42</v>
      </c>
      <c r="G28" s="62">
        <v>1.0</v>
      </c>
      <c r="H28" s="61">
        <v>6.15</v>
      </c>
      <c r="I28" s="62">
        <v>1.0</v>
      </c>
      <c r="J28" s="61">
        <v>0.42</v>
      </c>
      <c r="K28" s="62">
        <v>1.0</v>
      </c>
      <c r="L28" s="63">
        <v>111085.0</v>
      </c>
      <c r="M28" s="62">
        <v>0.08</v>
      </c>
      <c r="N28" s="39"/>
      <c r="O28" s="61">
        <v>0.23</v>
      </c>
      <c r="P28" s="62">
        <v>0.85</v>
      </c>
      <c r="Q28" s="61">
        <v>0.33</v>
      </c>
      <c r="R28" s="62">
        <v>0.44</v>
      </c>
      <c r="S28" s="61">
        <v>0.17</v>
      </c>
      <c r="T28" s="62">
        <v>1.0</v>
      </c>
      <c r="U28" s="63">
        <v>0.63</v>
      </c>
      <c r="V28" s="62">
        <v>0.0</v>
      </c>
      <c r="W28" s="39"/>
      <c r="X28" s="61">
        <v>0.51</v>
      </c>
      <c r="Y28" s="62">
        <v>0.27</v>
      </c>
      <c r="Z28" s="63">
        <v>3012.84</v>
      </c>
      <c r="AA28" s="62">
        <v>0.0</v>
      </c>
      <c r="AB28" s="39"/>
      <c r="AC28" s="61">
        <v>1.32</v>
      </c>
      <c r="AD28" s="62">
        <v>1.0</v>
      </c>
      <c r="AE28" s="61">
        <v>0.65</v>
      </c>
      <c r="AF28" s="62">
        <v>0.15</v>
      </c>
      <c r="AG28" s="63">
        <v>9.05</v>
      </c>
      <c r="AH28" s="62">
        <v>0.05</v>
      </c>
      <c r="AI28" s="39"/>
      <c r="AJ28" s="61">
        <v>0.69</v>
      </c>
      <c r="AK28" s="62">
        <v>1.0</v>
      </c>
      <c r="AL28" s="63">
        <v>0.0</v>
      </c>
      <c r="AM28" s="62">
        <v>0.0</v>
      </c>
      <c r="AN28" s="39"/>
      <c r="AO28" s="65">
        <v>0.590529603</v>
      </c>
      <c r="AP28" s="39"/>
      <c r="AQ28" s="39"/>
      <c r="AR28" s="39"/>
      <c r="AS28" s="39"/>
      <c r="AT28" s="39"/>
      <c r="AU28" s="39"/>
      <c r="AV28" s="39"/>
      <c r="AW28" s="39"/>
      <c r="AX28" s="39"/>
      <c r="AY28" s="39"/>
      <c r="AZ28" s="39"/>
      <c r="BA28" s="39"/>
      <c r="BB28" s="39"/>
      <c r="BC28" s="39"/>
      <c r="BD28" s="39"/>
      <c r="BE28" s="39"/>
      <c r="BF28" s="39"/>
      <c r="BG28" s="39"/>
      <c r="BH28" s="39"/>
      <c r="BI28" s="39"/>
      <c r="BJ28" s="39"/>
    </row>
    <row r="29" ht="15.75" customHeight="1">
      <c r="A29" s="32"/>
      <c r="B29" s="40"/>
      <c r="C29" s="39"/>
      <c r="D29" s="40"/>
      <c r="E29" s="41"/>
      <c r="F29" s="40"/>
      <c r="G29" s="41"/>
      <c r="H29" s="40"/>
      <c r="I29" s="41"/>
      <c r="J29" s="40"/>
      <c r="K29" s="41"/>
      <c r="L29" s="39"/>
      <c r="M29" s="41"/>
      <c r="N29" s="39"/>
      <c r="O29" s="40"/>
      <c r="P29" s="41"/>
      <c r="Q29" s="40"/>
      <c r="R29" s="41"/>
      <c r="S29" s="40"/>
      <c r="T29" s="41"/>
      <c r="U29" s="39"/>
      <c r="V29" s="41"/>
      <c r="W29" s="39"/>
      <c r="X29" s="40"/>
      <c r="Y29" s="41"/>
      <c r="Z29" s="39"/>
      <c r="AA29" s="41"/>
      <c r="AB29" s="39"/>
      <c r="AC29" s="40"/>
      <c r="AD29" s="41"/>
      <c r="AE29" s="40"/>
      <c r="AF29" s="41"/>
      <c r="AG29" s="39"/>
      <c r="AH29" s="41"/>
      <c r="AI29" s="39"/>
      <c r="AJ29" s="40"/>
      <c r="AK29" s="41"/>
      <c r="AL29" s="39"/>
      <c r="AM29" s="41"/>
      <c r="AN29" s="39"/>
      <c r="AO29" s="49"/>
      <c r="AP29" s="39"/>
      <c r="AQ29" s="39"/>
      <c r="AR29" s="39"/>
      <c r="AS29" s="39"/>
      <c r="AT29" s="39"/>
      <c r="AU29" s="39"/>
      <c r="AV29" s="32"/>
      <c r="AW29" s="32"/>
      <c r="AX29" s="32"/>
      <c r="AY29" s="32"/>
      <c r="AZ29" s="32"/>
      <c r="BA29" s="32"/>
      <c r="BB29" s="32"/>
      <c r="BC29" s="32"/>
      <c r="BD29" s="32"/>
      <c r="BE29" s="32"/>
      <c r="BF29" s="32"/>
      <c r="BG29" s="32"/>
      <c r="BH29" s="32"/>
      <c r="BI29" s="32"/>
      <c r="BJ29" s="32"/>
    </row>
    <row r="30" ht="15.75" customHeight="1">
      <c r="A30" s="32"/>
      <c r="B30" s="45" t="s">
        <v>88</v>
      </c>
      <c r="C30" s="60"/>
      <c r="D30" s="61">
        <v>73.1</v>
      </c>
      <c r="E30" s="62">
        <v>0.0</v>
      </c>
      <c r="F30" s="61">
        <v>16.5</v>
      </c>
      <c r="G30" s="62">
        <v>0.0</v>
      </c>
      <c r="H30" s="61">
        <v>24.0</v>
      </c>
      <c r="I30" s="62">
        <v>0.0</v>
      </c>
      <c r="J30" s="61">
        <v>2.07</v>
      </c>
      <c r="K30" s="62">
        <v>0.45</v>
      </c>
      <c r="L30" s="63">
        <v>98005.0</v>
      </c>
      <c r="M30" s="62">
        <v>0.07</v>
      </c>
      <c r="N30" s="39"/>
      <c r="O30" s="61">
        <v>0.21</v>
      </c>
      <c r="P30" s="62">
        <v>0.73</v>
      </c>
      <c r="Q30" s="61">
        <v>0.25</v>
      </c>
      <c r="R30" s="62">
        <v>0.23</v>
      </c>
      <c r="S30" s="61">
        <v>0.07</v>
      </c>
      <c r="T30" s="62">
        <v>0.16</v>
      </c>
      <c r="U30" s="63">
        <v>1.0</v>
      </c>
      <c r="V30" s="62">
        <v>1.0</v>
      </c>
      <c r="W30" s="39"/>
      <c r="X30" s="61">
        <v>0.45</v>
      </c>
      <c r="Y30" s="62">
        <v>0.16</v>
      </c>
      <c r="Z30" s="63" t="s">
        <v>86</v>
      </c>
      <c r="AA30" s="62">
        <v>0.0</v>
      </c>
      <c r="AB30" s="39"/>
      <c r="AC30" s="61">
        <v>0.28</v>
      </c>
      <c r="AD30" s="62">
        <v>0.0</v>
      </c>
      <c r="AE30" s="61">
        <v>1.24</v>
      </c>
      <c r="AF30" s="62">
        <v>0.3</v>
      </c>
      <c r="AG30" s="63">
        <v>3.32</v>
      </c>
      <c r="AH30" s="62">
        <v>0.01</v>
      </c>
      <c r="AI30" s="39"/>
      <c r="AJ30" s="61">
        <v>0.49</v>
      </c>
      <c r="AK30" s="62">
        <v>0.63</v>
      </c>
      <c r="AL30" s="63">
        <v>0.0051</v>
      </c>
      <c r="AM30" s="62">
        <v>0.34</v>
      </c>
      <c r="AN30" s="39"/>
      <c r="AO30" s="66">
        <v>0.226009585</v>
      </c>
      <c r="AP30" s="39"/>
      <c r="AQ30" s="39"/>
      <c r="AR30" s="39"/>
      <c r="AS30" s="39"/>
      <c r="AT30" s="39"/>
      <c r="AU30" s="32"/>
      <c r="AV30" s="32"/>
      <c r="AW30" s="32"/>
      <c r="AX30" s="32"/>
      <c r="AY30" s="32"/>
      <c r="AZ30" s="32"/>
      <c r="BA30" s="32"/>
      <c r="BB30" s="32"/>
      <c r="BC30" s="32"/>
      <c r="BD30" s="32"/>
      <c r="BE30" s="32"/>
      <c r="BF30" s="32"/>
      <c r="BG30" s="32"/>
      <c r="BH30" s="32"/>
      <c r="BI30" s="32"/>
      <c r="BJ30" s="32"/>
    </row>
    <row r="31" ht="15.75" customHeight="1">
      <c r="A31" s="32"/>
      <c r="B31" s="40"/>
      <c r="C31" s="39"/>
      <c r="D31" s="40"/>
      <c r="E31" s="41"/>
      <c r="F31" s="40"/>
      <c r="G31" s="41"/>
      <c r="H31" s="40"/>
      <c r="I31" s="41"/>
      <c r="J31" s="40"/>
      <c r="K31" s="41"/>
      <c r="L31" s="39"/>
      <c r="M31" s="41"/>
      <c r="N31" s="39"/>
      <c r="O31" s="40"/>
      <c r="P31" s="41"/>
      <c r="Q31" s="40"/>
      <c r="R31" s="41"/>
      <c r="S31" s="40"/>
      <c r="T31" s="41"/>
      <c r="U31" s="39"/>
      <c r="V31" s="41"/>
      <c r="W31" s="39"/>
      <c r="X31" s="40"/>
      <c r="Y31" s="41"/>
      <c r="Z31" s="39"/>
      <c r="AA31" s="41"/>
      <c r="AB31" s="39"/>
      <c r="AC31" s="40"/>
      <c r="AD31" s="41"/>
      <c r="AE31" s="40"/>
      <c r="AF31" s="41"/>
      <c r="AG31" s="39"/>
      <c r="AH31" s="41"/>
      <c r="AI31" s="39"/>
      <c r="AJ31" s="40"/>
      <c r="AK31" s="41"/>
      <c r="AL31" s="39"/>
      <c r="AM31" s="41"/>
      <c r="AN31" s="39"/>
      <c r="AO31" s="49"/>
      <c r="AP31" s="39"/>
      <c r="AQ31" s="39"/>
      <c r="AR31" s="39"/>
      <c r="AS31" s="39"/>
      <c r="AT31" s="39"/>
      <c r="AU31" s="32"/>
      <c r="AV31" s="32"/>
      <c r="AW31" s="32"/>
      <c r="AX31" s="32"/>
      <c r="AY31" s="67"/>
      <c r="AZ31" s="67"/>
      <c r="BA31" s="67"/>
      <c r="BB31" s="67"/>
      <c r="BC31" s="32"/>
      <c r="BD31" s="67"/>
      <c r="BE31" s="67"/>
      <c r="BF31" s="67"/>
      <c r="BG31" s="67"/>
      <c r="BH31" s="32"/>
      <c r="BI31" s="67"/>
      <c r="BJ31" s="67"/>
    </row>
    <row r="32" ht="15.75" customHeight="1">
      <c r="A32" s="32"/>
      <c r="B32" s="45" t="s">
        <v>89</v>
      </c>
      <c r="C32" s="60"/>
      <c r="D32" s="61">
        <v>36.1</v>
      </c>
      <c r="E32" s="62">
        <v>0.6</v>
      </c>
      <c r="F32" s="61">
        <v>15.8</v>
      </c>
      <c r="G32" s="62">
        <v>0.05</v>
      </c>
      <c r="H32" s="61">
        <v>12.7</v>
      </c>
      <c r="I32" s="62">
        <v>0.63</v>
      </c>
      <c r="J32" s="61">
        <v>1.05</v>
      </c>
      <c r="K32" s="62">
        <v>0.79</v>
      </c>
      <c r="L32" s="63">
        <v>47846.0</v>
      </c>
      <c r="M32" s="62">
        <v>0.03</v>
      </c>
      <c r="N32" s="39"/>
      <c r="O32" s="61">
        <v>0.05</v>
      </c>
      <c r="P32" s="62">
        <v>0.0</v>
      </c>
      <c r="Q32" s="61">
        <v>0.55</v>
      </c>
      <c r="R32" s="62">
        <v>1.0</v>
      </c>
      <c r="S32" s="61">
        <v>0.05</v>
      </c>
      <c r="T32" s="62">
        <v>0.0</v>
      </c>
      <c r="U32" s="63">
        <v>1.0</v>
      </c>
      <c r="V32" s="62">
        <v>1.0</v>
      </c>
      <c r="W32" s="39"/>
      <c r="X32" s="61">
        <v>0.91</v>
      </c>
      <c r="Y32" s="62">
        <v>1.0</v>
      </c>
      <c r="Z32" s="63">
        <v>3.03</v>
      </c>
      <c r="AA32" s="62">
        <v>0.0</v>
      </c>
      <c r="AB32" s="39"/>
      <c r="AC32" s="61">
        <v>0.51</v>
      </c>
      <c r="AD32" s="62">
        <v>0.22</v>
      </c>
      <c r="AE32" s="61">
        <v>4.09</v>
      </c>
      <c r="AF32" s="62">
        <v>1.0</v>
      </c>
      <c r="AG32" s="63">
        <v>2.88</v>
      </c>
      <c r="AH32" s="62">
        <v>0.0</v>
      </c>
      <c r="AI32" s="39"/>
      <c r="AJ32" s="61">
        <v>0.2</v>
      </c>
      <c r="AK32" s="62">
        <v>0.08</v>
      </c>
      <c r="AL32" s="63">
        <v>0.0149</v>
      </c>
      <c r="AM32" s="62">
        <v>1.0</v>
      </c>
      <c r="AN32" s="39"/>
      <c r="AO32" s="66">
        <v>0.523552416</v>
      </c>
      <c r="AP32" s="39"/>
      <c r="AQ32" s="39"/>
      <c r="AR32" s="39"/>
      <c r="AS32" s="39"/>
      <c r="AT32" s="39"/>
      <c r="AU32" s="39"/>
      <c r="AV32" s="32"/>
      <c r="AW32" s="32"/>
      <c r="AX32" s="32"/>
      <c r="AY32" s="32"/>
      <c r="AZ32" s="32"/>
      <c r="BA32" s="32"/>
      <c r="BB32" s="32"/>
      <c r="BC32" s="32"/>
      <c r="BD32" s="32"/>
      <c r="BE32" s="32"/>
      <c r="BF32" s="32"/>
      <c r="BG32" s="32"/>
      <c r="BH32" s="32"/>
      <c r="BI32" s="32"/>
      <c r="BJ32" s="32"/>
    </row>
    <row r="33" ht="15.75" customHeight="1">
      <c r="A33" s="32"/>
      <c r="B33" s="40"/>
      <c r="C33" s="39"/>
      <c r="D33" s="40"/>
      <c r="E33" s="41"/>
      <c r="F33" s="40"/>
      <c r="G33" s="41"/>
      <c r="H33" s="40"/>
      <c r="I33" s="41"/>
      <c r="J33" s="40"/>
      <c r="K33" s="41"/>
      <c r="L33" s="39"/>
      <c r="M33" s="41"/>
      <c r="N33" s="39"/>
      <c r="O33" s="40"/>
      <c r="P33" s="41"/>
      <c r="Q33" s="40"/>
      <c r="R33" s="41"/>
      <c r="S33" s="40"/>
      <c r="T33" s="41"/>
      <c r="U33" s="39"/>
      <c r="V33" s="41"/>
      <c r="W33" s="39"/>
      <c r="X33" s="40"/>
      <c r="Y33" s="41"/>
      <c r="Z33" s="39"/>
      <c r="AA33" s="41"/>
      <c r="AB33" s="39"/>
      <c r="AC33" s="40"/>
      <c r="AD33" s="41"/>
      <c r="AE33" s="40"/>
      <c r="AF33" s="41"/>
      <c r="AG33" s="39"/>
      <c r="AH33" s="41"/>
      <c r="AI33" s="39"/>
      <c r="AJ33" s="40"/>
      <c r="AK33" s="41"/>
      <c r="AL33" s="39"/>
      <c r="AM33" s="41"/>
      <c r="AN33" s="39"/>
      <c r="AO33" s="49"/>
      <c r="AP33" s="39"/>
      <c r="AQ33" s="39"/>
      <c r="AR33" s="39"/>
      <c r="AS33" s="39"/>
      <c r="AT33" s="39"/>
      <c r="AU33" s="39"/>
      <c r="AV33" s="32"/>
      <c r="AW33" s="32"/>
      <c r="AX33" s="32"/>
      <c r="AY33" s="32"/>
      <c r="AZ33" s="32"/>
      <c r="BA33" s="32"/>
      <c r="BB33" s="32"/>
      <c r="BC33" s="32"/>
      <c r="BD33" s="32"/>
      <c r="BE33" s="32"/>
      <c r="BF33" s="32"/>
      <c r="BG33" s="32"/>
      <c r="BH33" s="32"/>
      <c r="BI33" s="32"/>
      <c r="BJ33" s="32"/>
    </row>
    <row r="34" ht="15.75" customHeight="1">
      <c r="A34" s="32"/>
      <c r="B34" s="68" t="s">
        <v>90</v>
      </c>
      <c r="C34" s="69"/>
      <c r="D34" s="70">
        <v>43.6</v>
      </c>
      <c r="E34" s="71">
        <v>0.48</v>
      </c>
      <c r="F34" s="70">
        <v>6.87</v>
      </c>
      <c r="G34" s="71">
        <v>0.74</v>
      </c>
      <c r="H34" s="70">
        <v>21.8</v>
      </c>
      <c r="I34" s="71">
        <v>0.12</v>
      </c>
      <c r="J34" s="70">
        <v>3.4</v>
      </c>
      <c r="K34" s="71">
        <v>0.0</v>
      </c>
      <c r="L34" s="72">
        <v>13746.0</v>
      </c>
      <c r="M34" s="71">
        <v>0.0</v>
      </c>
      <c r="N34" s="69"/>
      <c r="O34" s="70">
        <v>0.08</v>
      </c>
      <c r="P34" s="71">
        <v>0.15</v>
      </c>
      <c r="Q34" s="70">
        <v>0.17</v>
      </c>
      <c r="R34" s="71">
        <v>0.0</v>
      </c>
      <c r="S34" s="70">
        <v>0.07</v>
      </c>
      <c r="T34" s="71">
        <v>0.14</v>
      </c>
      <c r="U34" s="72">
        <v>1.0</v>
      </c>
      <c r="V34" s="71">
        <v>1.0</v>
      </c>
      <c r="W34" s="69"/>
      <c r="X34" s="70">
        <v>0.76</v>
      </c>
      <c r="Y34" s="71">
        <v>0.73</v>
      </c>
      <c r="Z34" s="72" t="s">
        <v>86</v>
      </c>
      <c r="AA34" s="71">
        <v>0.0</v>
      </c>
      <c r="AB34" s="69"/>
      <c r="AC34" s="70">
        <v>1.29</v>
      </c>
      <c r="AD34" s="71">
        <v>0.97</v>
      </c>
      <c r="AE34" s="70">
        <v>0.02</v>
      </c>
      <c r="AF34" s="71">
        <v>0.0</v>
      </c>
      <c r="AG34" s="72">
        <v>137.0</v>
      </c>
      <c r="AH34" s="71">
        <v>1.0</v>
      </c>
      <c r="AI34" s="69"/>
      <c r="AJ34" s="70">
        <v>0.15</v>
      </c>
      <c r="AK34" s="71">
        <v>0.0</v>
      </c>
      <c r="AL34" s="72">
        <v>0.0067</v>
      </c>
      <c r="AM34" s="71">
        <v>0.45</v>
      </c>
      <c r="AN34" s="69"/>
      <c r="AO34" s="73">
        <v>0.306070556</v>
      </c>
      <c r="AP34" s="39"/>
      <c r="AQ34" s="39"/>
      <c r="AR34" s="39"/>
      <c r="AS34" s="39"/>
      <c r="AT34" s="39"/>
      <c r="AU34" s="39"/>
      <c r="AV34" s="32"/>
      <c r="AW34" s="32"/>
      <c r="AX34" s="32"/>
      <c r="AY34" s="32"/>
      <c r="AZ34" s="32"/>
      <c r="BA34" s="32"/>
      <c r="BB34" s="32"/>
      <c r="BC34" s="32"/>
      <c r="BD34" s="32"/>
      <c r="BE34" s="32"/>
      <c r="BF34" s="32"/>
      <c r="BG34" s="32"/>
      <c r="BH34" s="32"/>
      <c r="BI34" s="32"/>
      <c r="BJ34" s="32"/>
    </row>
    <row r="35" ht="15.75" customHeight="1">
      <c r="A35" s="32"/>
      <c r="B35" s="39"/>
      <c r="C35" s="39"/>
      <c r="D35" s="39"/>
      <c r="E35" s="39"/>
      <c r="F35" s="39"/>
      <c r="G35" s="39"/>
      <c r="H35" s="39"/>
      <c r="I35" s="39"/>
      <c r="J35" s="39"/>
      <c r="K35" s="39"/>
      <c r="L35" s="39"/>
      <c r="M35" s="39"/>
      <c r="N35" s="39"/>
      <c r="O35" s="39"/>
      <c r="P35" s="39"/>
      <c r="Q35" s="39"/>
      <c r="R35" s="39"/>
      <c r="S35" s="39"/>
      <c r="T35" s="39"/>
      <c r="U35" s="39"/>
      <c r="V35" s="39"/>
      <c r="W35" s="39"/>
      <c r="X35" s="39"/>
      <c r="Y35" s="39"/>
      <c r="Z35" s="39"/>
      <c r="AA35" s="39"/>
      <c r="AB35" s="39"/>
      <c r="AC35" s="39"/>
      <c r="AD35" s="39"/>
      <c r="AE35" s="39"/>
      <c r="AF35" s="39"/>
      <c r="AG35" s="39"/>
      <c r="AH35" s="39"/>
      <c r="AI35" s="39"/>
      <c r="AJ35" s="39"/>
      <c r="AK35" s="39"/>
      <c r="AL35" s="39"/>
      <c r="AM35" s="39"/>
      <c r="AN35" s="39"/>
      <c r="AO35" s="39"/>
      <c r="AP35" s="39"/>
      <c r="AQ35" s="39"/>
      <c r="AR35" s="39"/>
      <c r="AS35" s="39"/>
      <c r="AT35" s="39"/>
      <c r="AU35" s="39"/>
      <c r="AV35" s="32"/>
      <c r="AW35" s="32"/>
      <c r="AX35" s="32"/>
      <c r="AY35" s="32"/>
      <c r="AZ35" s="32"/>
      <c r="BA35" s="32"/>
      <c r="BB35" s="32"/>
      <c r="BC35" s="32"/>
      <c r="BD35" s="32"/>
      <c r="BE35" s="32"/>
      <c r="BF35" s="32"/>
      <c r="BG35" s="32"/>
      <c r="BH35" s="32"/>
      <c r="BI35" s="32"/>
      <c r="BJ35" s="32"/>
    </row>
    <row r="36" ht="15.75" customHeight="1">
      <c r="A36" s="32"/>
      <c r="B36" s="74" t="s">
        <v>91</v>
      </c>
      <c r="C36" s="75" t="s">
        <v>92</v>
      </c>
      <c r="D36" s="14"/>
      <c r="E36" s="14"/>
      <c r="F36" s="14"/>
      <c r="G36" s="14"/>
      <c r="H36" s="14"/>
      <c r="I36" s="12"/>
      <c r="J36" s="39"/>
      <c r="K36" s="39"/>
      <c r="L36" s="39"/>
      <c r="M36" s="39"/>
      <c r="N36" s="39"/>
      <c r="O36" s="39"/>
      <c r="P36" s="39"/>
      <c r="Q36" s="39"/>
      <c r="R36" s="39"/>
      <c r="S36" s="39"/>
      <c r="T36" s="39"/>
      <c r="U36" s="39"/>
      <c r="V36" s="39"/>
      <c r="W36" s="39"/>
      <c r="X36" s="39"/>
      <c r="Y36" s="39"/>
      <c r="Z36" s="39"/>
      <c r="AA36" s="39"/>
      <c r="AB36" s="39"/>
      <c r="AC36" s="39"/>
      <c r="AD36" s="39"/>
      <c r="AE36" s="39"/>
      <c r="AF36" s="39"/>
      <c r="AG36" s="39"/>
      <c r="AH36" s="39"/>
      <c r="AI36" s="39"/>
      <c r="AJ36" s="39"/>
      <c r="AK36" s="39"/>
      <c r="AL36" s="39"/>
      <c r="AM36" s="39"/>
      <c r="AN36" s="39"/>
      <c r="AO36" s="39"/>
      <c r="AP36" s="39"/>
      <c r="AQ36" s="39"/>
      <c r="AR36" s="39"/>
      <c r="AS36" s="39"/>
      <c r="AT36" s="39"/>
      <c r="AU36" s="39"/>
      <c r="AV36" s="32"/>
      <c r="AW36" s="32"/>
      <c r="AX36" s="32"/>
      <c r="AY36" s="32"/>
      <c r="AZ36" s="32"/>
      <c r="BA36" s="32"/>
      <c r="BB36" s="32"/>
      <c r="BC36" s="32"/>
      <c r="BD36" s="32"/>
      <c r="BE36" s="32"/>
      <c r="BF36" s="32"/>
      <c r="BG36" s="32"/>
      <c r="BH36" s="32"/>
      <c r="BI36" s="32"/>
      <c r="BJ36" s="32"/>
    </row>
    <row r="37" ht="9.75" customHeight="1">
      <c r="A37" s="32"/>
      <c r="B37" s="39"/>
      <c r="C37" s="39"/>
      <c r="D37" s="39"/>
      <c r="E37" s="39"/>
      <c r="F37" s="39"/>
      <c r="G37" s="39"/>
      <c r="H37" s="39"/>
      <c r="I37" s="39"/>
      <c r="J37" s="39"/>
      <c r="K37" s="39"/>
      <c r="L37" s="39"/>
      <c r="M37" s="39"/>
      <c r="N37" s="39"/>
      <c r="O37" s="39"/>
      <c r="P37" s="39"/>
      <c r="Q37" s="39"/>
      <c r="R37" s="39"/>
      <c r="S37" s="39"/>
      <c r="T37" s="39"/>
      <c r="U37" s="39"/>
      <c r="V37" s="39"/>
      <c r="W37" s="39"/>
      <c r="X37" s="39"/>
      <c r="Y37" s="39"/>
      <c r="Z37" s="39"/>
      <c r="AA37" s="39"/>
      <c r="AB37" s="39"/>
      <c r="AC37" s="39"/>
      <c r="AD37" s="39"/>
      <c r="AE37" s="39"/>
      <c r="AF37" s="39"/>
      <c r="AG37" s="39"/>
      <c r="AH37" s="39"/>
      <c r="AI37" s="39"/>
      <c r="AJ37" s="39"/>
      <c r="AK37" s="39"/>
      <c r="AL37" s="39"/>
      <c r="AM37" s="39"/>
      <c r="AN37" s="39"/>
      <c r="AO37" s="39"/>
      <c r="AP37" s="39"/>
      <c r="AQ37" s="39"/>
      <c r="AR37" s="39"/>
      <c r="AS37" s="39"/>
      <c r="AT37" s="39"/>
      <c r="AU37" s="39"/>
      <c r="AV37" s="32"/>
      <c r="AW37" s="32"/>
      <c r="AX37" s="32"/>
      <c r="AY37" s="32"/>
      <c r="AZ37" s="32"/>
      <c r="BA37" s="32"/>
      <c r="BB37" s="32"/>
      <c r="BC37" s="32"/>
      <c r="BD37" s="32"/>
      <c r="BE37" s="32"/>
      <c r="BF37" s="32"/>
      <c r="BG37" s="32"/>
      <c r="BH37" s="32"/>
      <c r="BI37" s="32"/>
      <c r="BJ37" s="32"/>
    </row>
    <row r="38" ht="15.75" customHeight="1">
      <c r="A38" s="32"/>
      <c r="B38" s="76" t="s">
        <v>93</v>
      </c>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5"/>
      <c r="AP38" s="32"/>
      <c r="AQ38" s="32"/>
      <c r="AR38" s="32"/>
      <c r="AS38" s="32"/>
      <c r="AT38" s="32"/>
      <c r="AU38" s="32"/>
      <c r="AV38" s="32"/>
      <c r="AW38" s="32"/>
      <c r="AX38" s="32"/>
      <c r="AY38" s="32"/>
      <c r="AZ38" s="32"/>
      <c r="BA38" s="32"/>
      <c r="BB38" s="32"/>
      <c r="BC38" s="32"/>
      <c r="BD38" s="32"/>
      <c r="BE38" s="32"/>
      <c r="BF38" s="32"/>
      <c r="BG38" s="32"/>
      <c r="BH38" s="32"/>
      <c r="BI38" s="32"/>
      <c r="BJ38" s="32"/>
    </row>
    <row r="39" ht="15.75" customHeight="1">
      <c r="A39" s="32"/>
      <c r="B39" s="6"/>
      <c r="AO39" s="7"/>
      <c r="AP39" s="32"/>
      <c r="AQ39" s="32"/>
      <c r="AR39" s="32"/>
      <c r="AS39" s="32"/>
      <c r="AT39" s="32"/>
      <c r="AU39" s="32"/>
      <c r="AV39" s="32"/>
      <c r="AW39" s="32"/>
      <c r="AX39" s="32"/>
      <c r="AY39" s="32"/>
      <c r="AZ39" s="32"/>
      <c r="BA39" s="32"/>
      <c r="BB39" s="32"/>
      <c r="BC39" s="32"/>
      <c r="BD39" s="32"/>
      <c r="BE39" s="32"/>
      <c r="BF39" s="32"/>
      <c r="BG39" s="32"/>
      <c r="BH39" s="32"/>
      <c r="BI39" s="32"/>
      <c r="BJ39" s="32"/>
    </row>
    <row r="40" ht="9.75" customHeight="1">
      <c r="A40" s="32"/>
      <c r="B40" s="8"/>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10"/>
      <c r="AP40" s="32"/>
      <c r="AQ40" s="32"/>
      <c r="AR40" s="32"/>
      <c r="AS40" s="32"/>
      <c r="AT40" s="32"/>
      <c r="AU40" s="32"/>
      <c r="AV40" s="32"/>
      <c r="AW40" s="32"/>
      <c r="AX40" s="32"/>
      <c r="AY40" s="32"/>
      <c r="AZ40" s="32"/>
      <c r="BA40" s="32"/>
      <c r="BB40" s="32"/>
      <c r="BC40" s="32"/>
      <c r="BD40" s="32"/>
      <c r="BE40" s="32"/>
      <c r="BF40" s="32"/>
      <c r="BG40" s="32"/>
      <c r="BH40" s="32"/>
      <c r="BI40" s="32"/>
      <c r="BJ40" s="32"/>
    </row>
    <row r="41" ht="15.75" customHeight="1">
      <c r="A41" s="32"/>
      <c r="B41" s="40"/>
      <c r="C41" s="39"/>
      <c r="D41" s="32"/>
      <c r="E41" s="32"/>
      <c r="F41" s="32"/>
      <c r="G41" s="32"/>
      <c r="H41" s="32"/>
      <c r="I41" s="32"/>
      <c r="J41" s="32"/>
      <c r="K41" s="32"/>
      <c r="L41" s="32"/>
      <c r="M41" s="32"/>
      <c r="N41" s="39"/>
      <c r="O41" s="32"/>
      <c r="P41" s="32"/>
      <c r="Q41" s="32"/>
      <c r="R41" s="32"/>
      <c r="S41" s="32"/>
      <c r="T41" s="32"/>
      <c r="U41" s="32"/>
      <c r="V41" s="32"/>
      <c r="W41" s="39"/>
      <c r="X41" s="32"/>
      <c r="Y41" s="32"/>
      <c r="Z41" s="32"/>
      <c r="AA41" s="32"/>
      <c r="AB41" s="39"/>
      <c r="AC41" s="32"/>
      <c r="AD41" s="32"/>
      <c r="AE41" s="32"/>
      <c r="AF41" s="32"/>
      <c r="AG41" s="32"/>
      <c r="AH41" s="32"/>
      <c r="AI41" s="39"/>
      <c r="AJ41" s="32"/>
      <c r="AK41" s="32"/>
      <c r="AL41" s="32"/>
      <c r="AM41" s="32"/>
      <c r="AN41" s="39"/>
      <c r="AO41" s="41"/>
      <c r="AP41" s="39"/>
      <c r="AQ41" s="39"/>
      <c r="AR41" s="39"/>
      <c r="AS41" s="39"/>
      <c r="AT41" s="39"/>
      <c r="AU41" s="39"/>
      <c r="AV41" s="32"/>
      <c r="AW41" s="32"/>
      <c r="AX41" s="32"/>
      <c r="AY41" s="32"/>
      <c r="AZ41" s="32"/>
      <c r="BA41" s="32"/>
      <c r="BB41" s="32"/>
      <c r="BC41" s="32"/>
      <c r="BD41" s="32"/>
      <c r="BE41" s="32"/>
      <c r="BF41" s="32"/>
      <c r="BG41" s="32"/>
      <c r="BH41" s="32"/>
      <c r="BI41" s="32"/>
      <c r="BJ41" s="32"/>
    </row>
    <row r="42" ht="15.75" customHeight="1">
      <c r="A42" s="32"/>
      <c r="B42" s="40"/>
      <c r="C42" s="39"/>
      <c r="D42" s="77" t="s">
        <v>41</v>
      </c>
      <c r="E42" s="14"/>
      <c r="F42" s="14"/>
      <c r="G42" s="14"/>
      <c r="H42" s="14"/>
      <c r="I42" s="14"/>
      <c r="J42" s="14"/>
      <c r="K42" s="14"/>
      <c r="L42" s="14"/>
      <c r="M42" s="12"/>
      <c r="N42" s="39"/>
      <c r="O42" s="77" t="s">
        <v>42</v>
      </c>
      <c r="P42" s="14"/>
      <c r="Q42" s="14"/>
      <c r="R42" s="14"/>
      <c r="S42" s="14"/>
      <c r="T42" s="14"/>
      <c r="U42" s="14"/>
      <c r="V42" s="12"/>
      <c r="W42" s="39"/>
      <c r="X42" s="77" t="s">
        <v>43</v>
      </c>
      <c r="Y42" s="14"/>
      <c r="Z42" s="14"/>
      <c r="AA42" s="12"/>
      <c r="AB42" s="39"/>
      <c r="AC42" s="77" t="s">
        <v>44</v>
      </c>
      <c r="AD42" s="14"/>
      <c r="AE42" s="14"/>
      <c r="AF42" s="14"/>
      <c r="AG42" s="14"/>
      <c r="AH42" s="12"/>
      <c r="AI42" s="39"/>
      <c r="AJ42" s="77" t="s">
        <v>45</v>
      </c>
      <c r="AK42" s="14"/>
      <c r="AL42" s="14"/>
      <c r="AM42" s="12"/>
      <c r="AN42" s="39"/>
      <c r="AO42" s="78" t="s">
        <v>46</v>
      </c>
      <c r="AP42" s="39"/>
      <c r="AQ42" s="39"/>
      <c r="AR42" s="39"/>
      <c r="AS42" s="39"/>
      <c r="AT42" s="39"/>
      <c r="AU42" s="39"/>
      <c r="AV42" s="39"/>
      <c r="AW42" s="39"/>
      <c r="AX42" s="39"/>
      <c r="AY42" s="39"/>
      <c r="AZ42" s="39"/>
      <c r="BA42" s="39"/>
      <c r="BB42" s="39"/>
      <c r="BC42" s="39"/>
      <c r="BD42" s="39"/>
      <c r="BE42" s="39"/>
      <c r="BF42" s="39"/>
      <c r="BG42" s="39"/>
      <c r="BH42" s="39"/>
      <c r="BI42" s="39"/>
      <c r="BJ42" s="39"/>
    </row>
    <row r="43" ht="15.75" customHeight="1">
      <c r="A43" s="32"/>
      <c r="B43" s="79" t="s">
        <v>47</v>
      </c>
      <c r="C43" s="32"/>
      <c r="D43" s="80" t="s">
        <v>48</v>
      </c>
      <c r="E43" s="21"/>
      <c r="F43" s="80" t="s">
        <v>49</v>
      </c>
      <c r="G43" s="21"/>
      <c r="H43" s="80" t="s">
        <v>50</v>
      </c>
      <c r="I43" s="21"/>
      <c r="J43" s="80" t="s">
        <v>51</v>
      </c>
      <c r="K43" s="21"/>
      <c r="L43" s="81" t="s">
        <v>94</v>
      </c>
      <c r="M43" s="24"/>
      <c r="N43" s="39"/>
      <c r="O43" s="80" t="s">
        <v>53</v>
      </c>
      <c r="P43" s="21"/>
      <c r="Q43" s="80" t="s">
        <v>54</v>
      </c>
      <c r="R43" s="21"/>
      <c r="S43" s="80" t="s">
        <v>55</v>
      </c>
      <c r="T43" s="21"/>
      <c r="U43" s="82" t="s">
        <v>56</v>
      </c>
      <c r="V43" s="21"/>
      <c r="W43" s="39"/>
      <c r="X43" s="80" t="s">
        <v>57</v>
      </c>
      <c r="Y43" s="21"/>
      <c r="Z43" s="81" t="s">
        <v>58</v>
      </c>
      <c r="AA43" s="24"/>
      <c r="AB43" s="39"/>
      <c r="AC43" s="80" t="s">
        <v>59</v>
      </c>
      <c r="AD43" s="21"/>
      <c r="AE43" s="80" t="s">
        <v>60</v>
      </c>
      <c r="AF43" s="21"/>
      <c r="AG43" s="81" t="s">
        <v>61</v>
      </c>
      <c r="AH43" s="24"/>
      <c r="AI43" s="39"/>
      <c r="AJ43" s="80" t="s">
        <v>62</v>
      </c>
      <c r="AK43" s="21"/>
      <c r="AL43" s="81" t="s">
        <v>63</v>
      </c>
      <c r="AM43" s="24"/>
      <c r="AN43" s="32"/>
      <c r="AO43" s="83"/>
      <c r="AP43" s="32"/>
      <c r="AQ43" s="32"/>
      <c r="AR43" s="32"/>
      <c r="AS43" s="32"/>
      <c r="AT43" s="32"/>
      <c r="AU43" s="32"/>
      <c r="AV43" s="32"/>
      <c r="AW43" s="39"/>
      <c r="AX43" s="39"/>
      <c r="AY43" s="39"/>
      <c r="AZ43" s="39"/>
      <c r="BA43" s="39"/>
      <c r="BB43" s="39"/>
      <c r="BC43" s="39"/>
      <c r="BD43" s="39"/>
      <c r="BE43" s="39"/>
      <c r="BF43" s="39"/>
      <c r="BG43" s="39"/>
      <c r="BH43" s="39"/>
      <c r="BI43" s="39"/>
      <c r="BJ43" s="39"/>
    </row>
    <row r="44" ht="15.75" customHeight="1">
      <c r="A44" s="32"/>
      <c r="B44" s="79" t="s">
        <v>64</v>
      </c>
      <c r="C44" s="32"/>
      <c r="D44" s="84">
        <v>0.05</v>
      </c>
      <c r="E44" s="24"/>
      <c r="F44" s="84">
        <v>0.07</v>
      </c>
      <c r="G44" s="24"/>
      <c r="H44" s="84">
        <v>0.12</v>
      </c>
      <c r="I44" s="24"/>
      <c r="J44" s="84">
        <v>0.03</v>
      </c>
      <c r="K44" s="24"/>
      <c r="L44" s="85">
        <v>0.03</v>
      </c>
      <c r="M44" s="24"/>
      <c r="N44" s="32"/>
      <c r="O44" s="84">
        <v>0.08</v>
      </c>
      <c r="P44" s="24"/>
      <c r="Q44" s="84">
        <v>0.12</v>
      </c>
      <c r="R44" s="24"/>
      <c r="S44" s="84">
        <v>0.06</v>
      </c>
      <c r="T44" s="24"/>
      <c r="U44" s="85">
        <v>0.05</v>
      </c>
      <c r="V44" s="24"/>
      <c r="W44" s="32"/>
      <c r="X44" s="84">
        <v>0.06</v>
      </c>
      <c r="Y44" s="24"/>
      <c r="Z44" s="85">
        <v>0.05</v>
      </c>
      <c r="AA44" s="24"/>
      <c r="AB44" s="32"/>
      <c r="AC44" s="84">
        <v>0.1</v>
      </c>
      <c r="AD44" s="24"/>
      <c r="AE44" s="84">
        <v>0.12</v>
      </c>
      <c r="AF44" s="24"/>
      <c r="AG44" s="85">
        <v>0.05</v>
      </c>
      <c r="AH44" s="24"/>
      <c r="AI44" s="32"/>
      <c r="AJ44" s="84">
        <v>0.06</v>
      </c>
      <c r="AK44" s="24"/>
      <c r="AL44" s="85">
        <v>0.04</v>
      </c>
      <c r="AM44" s="24"/>
      <c r="AN44" s="32"/>
      <c r="AO44" s="22"/>
      <c r="AP44" s="32"/>
      <c r="AQ44" s="32"/>
      <c r="AR44" s="32"/>
      <c r="AS44" s="32"/>
      <c r="AT44" s="32"/>
      <c r="AU44" s="32"/>
      <c r="AV44" s="32"/>
      <c r="AW44" s="39"/>
      <c r="AX44" s="39"/>
      <c r="AY44" s="39"/>
      <c r="AZ44" s="39"/>
      <c r="BA44" s="39"/>
      <c r="BB44" s="39"/>
      <c r="BC44" s="39"/>
      <c r="BD44" s="39"/>
      <c r="BE44" s="39"/>
      <c r="BF44" s="39"/>
      <c r="BG44" s="39"/>
      <c r="BH44" s="39"/>
      <c r="BI44" s="39"/>
      <c r="BJ44" s="39"/>
    </row>
    <row r="45" ht="15.75" customHeight="1">
      <c r="A45" s="32"/>
      <c r="B45" s="79" t="s">
        <v>65</v>
      </c>
      <c r="C45" s="32"/>
      <c r="D45" s="86" t="s">
        <v>95</v>
      </c>
      <c r="E45" s="24"/>
      <c r="F45" s="86" t="s">
        <v>96</v>
      </c>
      <c r="G45" s="24"/>
      <c r="H45" s="87" t="s">
        <v>97</v>
      </c>
      <c r="I45" s="30"/>
      <c r="J45" s="86" t="s">
        <v>98</v>
      </c>
      <c r="K45" s="24"/>
      <c r="L45" s="88" t="s">
        <v>99</v>
      </c>
      <c r="M45" s="24"/>
      <c r="N45" s="32"/>
      <c r="O45" s="86" t="s">
        <v>100</v>
      </c>
      <c r="P45" s="24"/>
      <c r="Q45" s="86" t="s">
        <v>101</v>
      </c>
      <c r="R45" s="24"/>
      <c r="S45" s="86" t="s">
        <v>102</v>
      </c>
      <c r="T45" s="24"/>
      <c r="U45" s="88" t="s">
        <v>103</v>
      </c>
      <c r="V45" s="24"/>
      <c r="W45" s="32"/>
      <c r="X45" s="86" t="s">
        <v>104</v>
      </c>
      <c r="Y45" s="24"/>
      <c r="Z45" s="88" t="s">
        <v>105</v>
      </c>
      <c r="AA45" s="24"/>
      <c r="AB45" s="32"/>
      <c r="AC45" s="86" t="s">
        <v>106</v>
      </c>
      <c r="AD45" s="24"/>
      <c r="AE45" s="86" t="s">
        <v>107</v>
      </c>
      <c r="AF45" s="24"/>
      <c r="AG45" s="88" t="s">
        <v>108</v>
      </c>
      <c r="AH45" s="24"/>
      <c r="AI45" s="32"/>
      <c r="AJ45" s="86" t="s">
        <v>109</v>
      </c>
      <c r="AK45" s="24"/>
      <c r="AL45" s="88" t="s">
        <v>110</v>
      </c>
      <c r="AM45" s="24"/>
      <c r="AN45" s="32"/>
      <c r="AO45" s="22"/>
      <c r="AP45" s="32"/>
      <c r="AQ45" s="32"/>
      <c r="AR45" s="32"/>
      <c r="AS45" s="32"/>
      <c r="AT45" s="32"/>
      <c r="AU45" s="32"/>
      <c r="AV45" s="32"/>
      <c r="AW45" s="32"/>
      <c r="AX45" s="32"/>
      <c r="AY45" s="32"/>
      <c r="AZ45" s="32"/>
      <c r="BA45" s="32"/>
      <c r="BB45" s="32"/>
      <c r="BC45" s="32"/>
      <c r="BD45" s="32"/>
      <c r="BE45" s="32"/>
      <c r="BF45" s="32"/>
      <c r="BG45" s="32"/>
      <c r="BH45" s="32"/>
      <c r="BI45" s="32"/>
      <c r="BJ45" s="32"/>
    </row>
    <row r="46" ht="15.75" customHeight="1">
      <c r="A46" s="32"/>
      <c r="B46" s="56"/>
      <c r="C46" s="32"/>
      <c r="D46" s="57" t="s">
        <v>82</v>
      </c>
      <c r="E46" s="58" t="s">
        <v>83</v>
      </c>
      <c r="F46" s="57" t="s">
        <v>82</v>
      </c>
      <c r="G46" s="58" t="s">
        <v>83</v>
      </c>
      <c r="H46" s="57" t="s">
        <v>82</v>
      </c>
      <c r="I46" s="58" t="s">
        <v>83</v>
      </c>
      <c r="J46" s="57" t="s">
        <v>82</v>
      </c>
      <c r="K46" s="58" t="s">
        <v>83</v>
      </c>
      <c r="L46" s="59" t="s">
        <v>84</v>
      </c>
      <c r="M46" s="58" t="s">
        <v>83</v>
      </c>
      <c r="N46" s="32"/>
      <c r="O46" s="57" t="s">
        <v>84</v>
      </c>
      <c r="P46" s="58" t="s">
        <v>83</v>
      </c>
      <c r="Q46" s="57" t="s">
        <v>84</v>
      </c>
      <c r="R46" s="58" t="s">
        <v>83</v>
      </c>
      <c r="S46" s="57" t="s">
        <v>84</v>
      </c>
      <c r="T46" s="58" t="s">
        <v>83</v>
      </c>
      <c r="U46" s="59" t="s">
        <v>84</v>
      </c>
      <c r="V46" s="58" t="s">
        <v>83</v>
      </c>
      <c r="W46" s="32"/>
      <c r="X46" s="57" t="s">
        <v>84</v>
      </c>
      <c r="Y46" s="58" t="s">
        <v>83</v>
      </c>
      <c r="Z46" s="59" t="s">
        <v>84</v>
      </c>
      <c r="AA46" s="58" t="s">
        <v>83</v>
      </c>
      <c r="AB46" s="32"/>
      <c r="AC46" s="57" t="s">
        <v>84</v>
      </c>
      <c r="AD46" s="58" t="s">
        <v>83</v>
      </c>
      <c r="AE46" s="57" t="s">
        <v>82</v>
      </c>
      <c r="AF46" s="58" t="s">
        <v>83</v>
      </c>
      <c r="AG46" s="59" t="s">
        <v>84</v>
      </c>
      <c r="AH46" s="58" t="s">
        <v>83</v>
      </c>
      <c r="AI46" s="32"/>
      <c r="AJ46" s="57" t="s">
        <v>84</v>
      </c>
      <c r="AK46" s="58" t="s">
        <v>83</v>
      </c>
      <c r="AL46" s="59" t="s">
        <v>84</v>
      </c>
      <c r="AM46" s="58" t="s">
        <v>83</v>
      </c>
      <c r="AN46" s="32"/>
      <c r="AO46" s="22"/>
      <c r="AP46" s="32"/>
      <c r="AQ46" s="32"/>
      <c r="AR46" s="32"/>
      <c r="AS46" s="32"/>
      <c r="AT46" s="32"/>
      <c r="AU46" s="32"/>
      <c r="AV46" s="32"/>
      <c r="AW46" s="32"/>
      <c r="AX46" s="32"/>
      <c r="AY46" s="32"/>
      <c r="AZ46" s="32"/>
      <c r="BA46" s="32"/>
      <c r="BB46" s="32"/>
      <c r="BC46" s="32"/>
      <c r="BD46" s="32"/>
      <c r="BE46" s="32"/>
      <c r="BF46" s="32"/>
      <c r="BG46" s="32"/>
      <c r="BH46" s="32"/>
      <c r="BI46" s="32"/>
      <c r="BJ46" s="32"/>
    </row>
    <row r="47" ht="15.75" customHeight="1">
      <c r="A47" s="32"/>
      <c r="B47" s="79" t="s">
        <v>111</v>
      </c>
      <c r="C47" s="32"/>
      <c r="D47" s="89">
        <v>39.2</v>
      </c>
      <c r="E47" s="62">
        <v>1.0</v>
      </c>
      <c r="F47" s="89">
        <v>9.36</v>
      </c>
      <c r="G47" s="62">
        <v>1.0</v>
      </c>
      <c r="H47" s="89">
        <v>23.7</v>
      </c>
      <c r="I47" s="62">
        <v>1.0</v>
      </c>
      <c r="J47" s="89">
        <v>1.6</v>
      </c>
      <c r="K47" s="62">
        <v>0.999033477</v>
      </c>
      <c r="L47" s="90">
        <v>327559.0</v>
      </c>
      <c r="M47" s="62">
        <v>1.0</v>
      </c>
      <c r="N47" s="32"/>
      <c r="O47" s="84">
        <v>0.29</v>
      </c>
      <c r="P47" s="62">
        <v>1.0</v>
      </c>
      <c r="Q47" s="84">
        <v>0.261</v>
      </c>
      <c r="R47" s="62">
        <v>0.6</v>
      </c>
      <c r="S47" s="84">
        <v>0.0893</v>
      </c>
      <c r="T47" s="62">
        <v>1.0</v>
      </c>
      <c r="U47" s="85">
        <v>0.637</v>
      </c>
      <c r="V47" s="62">
        <v>0.94</v>
      </c>
      <c r="W47" s="32"/>
      <c r="X47" s="89">
        <v>0.33</v>
      </c>
      <c r="Y47" s="62">
        <v>0.16</v>
      </c>
      <c r="Z47" s="90">
        <v>0.65</v>
      </c>
      <c r="AA47" s="62">
        <v>0.0</v>
      </c>
      <c r="AB47" s="32"/>
      <c r="AC47" s="89">
        <v>2.04</v>
      </c>
      <c r="AD47" s="62">
        <v>0.72</v>
      </c>
      <c r="AE47" s="89">
        <v>0.0</v>
      </c>
      <c r="AF47" s="62">
        <v>0.0</v>
      </c>
      <c r="AG47" s="91">
        <v>1252.0</v>
      </c>
      <c r="AH47" s="62">
        <v>1.0</v>
      </c>
      <c r="AI47" s="32"/>
      <c r="AJ47" s="84">
        <v>0.31</v>
      </c>
      <c r="AK47" s="62">
        <v>1.0</v>
      </c>
      <c r="AL47" s="85">
        <v>0.0071</v>
      </c>
      <c r="AM47" s="62">
        <v>1.0</v>
      </c>
      <c r="AN47" s="32"/>
      <c r="AO47" s="92">
        <v>0.78995702</v>
      </c>
      <c r="AP47" s="32"/>
      <c r="AQ47" s="32"/>
      <c r="AR47" s="32"/>
      <c r="AS47" s="32"/>
      <c r="AT47" s="32"/>
      <c r="AU47" s="32"/>
      <c r="AV47" s="32"/>
      <c r="AW47" s="39"/>
      <c r="AX47" s="39"/>
      <c r="AY47" s="39"/>
      <c r="AZ47" s="39"/>
      <c r="BA47" s="39"/>
      <c r="BB47" s="39"/>
      <c r="BC47" s="39"/>
      <c r="BD47" s="39"/>
      <c r="BE47" s="39"/>
      <c r="BF47" s="39"/>
      <c r="BG47" s="39"/>
      <c r="BH47" s="39"/>
      <c r="BI47" s="39"/>
      <c r="BJ47" s="39"/>
    </row>
    <row r="48" ht="15.75" customHeight="1">
      <c r="A48" s="32"/>
      <c r="B48" s="56"/>
      <c r="C48" s="32"/>
      <c r="D48" s="56"/>
      <c r="E48" s="41"/>
      <c r="F48" s="56"/>
      <c r="G48" s="41"/>
      <c r="H48" s="56"/>
      <c r="I48" s="41"/>
      <c r="J48" s="56"/>
      <c r="K48" s="41"/>
      <c r="L48" s="32"/>
      <c r="M48" s="41"/>
      <c r="N48" s="32"/>
      <c r="O48" s="56"/>
      <c r="P48" s="41"/>
      <c r="Q48" s="56"/>
      <c r="R48" s="41"/>
      <c r="S48" s="56"/>
      <c r="T48" s="41"/>
      <c r="U48" s="32"/>
      <c r="V48" s="41"/>
      <c r="W48" s="32"/>
      <c r="X48" s="56"/>
      <c r="Y48" s="41"/>
      <c r="Z48" s="32"/>
      <c r="AA48" s="41"/>
      <c r="AB48" s="32"/>
      <c r="AC48" s="56"/>
      <c r="AD48" s="41"/>
      <c r="AE48" s="40"/>
      <c r="AF48" s="41"/>
      <c r="AG48" s="32"/>
      <c r="AH48" s="41"/>
      <c r="AI48" s="32"/>
      <c r="AJ48" s="56"/>
      <c r="AK48" s="41"/>
      <c r="AL48" s="32"/>
      <c r="AM48" s="41"/>
      <c r="AN48" s="32"/>
      <c r="AO48" s="83"/>
      <c r="AP48" s="32"/>
      <c r="AQ48" s="32"/>
      <c r="AR48" s="32"/>
      <c r="AS48" s="32"/>
      <c r="AT48" s="32"/>
      <c r="AU48" s="32"/>
      <c r="AV48" s="32"/>
      <c r="AW48" s="39"/>
      <c r="AX48" s="39"/>
      <c r="AY48" s="39"/>
      <c r="AZ48" s="39"/>
      <c r="BA48" s="39"/>
      <c r="BB48" s="39"/>
      <c r="BC48" s="39"/>
      <c r="BD48" s="39"/>
      <c r="BE48" s="39"/>
      <c r="BF48" s="39"/>
      <c r="BG48" s="39"/>
      <c r="BH48" s="39"/>
      <c r="BI48" s="39"/>
      <c r="BJ48" s="39"/>
    </row>
    <row r="49" ht="15.75" customHeight="1">
      <c r="A49" s="32"/>
      <c r="B49" s="79" t="s">
        <v>112</v>
      </c>
      <c r="C49" s="32"/>
      <c r="D49" s="89">
        <v>53.0</v>
      </c>
      <c r="E49" s="62">
        <v>0.84</v>
      </c>
      <c r="F49" s="89">
        <v>16.1</v>
      </c>
      <c r="G49" s="62">
        <v>0.15</v>
      </c>
      <c r="H49" s="89">
        <v>35.2</v>
      </c>
      <c r="I49" s="62">
        <v>0.79</v>
      </c>
      <c r="J49" s="89">
        <v>1.38</v>
      </c>
      <c r="K49" s="62">
        <v>1.0</v>
      </c>
      <c r="L49" s="90">
        <v>128033.0</v>
      </c>
      <c r="M49" s="62">
        <v>0.32</v>
      </c>
      <c r="N49" s="32"/>
      <c r="O49" s="84">
        <v>0.102</v>
      </c>
      <c r="P49" s="62">
        <v>0.0</v>
      </c>
      <c r="Q49" s="84">
        <v>0.34</v>
      </c>
      <c r="R49" s="62">
        <v>1.0</v>
      </c>
      <c r="S49" s="84">
        <v>0.083</v>
      </c>
      <c r="T49" s="62">
        <v>0.84</v>
      </c>
      <c r="U49" s="85">
        <v>0.657</v>
      </c>
      <c r="V49" s="62">
        <v>1.0</v>
      </c>
      <c r="W49" s="32"/>
      <c r="X49" s="89">
        <v>0.39</v>
      </c>
      <c r="Y49" s="62">
        <v>0.47</v>
      </c>
      <c r="Z49" s="90">
        <v>0.89</v>
      </c>
      <c r="AA49" s="62">
        <v>0.3</v>
      </c>
      <c r="AB49" s="32"/>
      <c r="AC49" s="89">
        <v>1.25</v>
      </c>
      <c r="AD49" s="62">
        <v>0.07</v>
      </c>
      <c r="AE49" s="89">
        <v>0.0</v>
      </c>
      <c r="AF49" s="62">
        <v>0.0</v>
      </c>
      <c r="AG49" s="90">
        <v>697.0</v>
      </c>
      <c r="AH49" s="62">
        <v>0.55</v>
      </c>
      <c r="AI49" s="32"/>
      <c r="AJ49" s="84">
        <v>0.18</v>
      </c>
      <c r="AK49" s="62">
        <v>0.43</v>
      </c>
      <c r="AL49" s="85">
        <v>0.0046</v>
      </c>
      <c r="AM49" s="62">
        <v>0.42</v>
      </c>
      <c r="AN49" s="32"/>
      <c r="AO49" s="66">
        <v>0.527239661</v>
      </c>
      <c r="AP49" s="32"/>
      <c r="AQ49" s="32"/>
      <c r="AR49" s="32"/>
      <c r="AS49" s="32"/>
      <c r="AT49" s="32"/>
      <c r="AU49" s="32"/>
      <c r="AV49" s="32"/>
      <c r="AW49" s="39"/>
      <c r="AX49" s="39"/>
      <c r="AY49" s="39"/>
      <c r="AZ49" s="39"/>
      <c r="BA49" s="39"/>
      <c r="BB49" s="39"/>
      <c r="BC49" s="39"/>
      <c r="BD49" s="39"/>
      <c r="BE49" s="39"/>
      <c r="BF49" s="39"/>
      <c r="BG49" s="39"/>
      <c r="BH49" s="39"/>
      <c r="BI49" s="39"/>
      <c r="BJ49" s="39"/>
    </row>
    <row r="50" ht="15.75" customHeight="1">
      <c r="A50" s="32"/>
      <c r="B50" s="56"/>
      <c r="C50" s="32"/>
      <c r="D50" s="56"/>
      <c r="E50" s="41"/>
      <c r="F50" s="56"/>
      <c r="G50" s="41"/>
      <c r="H50" s="56"/>
      <c r="I50" s="41"/>
      <c r="J50" s="56"/>
      <c r="K50" s="41"/>
      <c r="L50" s="32"/>
      <c r="M50" s="41"/>
      <c r="N50" s="32"/>
      <c r="O50" s="56"/>
      <c r="P50" s="41"/>
      <c r="Q50" s="56"/>
      <c r="R50" s="41"/>
      <c r="S50" s="56"/>
      <c r="T50" s="41"/>
      <c r="U50" s="32"/>
      <c r="V50" s="41"/>
      <c r="W50" s="32"/>
      <c r="X50" s="56"/>
      <c r="Y50" s="41"/>
      <c r="Z50" s="32"/>
      <c r="AA50" s="41"/>
      <c r="AB50" s="32"/>
      <c r="AC50" s="56"/>
      <c r="AD50" s="41"/>
      <c r="AE50" s="56"/>
      <c r="AF50" s="41"/>
      <c r="AG50" s="32"/>
      <c r="AH50" s="41"/>
      <c r="AI50" s="32"/>
      <c r="AJ50" s="56"/>
      <c r="AK50" s="41"/>
      <c r="AL50" s="32"/>
      <c r="AM50" s="41"/>
      <c r="AN50" s="32"/>
      <c r="AO50" s="83"/>
      <c r="AP50" s="32"/>
      <c r="AQ50" s="32"/>
      <c r="AR50" s="32"/>
      <c r="AS50" s="32"/>
      <c r="AT50" s="32"/>
      <c r="AU50" s="32"/>
      <c r="AV50" s="32"/>
      <c r="AW50" s="32"/>
      <c r="AX50" s="32"/>
      <c r="AY50" s="32"/>
      <c r="AZ50" s="32"/>
      <c r="BA50" s="32"/>
      <c r="BB50" s="32"/>
      <c r="BC50" s="32"/>
      <c r="BD50" s="32"/>
      <c r="BE50" s="32"/>
      <c r="BF50" s="32"/>
      <c r="BG50" s="32"/>
      <c r="BH50" s="32"/>
      <c r="BI50" s="32"/>
      <c r="BJ50" s="32"/>
    </row>
    <row r="51" ht="15.75" customHeight="1">
      <c r="A51" s="32"/>
      <c r="B51" s="79" t="s">
        <v>113</v>
      </c>
      <c r="C51" s="32"/>
      <c r="D51" s="89">
        <v>126.0</v>
      </c>
      <c r="E51" s="62">
        <v>0.0</v>
      </c>
      <c r="F51" s="89">
        <v>17.3</v>
      </c>
      <c r="G51" s="62">
        <v>0.0</v>
      </c>
      <c r="H51" s="89">
        <v>79.1</v>
      </c>
      <c r="I51" s="62">
        <v>0.0</v>
      </c>
      <c r="J51" s="89">
        <v>229.0</v>
      </c>
      <c r="K51" s="62">
        <v>0.0</v>
      </c>
      <c r="L51" s="90">
        <v>69284.0</v>
      </c>
      <c r="M51" s="62">
        <v>0.12</v>
      </c>
      <c r="N51" s="32"/>
      <c r="O51" s="84">
        <v>0.154</v>
      </c>
      <c r="P51" s="62">
        <v>0.28</v>
      </c>
      <c r="Q51" s="84">
        <v>0.144</v>
      </c>
      <c r="R51" s="62">
        <v>0.0</v>
      </c>
      <c r="S51" s="84">
        <v>0.0496</v>
      </c>
      <c r="T51" s="62">
        <v>0.0</v>
      </c>
      <c r="U51" s="85">
        <v>0.408</v>
      </c>
      <c r="V51" s="62">
        <v>0.25</v>
      </c>
      <c r="W51" s="32"/>
      <c r="X51" s="89">
        <v>0.3</v>
      </c>
      <c r="Y51" s="62">
        <v>0.0</v>
      </c>
      <c r="Z51" s="90">
        <v>0.71</v>
      </c>
      <c r="AA51" s="62">
        <v>0.07</v>
      </c>
      <c r="AB51" s="32"/>
      <c r="AC51" s="89">
        <v>2.38</v>
      </c>
      <c r="AD51" s="62">
        <v>1.0</v>
      </c>
      <c r="AE51" s="89">
        <v>0.0</v>
      </c>
      <c r="AF51" s="62">
        <v>0.0</v>
      </c>
      <c r="AG51" s="90">
        <v>227.0</v>
      </c>
      <c r="AH51" s="62">
        <v>0.16</v>
      </c>
      <c r="AI51" s="32"/>
      <c r="AJ51" s="84">
        <v>0.141</v>
      </c>
      <c r="AK51" s="62">
        <v>0.26</v>
      </c>
      <c r="AL51" s="85">
        <v>0.0028</v>
      </c>
      <c r="AM51" s="62">
        <v>0.0</v>
      </c>
      <c r="AN51" s="32"/>
      <c r="AO51" s="66">
        <v>0.165076031</v>
      </c>
      <c r="AP51" s="32"/>
      <c r="AQ51" s="32"/>
      <c r="AR51" s="32"/>
      <c r="AS51" s="32"/>
      <c r="AT51" s="32"/>
      <c r="AU51" s="32"/>
      <c r="AV51" s="32"/>
      <c r="AW51" s="32"/>
      <c r="AX51" s="32"/>
      <c r="AY51" s="32"/>
      <c r="AZ51" s="32"/>
      <c r="BA51" s="32"/>
      <c r="BB51" s="32"/>
      <c r="BC51" s="32"/>
      <c r="BD51" s="32"/>
      <c r="BE51" s="32"/>
      <c r="BF51" s="32"/>
      <c r="BG51" s="32"/>
      <c r="BH51" s="32"/>
      <c r="BI51" s="32"/>
      <c r="BJ51" s="32"/>
    </row>
    <row r="52" ht="15.75" customHeight="1">
      <c r="A52" s="32"/>
      <c r="B52" s="56"/>
      <c r="C52" s="32"/>
      <c r="D52" s="56"/>
      <c r="E52" s="41"/>
      <c r="F52" s="56"/>
      <c r="G52" s="41"/>
      <c r="H52" s="56"/>
      <c r="I52" s="41"/>
      <c r="J52" s="56"/>
      <c r="K52" s="41"/>
      <c r="L52" s="32"/>
      <c r="M52" s="41"/>
      <c r="N52" s="32"/>
      <c r="O52" s="56"/>
      <c r="P52" s="41"/>
      <c r="Q52" s="56"/>
      <c r="R52" s="41"/>
      <c r="S52" s="56"/>
      <c r="T52" s="41"/>
      <c r="U52" s="32"/>
      <c r="V52" s="41"/>
      <c r="W52" s="32"/>
      <c r="X52" s="56"/>
      <c r="Y52" s="41"/>
      <c r="Z52" s="32"/>
      <c r="AA52" s="41"/>
      <c r="AB52" s="32"/>
      <c r="AC52" s="56"/>
      <c r="AD52" s="41"/>
      <c r="AE52" s="56"/>
      <c r="AF52" s="41"/>
      <c r="AG52" s="32"/>
      <c r="AH52" s="41"/>
      <c r="AI52" s="32"/>
      <c r="AJ52" s="56"/>
      <c r="AK52" s="41"/>
      <c r="AL52" s="32"/>
      <c r="AM52" s="41"/>
      <c r="AN52" s="32"/>
      <c r="AO52" s="83"/>
      <c r="AP52" s="32"/>
      <c r="AQ52" s="32"/>
      <c r="AR52" s="32"/>
      <c r="AS52" s="32"/>
      <c r="AT52" s="32"/>
      <c r="AU52" s="32"/>
      <c r="AV52" s="32"/>
      <c r="AW52" s="32"/>
      <c r="AX52" s="32"/>
      <c r="AY52" s="32"/>
      <c r="AZ52" s="32"/>
      <c r="BA52" s="32"/>
      <c r="BB52" s="32"/>
      <c r="BC52" s="32"/>
      <c r="BD52" s="32"/>
      <c r="BE52" s="32"/>
      <c r="BF52" s="32"/>
      <c r="BG52" s="32"/>
      <c r="BH52" s="32"/>
      <c r="BI52" s="32"/>
      <c r="BJ52" s="32"/>
    </row>
    <row r="53" ht="15.75" customHeight="1">
      <c r="A53" s="32"/>
      <c r="B53" s="79" t="s">
        <v>114</v>
      </c>
      <c r="C53" s="32"/>
      <c r="D53" s="89">
        <v>63.8</v>
      </c>
      <c r="E53" s="62">
        <v>0.72</v>
      </c>
      <c r="F53" s="89">
        <v>9.59</v>
      </c>
      <c r="G53" s="62">
        <v>0.97</v>
      </c>
      <c r="H53" s="89">
        <v>40.9</v>
      </c>
      <c r="I53" s="62">
        <v>0.69</v>
      </c>
      <c r="J53" s="89">
        <v>11.0</v>
      </c>
      <c r="K53" s="62">
        <v>0.957736579</v>
      </c>
      <c r="L53" s="90">
        <v>53779.0</v>
      </c>
      <c r="M53" s="62">
        <v>0.07</v>
      </c>
      <c r="N53" s="32"/>
      <c r="O53" s="84">
        <v>0.172</v>
      </c>
      <c r="P53" s="62">
        <v>0.37</v>
      </c>
      <c r="Q53" s="84">
        <v>0.158</v>
      </c>
      <c r="R53" s="62">
        <v>0.07</v>
      </c>
      <c r="S53" s="84">
        <v>0.0676</v>
      </c>
      <c r="T53" s="62">
        <v>0.45</v>
      </c>
      <c r="U53" s="85">
        <v>0.606</v>
      </c>
      <c r="V53" s="62">
        <v>0.85</v>
      </c>
      <c r="W53" s="32"/>
      <c r="X53" s="89">
        <v>0.36</v>
      </c>
      <c r="Y53" s="62">
        <v>0.32</v>
      </c>
      <c r="Z53" s="90">
        <v>1.46</v>
      </c>
      <c r="AA53" s="62">
        <v>1.0</v>
      </c>
      <c r="AB53" s="32"/>
      <c r="AC53" s="89">
        <v>1.34</v>
      </c>
      <c r="AD53" s="62">
        <v>0.14</v>
      </c>
      <c r="AE53" s="89">
        <v>0.09</v>
      </c>
      <c r="AF53" s="62">
        <v>1.0</v>
      </c>
      <c r="AG53" s="90">
        <v>32.1</v>
      </c>
      <c r="AH53" s="62">
        <v>0.0</v>
      </c>
      <c r="AI53" s="32"/>
      <c r="AJ53" s="84">
        <v>0.193</v>
      </c>
      <c r="AK53" s="62">
        <v>0.48</v>
      </c>
      <c r="AL53" s="85">
        <v>0.0048</v>
      </c>
      <c r="AM53" s="62">
        <v>0.47</v>
      </c>
      <c r="AN53" s="32"/>
      <c r="AO53" s="66">
        <v>0.575763513</v>
      </c>
      <c r="AP53" s="32"/>
      <c r="AQ53" s="32"/>
      <c r="AR53" s="32"/>
      <c r="AS53" s="32"/>
      <c r="AT53" s="32"/>
      <c r="AU53" s="32"/>
      <c r="AV53" s="32"/>
      <c r="AW53" s="32"/>
      <c r="AX53" s="32"/>
      <c r="AY53" s="32"/>
      <c r="AZ53" s="32"/>
      <c r="BA53" s="32"/>
      <c r="BB53" s="32"/>
      <c r="BC53" s="32"/>
      <c r="BD53" s="32"/>
      <c r="BE53" s="32"/>
      <c r="BF53" s="32"/>
      <c r="BG53" s="32"/>
      <c r="BH53" s="32"/>
      <c r="BI53" s="32"/>
      <c r="BJ53" s="32"/>
    </row>
    <row r="54" ht="15.75" customHeight="1">
      <c r="A54" s="32"/>
      <c r="B54" s="56"/>
      <c r="C54" s="32"/>
      <c r="D54" s="56"/>
      <c r="E54" s="41"/>
      <c r="F54" s="56"/>
      <c r="G54" s="41"/>
      <c r="H54" s="56"/>
      <c r="I54" s="41"/>
      <c r="J54" s="56"/>
      <c r="K54" s="41"/>
      <c r="L54" s="32"/>
      <c r="M54" s="41"/>
      <c r="N54" s="32"/>
      <c r="O54" s="56"/>
      <c r="P54" s="41"/>
      <c r="Q54" s="56"/>
      <c r="R54" s="41"/>
      <c r="S54" s="56"/>
      <c r="T54" s="41"/>
      <c r="U54" s="32"/>
      <c r="V54" s="41"/>
      <c r="W54" s="32"/>
      <c r="X54" s="56"/>
      <c r="Y54" s="41"/>
      <c r="Z54" s="32"/>
      <c r="AA54" s="41"/>
      <c r="AB54" s="32"/>
      <c r="AC54" s="56"/>
      <c r="AD54" s="41"/>
      <c r="AE54" s="56"/>
      <c r="AF54" s="41"/>
      <c r="AG54" s="32"/>
      <c r="AH54" s="41"/>
      <c r="AI54" s="32"/>
      <c r="AJ54" s="56"/>
      <c r="AK54" s="41"/>
      <c r="AL54" s="32"/>
      <c r="AM54" s="41"/>
      <c r="AN54" s="32"/>
      <c r="AO54" s="83"/>
      <c r="AP54" s="32"/>
      <c r="AQ54" s="32"/>
      <c r="AR54" s="32"/>
      <c r="AS54" s="32"/>
      <c r="AT54" s="32"/>
      <c r="AU54" s="32"/>
      <c r="AV54" s="32"/>
      <c r="AW54" s="32"/>
      <c r="AX54" s="32"/>
      <c r="AY54" s="32"/>
      <c r="AZ54" s="32"/>
      <c r="BA54" s="32"/>
      <c r="BB54" s="32"/>
      <c r="BC54" s="32"/>
      <c r="BD54" s="32"/>
      <c r="BE54" s="32"/>
      <c r="BF54" s="32"/>
      <c r="BG54" s="32"/>
      <c r="BH54" s="32"/>
      <c r="BI54" s="32"/>
      <c r="BJ54" s="32"/>
    </row>
    <row r="55" ht="15.75" customHeight="1">
      <c r="A55" s="32"/>
      <c r="B55" s="93" t="s">
        <v>115</v>
      </c>
      <c r="C55" s="94"/>
      <c r="D55" s="95">
        <v>65.9</v>
      </c>
      <c r="E55" s="71">
        <v>0.69</v>
      </c>
      <c r="F55" s="95">
        <v>16.7</v>
      </c>
      <c r="G55" s="71">
        <v>0.08</v>
      </c>
      <c r="H55" s="95">
        <v>41.0</v>
      </c>
      <c r="I55" s="71">
        <v>0.69</v>
      </c>
      <c r="J55" s="95">
        <v>2.54</v>
      </c>
      <c r="K55" s="71">
        <v>0.994903787</v>
      </c>
      <c r="L55" s="96">
        <v>34739.0</v>
      </c>
      <c r="M55" s="71">
        <v>0.0</v>
      </c>
      <c r="N55" s="94"/>
      <c r="O55" s="97">
        <v>0.149</v>
      </c>
      <c r="P55" s="71">
        <v>0.25</v>
      </c>
      <c r="Q55" s="97">
        <v>0.281</v>
      </c>
      <c r="R55" s="71">
        <v>0.7</v>
      </c>
      <c r="S55" s="97">
        <v>0.0512</v>
      </c>
      <c r="T55" s="71">
        <v>0.04</v>
      </c>
      <c r="U55" s="98">
        <v>0.326</v>
      </c>
      <c r="V55" s="71">
        <v>0.0</v>
      </c>
      <c r="W55" s="94"/>
      <c r="X55" s="95">
        <v>0.49</v>
      </c>
      <c r="Y55" s="71">
        <v>1.0</v>
      </c>
      <c r="Z55" s="96">
        <v>0.94</v>
      </c>
      <c r="AA55" s="71">
        <v>0.36</v>
      </c>
      <c r="AB55" s="94"/>
      <c r="AC55" s="95">
        <v>1.17</v>
      </c>
      <c r="AD55" s="71">
        <v>0.0</v>
      </c>
      <c r="AE55" s="95">
        <v>0.0</v>
      </c>
      <c r="AF55" s="71">
        <v>0.0</v>
      </c>
      <c r="AG55" s="96">
        <v>69.2</v>
      </c>
      <c r="AH55" s="71">
        <v>0.03</v>
      </c>
      <c r="AI55" s="94"/>
      <c r="AJ55" s="97">
        <v>0.083</v>
      </c>
      <c r="AK55" s="71">
        <v>0.0</v>
      </c>
      <c r="AL55" s="98">
        <v>0.0031</v>
      </c>
      <c r="AM55" s="71">
        <v>0.07</v>
      </c>
      <c r="AN55" s="94"/>
      <c r="AO55" s="73">
        <v>0.340791913</v>
      </c>
      <c r="AP55" s="32"/>
      <c r="AQ55" s="32"/>
      <c r="AR55" s="32"/>
      <c r="AS55" s="32"/>
      <c r="AT55" s="32"/>
      <c r="AU55" s="32"/>
      <c r="AV55" s="32"/>
      <c r="AW55" s="32"/>
      <c r="AX55" s="32"/>
      <c r="AY55" s="32"/>
      <c r="AZ55" s="32"/>
      <c r="BA55" s="32"/>
      <c r="BB55" s="32"/>
      <c r="BC55" s="32"/>
      <c r="BD55" s="32"/>
      <c r="BE55" s="32"/>
      <c r="BF55" s="32"/>
      <c r="BG55" s="32"/>
      <c r="BH55" s="32"/>
      <c r="BI55" s="32"/>
      <c r="BJ55" s="32"/>
    </row>
    <row r="56" ht="30.75" customHeight="1">
      <c r="A56" s="32"/>
      <c r="B56" s="32"/>
      <c r="C56" s="32"/>
      <c r="D56" s="32"/>
      <c r="E56" s="32"/>
      <c r="F56" s="32"/>
      <c r="G56" s="32"/>
      <c r="H56" s="32"/>
      <c r="I56" s="32"/>
      <c r="J56" s="32"/>
      <c r="K56" s="32"/>
      <c r="L56" s="32"/>
      <c r="M56" s="32"/>
      <c r="N56" s="32"/>
      <c r="O56" s="32"/>
      <c r="P56" s="32"/>
      <c r="Q56" s="32"/>
      <c r="R56" s="32"/>
      <c r="S56" s="32"/>
      <c r="T56" s="32"/>
      <c r="U56" s="32"/>
      <c r="V56" s="32"/>
      <c r="W56" s="32"/>
      <c r="X56" s="32"/>
      <c r="Y56" s="32"/>
      <c r="Z56" s="32"/>
      <c r="AA56" s="32"/>
      <c r="AB56" s="32"/>
      <c r="AC56" s="32"/>
      <c r="AD56" s="32"/>
      <c r="AE56" s="32"/>
      <c r="AF56" s="32"/>
      <c r="AG56" s="32"/>
      <c r="AH56" s="32"/>
      <c r="AI56" s="32"/>
      <c r="AJ56" s="32"/>
      <c r="AK56" s="32"/>
      <c r="AL56" s="32"/>
      <c r="AM56" s="32"/>
      <c r="AN56" s="32"/>
      <c r="AO56" s="32"/>
      <c r="AP56" s="32"/>
      <c r="AQ56" s="32"/>
      <c r="AR56" s="32"/>
      <c r="AS56" s="32"/>
      <c r="AT56" s="32"/>
      <c r="AU56" s="32"/>
      <c r="AV56" s="32"/>
      <c r="AW56" s="32"/>
      <c r="AX56" s="32"/>
      <c r="AY56" s="32"/>
      <c r="AZ56" s="32"/>
      <c r="BA56" s="32"/>
      <c r="BB56" s="32"/>
      <c r="BC56" s="32"/>
      <c r="BD56" s="32"/>
      <c r="BE56" s="32"/>
      <c r="BF56" s="32"/>
      <c r="BG56" s="32"/>
      <c r="BH56" s="32"/>
      <c r="BI56" s="32"/>
      <c r="BJ56" s="32"/>
    </row>
    <row r="57" ht="59.25" customHeight="1">
      <c r="A57" s="32"/>
      <c r="B57" s="99" t="s">
        <v>116</v>
      </c>
      <c r="C57" s="75" t="s">
        <v>117</v>
      </c>
      <c r="D57" s="14"/>
      <c r="E57" s="14"/>
      <c r="F57" s="14"/>
      <c r="G57" s="14"/>
      <c r="H57" s="14"/>
      <c r="I57" s="12"/>
      <c r="J57" s="39"/>
      <c r="K57" s="39"/>
      <c r="L57" s="39"/>
      <c r="M57" s="39"/>
      <c r="N57" s="39"/>
      <c r="O57" s="39"/>
      <c r="P57" s="39"/>
      <c r="Q57" s="39"/>
      <c r="R57" s="39"/>
      <c r="S57" s="39"/>
      <c r="T57" s="32"/>
      <c r="U57" s="39"/>
      <c r="V57" s="39"/>
      <c r="W57" s="39"/>
      <c r="X57" s="39"/>
      <c r="Y57" s="39"/>
      <c r="Z57" s="39"/>
      <c r="AA57" s="39"/>
      <c r="AB57" s="39"/>
      <c r="AC57" s="39"/>
      <c r="AD57" s="39"/>
      <c r="AE57" s="39"/>
      <c r="AF57" s="39"/>
      <c r="AG57" s="39"/>
      <c r="AH57" s="39"/>
      <c r="AI57" s="39"/>
      <c r="AJ57" s="39"/>
      <c r="AK57" s="39"/>
      <c r="AL57" s="39"/>
      <c r="AM57" s="39"/>
      <c r="AN57" s="39"/>
      <c r="AO57" s="32"/>
      <c r="AP57" s="32"/>
      <c r="AQ57" s="100"/>
      <c r="AR57" s="100"/>
      <c r="AS57" s="100"/>
      <c r="AT57" s="100"/>
      <c r="AU57" s="32"/>
      <c r="AV57" s="32"/>
      <c r="AW57" s="32"/>
      <c r="AX57" s="32"/>
      <c r="AY57" s="32"/>
      <c r="AZ57" s="32"/>
      <c r="BA57" s="32"/>
      <c r="BB57" s="32"/>
      <c r="BC57" s="32"/>
      <c r="BD57" s="32"/>
      <c r="BE57" s="32"/>
      <c r="BF57" s="32"/>
      <c r="BG57" s="32"/>
      <c r="BH57" s="32"/>
      <c r="BI57" s="32"/>
      <c r="BJ57" s="32"/>
    </row>
    <row r="58" ht="21.75" customHeight="1">
      <c r="A58" s="32"/>
      <c r="B58" s="39"/>
      <c r="C58" s="39"/>
      <c r="D58" s="39"/>
      <c r="E58" s="39"/>
      <c r="F58" s="39"/>
      <c r="G58" s="39"/>
      <c r="H58" s="39"/>
      <c r="I58" s="39"/>
      <c r="J58" s="39"/>
      <c r="K58" s="39"/>
      <c r="L58" s="39"/>
      <c r="M58" s="39"/>
      <c r="N58" s="39"/>
      <c r="O58" s="39"/>
      <c r="P58" s="39"/>
      <c r="Q58" s="39"/>
      <c r="R58" s="39"/>
      <c r="S58" s="39"/>
      <c r="T58" s="39"/>
      <c r="U58" s="39"/>
      <c r="V58" s="39"/>
      <c r="W58" s="39"/>
      <c r="X58" s="39"/>
      <c r="Y58" s="39"/>
      <c r="Z58" s="39"/>
      <c r="AA58" s="39"/>
      <c r="AB58" s="39"/>
      <c r="AC58" s="39"/>
      <c r="AD58" s="39"/>
      <c r="AE58" s="39"/>
      <c r="AF58" s="39"/>
      <c r="AG58" s="39"/>
      <c r="AH58" s="39"/>
      <c r="AI58" s="39"/>
      <c r="AJ58" s="39"/>
      <c r="AK58" s="39"/>
      <c r="AL58" s="39"/>
      <c r="AM58" s="39"/>
      <c r="AN58" s="39"/>
      <c r="AO58" s="32"/>
      <c r="AP58" s="32"/>
      <c r="AQ58" s="100"/>
      <c r="AR58" s="100"/>
      <c r="AS58" s="100"/>
      <c r="AT58" s="100"/>
      <c r="AU58" s="32"/>
      <c r="AV58" s="32"/>
      <c r="AW58" s="32"/>
      <c r="AX58" s="32"/>
      <c r="AY58" s="32"/>
      <c r="AZ58" s="32"/>
      <c r="BA58" s="32"/>
      <c r="BB58" s="32"/>
      <c r="BC58" s="32"/>
      <c r="BD58" s="32"/>
      <c r="BE58" s="32"/>
      <c r="BF58" s="32"/>
      <c r="BG58" s="32"/>
      <c r="BH58" s="32"/>
      <c r="BI58" s="32"/>
      <c r="BJ58" s="32"/>
    </row>
    <row r="59" ht="15.75" customHeight="1">
      <c r="A59" s="32"/>
      <c r="B59" s="101" t="s">
        <v>118</v>
      </c>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5"/>
      <c r="AQ59" s="100"/>
      <c r="AR59" s="100"/>
      <c r="AS59" s="100"/>
      <c r="AT59" s="100"/>
      <c r="AU59" s="32"/>
      <c r="AV59" s="32"/>
      <c r="AW59" s="32"/>
      <c r="AX59" s="32"/>
      <c r="AY59" s="32"/>
      <c r="AZ59" s="32"/>
      <c r="BA59" s="32"/>
      <c r="BB59" s="32"/>
      <c r="BC59" s="32"/>
      <c r="BD59" s="32"/>
      <c r="BE59" s="32"/>
      <c r="BF59" s="32"/>
      <c r="BG59" s="32"/>
      <c r="BH59" s="32"/>
      <c r="BI59" s="32"/>
      <c r="BJ59" s="32"/>
    </row>
    <row r="60" ht="15.75" customHeight="1">
      <c r="A60" s="32"/>
      <c r="B60" s="6"/>
      <c r="AP60" s="7"/>
      <c r="AQ60" s="100"/>
      <c r="AR60" s="100"/>
      <c r="AS60" s="100"/>
      <c r="AT60" s="100"/>
      <c r="AU60" s="32"/>
      <c r="AV60" s="32"/>
      <c r="AW60" s="32"/>
      <c r="AX60" s="32"/>
      <c r="AY60" s="32"/>
      <c r="AZ60" s="32"/>
      <c r="BA60" s="32"/>
      <c r="BB60" s="32"/>
      <c r="BC60" s="32"/>
      <c r="BD60" s="32"/>
      <c r="BE60" s="32"/>
      <c r="BF60" s="32"/>
      <c r="BG60" s="32"/>
      <c r="BH60" s="32"/>
      <c r="BI60" s="32"/>
      <c r="BJ60" s="32"/>
    </row>
    <row r="61" ht="15.75" customHeight="1">
      <c r="A61" s="32"/>
      <c r="B61" s="8"/>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10"/>
      <c r="AQ61" s="100"/>
      <c r="AR61" s="100"/>
      <c r="AS61" s="100"/>
      <c r="AT61" s="100"/>
      <c r="AU61" s="32"/>
      <c r="AV61" s="32"/>
      <c r="AW61" s="32"/>
      <c r="AX61" s="32"/>
      <c r="AY61" s="32"/>
      <c r="AZ61" s="32"/>
      <c r="BA61" s="32"/>
      <c r="BB61" s="32"/>
      <c r="BC61" s="32"/>
      <c r="BD61" s="32"/>
      <c r="BE61" s="32"/>
      <c r="BF61" s="32"/>
      <c r="BG61" s="32"/>
      <c r="BH61" s="32"/>
      <c r="BI61" s="32"/>
      <c r="BJ61" s="32"/>
    </row>
    <row r="62" ht="15.75" customHeight="1">
      <c r="A62" s="32"/>
      <c r="B62" s="40"/>
      <c r="C62" s="39"/>
      <c r="D62" s="39"/>
      <c r="E62" s="39"/>
      <c r="F62" s="39"/>
      <c r="G62" s="39"/>
      <c r="H62" s="39"/>
      <c r="I62" s="39"/>
      <c r="J62" s="39"/>
      <c r="K62" s="39"/>
      <c r="L62" s="39"/>
      <c r="M62" s="39"/>
      <c r="N62" s="39"/>
      <c r="O62" s="39"/>
      <c r="P62" s="39"/>
      <c r="Q62" s="39"/>
      <c r="R62" s="39"/>
      <c r="S62" s="39"/>
      <c r="T62" s="39"/>
      <c r="U62" s="39"/>
      <c r="V62" s="39"/>
      <c r="W62" s="39"/>
      <c r="X62" s="39"/>
      <c r="Y62" s="39"/>
      <c r="Z62" s="39"/>
      <c r="AA62" s="39"/>
      <c r="AB62" s="39"/>
      <c r="AC62" s="39"/>
      <c r="AD62" s="39"/>
      <c r="AE62" s="39"/>
      <c r="AF62" s="39"/>
      <c r="AG62" s="39"/>
      <c r="AH62" s="39"/>
      <c r="AI62" s="39"/>
      <c r="AJ62" s="39"/>
      <c r="AK62" s="39"/>
      <c r="AL62" s="39"/>
      <c r="AM62" s="39"/>
      <c r="AN62" s="39"/>
      <c r="AO62" s="39"/>
      <c r="AP62" s="102"/>
      <c r="AQ62" s="100"/>
      <c r="AR62" s="100"/>
      <c r="AS62" s="100"/>
      <c r="AT62" s="100"/>
      <c r="AU62" s="32"/>
      <c r="AV62" s="32"/>
      <c r="AW62" s="32"/>
      <c r="AX62" s="32"/>
      <c r="AY62" s="32"/>
      <c r="AZ62" s="32"/>
      <c r="BA62" s="32"/>
      <c r="BB62" s="32"/>
      <c r="BC62" s="32"/>
      <c r="BD62" s="32"/>
      <c r="BE62" s="32"/>
      <c r="BF62" s="32"/>
      <c r="BG62" s="32"/>
      <c r="BH62" s="32"/>
      <c r="BI62" s="32"/>
      <c r="BJ62" s="32"/>
    </row>
    <row r="63" ht="15.75" customHeight="1">
      <c r="A63" s="32"/>
      <c r="B63" s="40"/>
      <c r="C63" s="39"/>
      <c r="D63" s="103" t="s">
        <v>41</v>
      </c>
      <c r="E63" s="20"/>
      <c r="F63" s="20"/>
      <c r="G63" s="20"/>
      <c r="H63" s="20"/>
      <c r="I63" s="20"/>
      <c r="J63" s="20"/>
      <c r="K63" s="21"/>
      <c r="L63" s="39"/>
      <c r="M63" s="104" t="s">
        <v>119</v>
      </c>
      <c r="N63" s="14"/>
      <c r="O63" s="14"/>
      <c r="P63" s="14"/>
      <c r="Q63" s="14"/>
      <c r="R63" s="14"/>
      <c r="S63" s="14"/>
      <c r="T63" s="14"/>
      <c r="U63" s="14"/>
      <c r="V63" s="12"/>
      <c r="W63" s="39"/>
      <c r="X63" s="104" t="s">
        <v>44</v>
      </c>
      <c r="Y63" s="14"/>
      <c r="Z63" s="14"/>
      <c r="AA63" s="14"/>
      <c r="AB63" s="14"/>
      <c r="AC63" s="14"/>
      <c r="AD63" s="14"/>
      <c r="AE63" s="14"/>
      <c r="AF63" s="14"/>
      <c r="AG63" s="14"/>
      <c r="AH63" s="14"/>
      <c r="AI63" s="14"/>
      <c r="AJ63" s="14"/>
      <c r="AK63" s="12"/>
      <c r="AL63" s="39"/>
      <c r="AM63" s="104" t="s">
        <v>45</v>
      </c>
      <c r="AN63" s="12"/>
      <c r="AO63" s="39"/>
      <c r="AP63" s="105" t="s">
        <v>46</v>
      </c>
      <c r="AQ63" s="100"/>
      <c r="AR63" s="100"/>
      <c r="AS63" s="100"/>
      <c r="AT63" s="100"/>
      <c r="AU63" s="32"/>
      <c r="AV63" s="32"/>
      <c r="AW63" s="32"/>
      <c r="AX63" s="32"/>
      <c r="AY63" s="32"/>
      <c r="AZ63" s="32"/>
      <c r="BA63" s="32"/>
      <c r="BB63" s="32"/>
      <c r="BC63" s="32"/>
      <c r="BD63" s="32"/>
      <c r="BE63" s="32"/>
      <c r="BF63" s="32"/>
      <c r="BG63" s="32"/>
      <c r="BH63" s="32"/>
      <c r="BI63" s="32"/>
      <c r="BJ63" s="32"/>
    </row>
    <row r="64" ht="15.75" customHeight="1">
      <c r="A64" s="32"/>
      <c r="B64" s="45" t="s">
        <v>47</v>
      </c>
      <c r="C64" s="39"/>
      <c r="D64" s="46" t="s">
        <v>48</v>
      </c>
      <c r="E64" s="21"/>
      <c r="F64" s="46" t="s">
        <v>49</v>
      </c>
      <c r="G64" s="21"/>
      <c r="H64" s="46" t="s">
        <v>51</v>
      </c>
      <c r="I64" s="21"/>
      <c r="J64" s="46" t="s">
        <v>94</v>
      </c>
      <c r="K64" s="21"/>
      <c r="L64" s="39"/>
      <c r="M64" s="46" t="s">
        <v>54</v>
      </c>
      <c r="N64" s="21"/>
      <c r="O64" s="46" t="s">
        <v>55</v>
      </c>
      <c r="P64" s="21"/>
      <c r="Q64" s="46" t="s">
        <v>120</v>
      </c>
      <c r="R64" s="21"/>
      <c r="S64" s="46" t="s">
        <v>121</v>
      </c>
      <c r="T64" s="21"/>
      <c r="U64" s="46" t="s">
        <v>122</v>
      </c>
      <c r="V64" s="21"/>
      <c r="W64" s="39"/>
      <c r="X64" s="46" t="s">
        <v>60</v>
      </c>
      <c r="Y64" s="21"/>
      <c r="Z64" s="48" t="s">
        <v>123</v>
      </c>
      <c r="AB64" s="46" t="s">
        <v>124</v>
      </c>
      <c r="AC64" s="21"/>
      <c r="AD64" s="46" t="s">
        <v>125</v>
      </c>
      <c r="AE64" s="21"/>
      <c r="AF64" s="46" t="s">
        <v>126</v>
      </c>
      <c r="AG64" s="21"/>
      <c r="AH64" s="46" t="s">
        <v>127</v>
      </c>
      <c r="AI64" s="21"/>
      <c r="AJ64" s="46" t="s">
        <v>128</v>
      </c>
      <c r="AK64" s="21"/>
      <c r="AL64" s="39"/>
      <c r="AM64" s="106" t="s">
        <v>63</v>
      </c>
      <c r="AN64" s="24"/>
      <c r="AO64" s="32"/>
      <c r="AP64" s="83"/>
      <c r="AQ64" s="100"/>
      <c r="AR64" s="100"/>
      <c r="AS64" s="100"/>
      <c r="AT64" s="100"/>
      <c r="AU64" s="32"/>
      <c r="AV64" s="32"/>
      <c r="AW64" s="32"/>
      <c r="AX64" s="32"/>
      <c r="AY64" s="32"/>
      <c r="AZ64" s="32"/>
      <c r="BA64" s="32"/>
      <c r="BB64" s="32"/>
      <c r="BC64" s="32"/>
      <c r="BD64" s="32"/>
      <c r="BE64" s="32"/>
      <c r="BF64" s="32"/>
      <c r="BG64" s="32"/>
      <c r="BH64" s="32"/>
      <c r="BI64" s="32"/>
      <c r="BJ64" s="32"/>
    </row>
    <row r="65" ht="15.75" customHeight="1">
      <c r="A65" s="32"/>
      <c r="B65" s="45" t="s">
        <v>64</v>
      </c>
      <c r="C65" s="39"/>
      <c r="D65" s="107">
        <v>0.06</v>
      </c>
      <c r="E65" s="24"/>
      <c r="F65" s="107">
        <v>0.08</v>
      </c>
      <c r="G65" s="24"/>
      <c r="H65" s="107">
        <v>0.05</v>
      </c>
      <c r="I65" s="24"/>
      <c r="J65" s="107">
        <v>0.05</v>
      </c>
      <c r="K65" s="24"/>
      <c r="L65" s="39"/>
      <c r="M65" s="107">
        <v>0.1</v>
      </c>
      <c r="N65" s="24"/>
      <c r="O65" s="107">
        <v>0.07</v>
      </c>
      <c r="P65" s="24"/>
      <c r="Q65" s="107">
        <v>0.08</v>
      </c>
      <c r="R65" s="24"/>
      <c r="S65" s="107">
        <v>0.04</v>
      </c>
      <c r="T65" s="24"/>
      <c r="U65" s="107">
        <v>0.07</v>
      </c>
      <c r="V65" s="24"/>
      <c r="W65" s="39"/>
      <c r="X65" s="107">
        <v>0.05</v>
      </c>
      <c r="Y65" s="24"/>
      <c r="Z65" s="108">
        <v>0.05</v>
      </c>
      <c r="AB65" s="107">
        <v>0.05</v>
      </c>
      <c r="AC65" s="24"/>
      <c r="AD65" s="107">
        <v>0.05</v>
      </c>
      <c r="AE65" s="24"/>
      <c r="AF65" s="107">
        <v>0.08</v>
      </c>
      <c r="AG65" s="24"/>
      <c r="AH65" s="107">
        <v>0.05</v>
      </c>
      <c r="AI65" s="24"/>
      <c r="AJ65" s="107">
        <v>0.05</v>
      </c>
      <c r="AK65" s="24"/>
      <c r="AL65" s="39"/>
      <c r="AM65" s="107">
        <v>0.04</v>
      </c>
      <c r="AN65" s="24"/>
      <c r="AO65" s="32"/>
      <c r="AP65" s="22"/>
      <c r="AQ65" s="100"/>
      <c r="AR65" s="100"/>
      <c r="AS65" s="100"/>
      <c r="AT65" s="100"/>
      <c r="AU65" s="32"/>
      <c r="AV65" s="32"/>
      <c r="AW65" s="32"/>
      <c r="AX65" s="32"/>
      <c r="AY65" s="32"/>
      <c r="AZ65" s="32"/>
      <c r="BA65" s="32"/>
      <c r="BB65" s="32"/>
      <c r="BC65" s="32"/>
      <c r="BD65" s="32"/>
      <c r="BE65" s="32"/>
      <c r="BF65" s="32"/>
      <c r="BG65" s="32"/>
      <c r="BH65" s="32"/>
      <c r="BI65" s="32"/>
      <c r="BJ65" s="32"/>
    </row>
    <row r="66" ht="51.75" customHeight="1">
      <c r="A66" s="32"/>
      <c r="B66" s="79" t="s">
        <v>65</v>
      </c>
      <c r="C66" s="32"/>
      <c r="D66" s="86" t="s">
        <v>129</v>
      </c>
      <c r="E66" s="24"/>
      <c r="F66" s="86" t="s">
        <v>130</v>
      </c>
      <c r="G66" s="24"/>
      <c r="H66" s="86" t="s">
        <v>131</v>
      </c>
      <c r="I66" s="24"/>
      <c r="J66" s="86" t="s">
        <v>132</v>
      </c>
      <c r="K66" s="24"/>
      <c r="L66" s="39"/>
      <c r="M66" s="86" t="s">
        <v>133</v>
      </c>
      <c r="N66" s="24"/>
      <c r="O66" s="86" t="s">
        <v>134</v>
      </c>
      <c r="P66" s="24"/>
      <c r="Q66" s="86" t="s">
        <v>135</v>
      </c>
      <c r="R66" s="24"/>
      <c r="S66" s="86" t="s">
        <v>136</v>
      </c>
      <c r="T66" s="24"/>
      <c r="U66" s="86" t="s">
        <v>137</v>
      </c>
      <c r="V66" s="24"/>
      <c r="W66" s="32"/>
      <c r="X66" s="86" t="s">
        <v>138</v>
      </c>
      <c r="Y66" s="24"/>
      <c r="Z66" s="88" t="s">
        <v>139</v>
      </c>
      <c r="AB66" s="86" t="s">
        <v>140</v>
      </c>
      <c r="AC66" s="24"/>
      <c r="AD66" s="86" t="s">
        <v>141</v>
      </c>
      <c r="AE66" s="24"/>
      <c r="AF66" s="86" t="s">
        <v>142</v>
      </c>
      <c r="AG66" s="24"/>
      <c r="AH66" s="86" t="s">
        <v>143</v>
      </c>
      <c r="AI66" s="24"/>
      <c r="AJ66" s="86" t="s">
        <v>144</v>
      </c>
      <c r="AK66" s="24"/>
      <c r="AL66" s="32"/>
      <c r="AM66" s="86" t="s">
        <v>145</v>
      </c>
      <c r="AN66" s="24"/>
      <c r="AO66" s="32"/>
      <c r="AP66" s="22"/>
      <c r="AQ66" s="100"/>
      <c r="AR66" s="100"/>
      <c r="AS66" s="100"/>
      <c r="AT66" s="100"/>
      <c r="AU66" s="32"/>
      <c r="AV66" s="32"/>
      <c r="AW66" s="32"/>
      <c r="AX66" s="32"/>
      <c r="AY66" s="32"/>
      <c r="AZ66" s="32"/>
      <c r="BA66" s="32"/>
      <c r="BB66" s="32"/>
      <c r="BC66" s="32"/>
      <c r="BD66" s="32"/>
      <c r="BE66" s="32"/>
      <c r="BF66" s="32"/>
      <c r="BG66" s="32"/>
      <c r="BH66" s="32"/>
      <c r="BI66" s="32"/>
      <c r="BJ66" s="32"/>
    </row>
    <row r="67" ht="33.75" customHeight="1">
      <c r="A67" s="32"/>
      <c r="B67" s="56"/>
      <c r="C67" s="32"/>
      <c r="D67" s="57" t="s">
        <v>82</v>
      </c>
      <c r="E67" s="58" t="s">
        <v>83</v>
      </c>
      <c r="F67" s="57" t="s">
        <v>82</v>
      </c>
      <c r="G67" s="58" t="s">
        <v>83</v>
      </c>
      <c r="H67" s="57" t="s">
        <v>82</v>
      </c>
      <c r="I67" s="58" t="s">
        <v>83</v>
      </c>
      <c r="J67" s="57" t="s">
        <v>84</v>
      </c>
      <c r="K67" s="58" t="s">
        <v>83</v>
      </c>
      <c r="L67" s="39"/>
      <c r="M67" s="57" t="s">
        <v>84</v>
      </c>
      <c r="N67" s="58" t="s">
        <v>83</v>
      </c>
      <c r="O67" s="57" t="s">
        <v>84</v>
      </c>
      <c r="P67" s="58" t="s">
        <v>83</v>
      </c>
      <c r="Q67" s="57" t="s">
        <v>84</v>
      </c>
      <c r="R67" s="58" t="s">
        <v>83</v>
      </c>
      <c r="S67" s="57" t="s">
        <v>82</v>
      </c>
      <c r="T67" s="58" t="s">
        <v>83</v>
      </c>
      <c r="U67" s="57" t="s">
        <v>82</v>
      </c>
      <c r="V67" s="58" t="s">
        <v>83</v>
      </c>
      <c r="W67" s="32"/>
      <c r="X67" s="57" t="s">
        <v>82</v>
      </c>
      <c r="Y67" s="58" t="s">
        <v>83</v>
      </c>
      <c r="Z67" s="59" t="s">
        <v>84</v>
      </c>
      <c r="AA67" s="59" t="s">
        <v>83</v>
      </c>
      <c r="AB67" s="57" t="s">
        <v>84</v>
      </c>
      <c r="AC67" s="58" t="s">
        <v>83</v>
      </c>
      <c r="AD67" s="57" t="s">
        <v>84</v>
      </c>
      <c r="AE67" s="58" t="s">
        <v>83</v>
      </c>
      <c r="AF67" s="57" t="s">
        <v>82</v>
      </c>
      <c r="AG67" s="58" t="s">
        <v>83</v>
      </c>
      <c r="AH67" s="57" t="s">
        <v>84</v>
      </c>
      <c r="AI67" s="58" t="s">
        <v>83</v>
      </c>
      <c r="AJ67" s="57" t="s">
        <v>84</v>
      </c>
      <c r="AK67" s="58" t="s">
        <v>83</v>
      </c>
      <c r="AL67" s="32"/>
      <c r="AM67" s="57" t="s">
        <v>84</v>
      </c>
      <c r="AN67" s="58" t="s">
        <v>83</v>
      </c>
      <c r="AO67" s="32"/>
      <c r="AP67" s="22"/>
      <c r="AQ67" s="100"/>
      <c r="AR67" s="100"/>
      <c r="AS67" s="100"/>
      <c r="AT67" s="100"/>
      <c r="AU67" s="32"/>
      <c r="AV67" s="32"/>
      <c r="AW67" s="32"/>
      <c r="AX67" s="32"/>
      <c r="AY67" s="32"/>
      <c r="AZ67" s="32"/>
      <c r="BA67" s="32"/>
      <c r="BB67" s="32"/>
      <c r="BC67" s="32"/>
      <c r="BD67" s="32"/>
      <c r="BE67" s="32"/>
      <c r="BF67" s="32"/>
      <c r="BG67" s="100"/>
      <c r="BH67" s="100"/>
      <c r="BI67" s="100"/>
      <c r="BJ67" s="100"/>
    </row>
    <row r="68" ht="15.75" customHeight="1">
      <c r="A68" s="32"/>
      <c r="B68" s="45" t="s">
        <v>146</v>
      </c>
      <c r="C68" s="39"/>
      <c r="D68" s="61">
        <v>21.8</v>
      </c>
      <c r="E68" s="62">
        <v>0.23</v>
      </c>
      <c r="F68" s="61">
        <v>2.98</v>
      </c>
      <c r="G68" s="62">
        <v>0.14</v>
      </c>
      <c r="H68" s="61">
        <v>1.04</v>
      </c>
      <c r="I68" s="62">
        <v>0.0</v>
      </c>
      <c r="J68" s="61">
        <v>1545008.0</v>
      </c>
      <c r="K68" s="62">
        <v>1.0</v>
      </c>
      <c r="L68" s="32"/>
      <c r="M68" s="61">
        <v>14.5</v>
      </c>
      <c r="N68" s="109">
        <v>0.0</v>
      </c>
      <c r="O68" s="61">
        <v>0.0174</v>
      </c>
      <c r="P68" s="62">
        <v>0.63</v>
      </c>
      <c r="Q68" s="61">
        <v>3.13</v>
      </c>
      <c r="R68" s="62">
        <v>0.47</v>
      </c>
      <c r="S68" s="50">
        <v>0.2916</v>
      </c>
      <c r="T68" s="62">
        <v>1.0</v>
      </c>
      <c r="U68" s="61">
        <v>14170.0</v>
      </c>
      <c r="V68" s="62">
        <v>0.36</v>
      </c>
      <c r="W68" s="39"/>
      <c r="X68" s="61">
        <v>6.46</v>
      </c>
      <c r="Y68" s="62">
        <v>0.92</v>
      </c>
      <c r="Z68" s="51">
        <v>0.3818</v>
      </c>
      <c r="AA68" s="63">
        <v>0.07</v>
      </c>
      <c r="AB68" s="61">
        <v>0.144</v>
      </c>
      <c r="AC68" s="62">
        <v>1.0</v>
      </c>
      <c r="AD68" s="50">
        <v>0.965</v>
      </c>
      <c r="AE68" s="62">
        <v>1.0</v>
      </c>
      <c r="AF68" s="50">
        <v>0.0133</v>
      </c>
      <c r="AG68" s="62">
        <v>0.95</v>
      </c>
      <c r="AH68" s="50">
        <v>0.196</v>
      </c>
      <c r="AI68" s="62">
        <v>1.0</v>
      </c>
      <c r="AJ68" s="50">
        <v>1.1904</v>
      </c>
      <c r="AK68" s="62">
        <v>0.0</v>
      </c>
      <c r="AL68" s="39"/>
      <c r="AM68" s="50">
        <v>0.0109</v>
      </c>
      <c r="AN68" s="62">
        <v>0.3</v>
      </c>
      <c r="AO68" s="32"/>
      <c r="AP68" s="110">
        <f>E68*D65+G68*F65+I68*H65+K68*J65+N68*M65+P68*O65+R68*Q65+T68*S65+V68*U65+Y68*X65+AA68*Z65+AC68*AB65+AE68*AD65+AG68*AF65+AI68*AH65+AK68*AJ65+AN68*AM65</f>
        <v>0.5094</v>
      </c>
      <c r="AQ68" s="100"/>
      <c r="AR68" s="100"/>
      <c r="AS68" s="100"/>
      <c r="AT68" s="100"/>
      <c r="AU68" s="32"/>
      <c r="AV68" s="32"/>
      <c r="AW68" s="32"/>
      <c r="AX68" s="32"/>
      <c r="AY68" s="32"/>
      <c r="AZ68" s="32"/>
      <c r="BA68" s="32"/>
      <c r="BB68" s="32"/>
      <c r="BC68" s="32"/>
      <c r="BD68" s="32"/>
      <c r="BE68" s="32"/>
      <c r="BF68" s="32"/>
      <c r="BG68" s="100"/>
      <c r="BH68" s="100"/>
      <c r="BI68" s="100"/>
      <c r="BJ68" s="100"/>
    </row>
    <row r="69" ht="15.75" customHeight="1">
      <c r="A69" s="32"/>
      <c r="B69" s="40"/>
      <c r="C69" s="39"/>
      <c r="D69" s="40"/>
      <c r="E69" s="41"/>
      <c r="F69" s="40"/>
      <c r="G69" s="41"/>
      <c r="H69" s="40"/>
      <c r="I69" s="41"/>
      <c r="J69" s="40"/>
      <c r="K69" s="41"/>
      <c r="L69" s="39"/>
      <c r="M69" s="40"/>
      <c r="N69" s="41"/>
      <c r="O69" s="40"/>
      <c r="P69" s="41"/>
      <c r="Q69" s="40"/>
      <c r="R69" s="41"/>
      <c r="S69" s="40"/>
      <c r="T69" s="41"/>
      <c r="U69" s="40"/>
      <c r="V69" s="41"/>
      <c r="W69" s="39"/>
      <c r="X69" s="40"/>
      <c r="Y69" s="41"/>
      <c r="Z69" s="39"/>
      <c r="AA69" s="39"/>
      <c r="AB69" s="40"/>
      <c r="AC69" s="41"/>
      <c r="AD69" s="40"/>
      <c r="AE69" s="41"/>
      <c r="AF69" s="40"/>
      <c r="AG69" s="41"/>
      <c r="AH69" s="40"/>
      <c r="AI69" s="41"/>
      <c r="AJ69" s="40"/>
      <c r="AK69" s="41"/>
      <c r="AL69" s="39"/>
      <c r="AM69" s="40"/>
      <c r="AN69" s="41"/>
      <c r="AO69" s="32"/>
      <c r="AP69" s="83"/>
      <c r="AQ69" s="100"/>
      <c r="AR69" s="100"/>
      <c r="AS69" s="100"/>
      <c r="AT69" s="100"/>
      <c r="AU69" s="32"/>
      <c r="AV69" s="32"/>
      <c r="AW69" s="32"/>
      <c r="AX69" s="32"/>
      <c r="AY69" s="32"/>
      <c r="AZ69" s="32"/>
      <c r="BA69" s="32"/>
      <c r="BB69" s="32"/>
      <c r="BC69" s="32"/>
      <c r="BD69" s="32"/>
      <c r="BE69" s="32"/>
      <c r="BF69" s="32"/>
      <c r="BG69" s="100"/>
      <c r="BH69" s="100"/>
      <c r="BI69" s="100"/>
      <c r="BJ69" s="100"/>
    </row>
    <row r="70" ht="15.75" customHeight="1">
      <c r="A70" s="32"/>
      <c r="B70" s="45" t="s">
        <v>147</v>
      </c>
      <c r="C70" s="39"/>
      <c r="D70" s="61">
        <v>20.4</v>
      </c>
      <c r="E70" s="62">
        <v>0.29</v>
      </c>
      <c r="F70" s="61">
        <v>3.34</v>
      </c>
      <c r="G70" s="62">
        <v>0.0</v>
      </c>
      <c r="H70" s="61">
        <v>0.51</v>
      </c>
      <c r="I70" s="62">
        <v>0.55</v>
      </c>
      <c r="J70" s="61">
        <v>1043359.0</v>
      </c>
      <c r="K70" s="62">
        <v>0.65</v>
      </c>
      <c r="L70" s="32"/>
      <c r="M70" s="61">
        <v>18.0</v>
      </c>
      <c r="N70" s="109">
        <v>1.0</v>
      </c>
      <c r="O70" s="61">
        <v>0.0218</v>
      </c>
      <c r="P70" s="62">
        <v>1.0</v>
      </c>
      <c r="Q70" s="61">
        <v>3.83</v>
      </c>
      <c r="R70" s="62">
        <v>1.0</v>
      </c>
      <c r="S70" s="50">
        <v>0.3256</v>
      </c>
      <c r="T70" s="62">
        <v>0.85</v>
      </c>
      <c r="U70" s="61">
        <v>4910.0</v>
      </c>
      <c r="V70" s="62">
        <v>1.0</v>
      </c>
      <c r="W70" s="39"/>
      <c r="X70" s="61">
        <v>5.97</v>
      </c>
      <c r="Y70" s="62">
        <v>1.0</v>
      </c>
      <c r="Z70" s="51">
        <v>0.4217</v>
      </c>
      <c r="AA70" s="63">
        <v>0.84</v>
      </c>
      <c r="AB70" s="61">
        <v>0.083</v>
      </c>
      <c r="AC70" s="62">
        <v>0.14</v>
      </c>
      <c r="AD70" s="50">
        <v>0.7733</v>
      </c>
      <c r="AE70" s="62">
        <v>0.0</v>
      </c>
      <c r="AF70" s="50">
        <v>0.0167</v>
      </c>
      <c r="AG70" s="62">
        <v>0.6</v>
      </c>
      <c r="AH70" s="50">
        <v>0.1655</v>
      </c>
      <c r="AI70" s="62">
        <v>0.52</v>
      </c>
      <c r="AJ70" s="107">
        <v>1.23</v>
      </c>
      <c r="AK70" s="62">
        <v>0.21</v>
      </c>
      <c r="AL70" s="39"/>
      <c r="AM70" s="61" t="s">
        <v>148</v>
      </c>
      <c r="AN70" s="62">
        <v>0.18</v>
      </c>
      <c r="AO70" s="32"/>
      <c r="AP70" s="111">
        <f>E70*D65+G70*F65+I70*H65+K70*J65+N70*M65+P70*O65+R70*Q65+T70*S65+V70*U65+Y70*X65+AA70*Z65+AC70*AB65+AE70*AD65+AG70*AF65+AI70*AH65+AK70*AJ65+AN70*AM65</f>
        <v>0.6221</v>
      </c>
      <c r="AQ70" s="100"/>
      <c r="AR70" s="100"/>
      <c r="AS70" s="100"/>
      <c r="AT70" s="100"/>
      <c r="AU70" s="32"/>
      <c r="AV70" s="32"/>
      <c r="AW70" s="32"/>
      <c r="AX70" s="32"/>
      <c r="AY70" s="32"/>
      <c r="AZ70" s="32"/>
      <c r="BA70" s="32"/>
      <c r="BB70" s="32"/>
      <c r="BC70" s="32"/>
      <c r="BD70" s="32"/>
      <c r="BE70" s="32"/>
      <c r="BF70" s="32"/>
      <c r="BG70" s="100"/>
      <c r="BH70" s="100"/>
      <c r="BI70" s="100"/>
      <c r="BJ70" s="100"/>
    </row>
    <row r="71" ht="15.75" customHeight="1">
      <c r="A71" s="32"/>
      <c r="B71" s="56"/>
      <c r="C71" s="32"/>
      <c r="D71" s="56"/>
      <c r="E71" s="41"/>
      <c r="F71" s="40"/>
      <c r="G71" s="41"/>
      <c r="H71" s="56"/>
      <c r="I71" s="41"/>
      <c r="J71" s="40"/>
      <c r="K71" s="41"/>
      <c r="L71" s="32"/>
      <c r="M71" s="40"/>
      <c r="N71" s="41"/>
      <c r="O71" s="40"/>
      <c r="P71" s="41"/>
      <c r="Q71" s="40"/>
      <c r="R71" s="41"/>
      <c r="S71" s="40"/>
      <c r="T71" s="41"/>
      <c r="U71" s="40"/>
      <c r="V71" s="41"/>
      <c r="W71" s="39"/>
      <c r="X71" s="40"/>
      <c r="Y71" s="41"/>
      <c r="Z71" s="39"/>
      <c r="AA71" s="39"/>
      <c r="AB71" s="40"/>
      <c r="AC71" s="41"/>
      <c r="AD71" s="40"/>
      <c r="AE71" s="41"/>
      <c r="AF71" s="40"/>
      <c r="AG71" s="41"/>
      <c r="AH71" s="40"/>
      <c r="AI71" s="41"/>
      <c r="AJ71" s="40"/>
      <c r="AK71" s="41"/>
      <c r="AL71" s="39"/>
      <c r="AM71" s="40"/>
      <c r="AN71" s="41"/>
      <c r="AO71" s="32"/>
      <c r="AP71" s="83"/>
      <c r="AQ71" s="100"/>
      <c r="AR71" s="100"/>
      <c r="AS71" s="100"/>
      <c r="AT71" s="100"/>
      <c r="AU71" s="32"/>
      <c r="AV71" s="32"/>
      <c r="AW71" s="32"/>
      <c r="AX71" s="32"/>
      <c r="AY71" s="32"/>
      <c r="AZ71" s="32"/>
      <c r="BA71" s="32"/>
      <c r="BB71" s="32"/>
      <c r="BC71" s="32"/>
      <c r="BD71" s="32"/>
      <c r="BE71" s="32"/>
      <c r="BF71" s="32"/>
      <c r="BG71" s="100"/>
      <c r="BH71" s="100"/>
      <c r="BI71" s="100"/>
      <c r="BJ71" s="100"/>
    </row>
    <row r="72" ht="15.75" customHeight="1">
      <c r="A72" s="32"/>
      <c r="B72" s="79" t="s">
        <v>149</v>
      </c>
      <c r="C72" s="32"/>
      <c r="D72" s="89">
        <v>26.4</v>
      </c>
      <c r="E72" s="62">
        <v>0.0</v>
      </c>
      <c r="F72" s="89">
        <v>1.48</v>
      </c>
      <c r="G72" s="62">
        <v>0.75</v>
      </c>
      <c r="H72" s="89">
        <v>0.26</v>
      </c>
      <c r="I72" s="62">
        <v>0.8</v>
      </c>
      <c r="J72" s="89">
        <v>718789.0</v>
      </c>
      <c r="K72" s="62">
        <v>0.42</v>
      </c>
      <c r="L72" s="32"/>
      <c r="M72" s="61">
        <v>17.2</v>
      </c>
      <c r="N72" s="109">
        <v>0.77</v>
      </c>
      <c r="O72" s="61">
        <v>0.0115</v>
      </c>
      <c r="P72" s="62">
        <v>0.13</v>
      </c>
      <c r="Q72" s="61">
        <v>2.5</v>
      </c>
      <c r="R72" s="62">
        <v>0.0</v>
      </c>
      <c r="S72" s="50">
        <v>0.5163</v>
      </c>
      <c r="T72" s="62">
        <v>0.0</v>
      </c>
      <c r="U72" s="61">
        <v>19460.0</v>
      </c>
      <c r="V72" s="62">
        <v>0.0</v>
      </c>
      <c r="W72" s="39"/>
      <c r="X72" s="61">
        <v>12.4</v>
      </c>
      <c r="Y72" s="62">
        <v>0.0</v>
      </c>
      <c r="Z72" s="51">
        <v>0.3871</v>
      </c>
      <c r="AA72" s="63">
        <v>0.17</v>
      </c>
      <c r="AB72" s="61">
        <v>0.084</v>
      </c>
      <c r="AC72" s="62">
        <v>0.15</v>
      </c>
      <c r="AD72" s="50">
        <v>0.9134</v>
      </c>
      <c r="AE72" s="62">
        <v>0.73</v>
      </c>
      <c r="AF72" s="50">
        <v>0.0182</v>
      </c>
      <c r="AG72" s="62">
        <v>0.45</v>
      </c>
      <c r="AH72" s="50">
        <v>0.1719</v>
      </c>
      <c r="AI72" s="62">
        <v>0.62</v>
      </c>
      <c r="AJ72" s="50">
        <v>1.3226</v>
      </c>
      <c r="AK72" s="62">
        <v>0.7</v>
      </c>
      <c r="AL72" s="39"/>
      <c r="AM72" s="50">
        <v>0.0197</v>
      </c>
      <c r="AN72" s="62">
        <v>0.56</v>
      </c>
      <c r="AO72" s="32"/>
      <c r="AP72" s="112">
        <f>E72*D65+G72*F65+I72*H65+K72*J65+N72*M65+P72*O65+R72*Q65+T72*S65+V72*U65+Y72*X65+AA72*Z65+AC72*AB65+AE72*AD65+AG72*AF65+AI72*AH65+AK72*AJ65+AN72*AM65</f>
        <v>0.384</v>
      </c>
      <c r="AQ72" s="100"/>
      <c r="AR72" s="100"/>
      <c r="AS72" s="100"/>
      <c r="AT72" s="100"/>
      <c r="AU72" s="32"/>
      <c r="AV72" s="32"/>
      <c r="AW72" s="32"/>
      <c r="AX72" s="32"/>
      <c r="AY72" s="32"/>
      <c r="AZ72" s="32"/>
      <c r="BA72" s="32"/>
      <c r="BB72" s="32"/>
      <c r="BC72" s="32"/>
      <c r="BD72" s="32"/>
      <c r="BE72" s="32"/>
      <c r="BF72" s="32"/>
      <c r="BG72" s="100"/>
      <c r="BH72" s="100"/>
      <c r="BI72" s="100"/>
      <c r="BJ72" s="100"/>
    </row>
    <row r="73" ht="15.75" customHeight="1">
      <c r="A73" s="32"/>
      <c r="B73" s="56"/>
      <c r="C73" s="32"/>
      <c r="D73" s="56"/>
      <c r="E73" s="41"/>
      <c r="F73" s="56"/>
      <c r="G73" s="41"/>
      <c r="H73" s="56"/>
      <c r="I73" s="41"/>
      <c r="J73" s="56"/>
      <c r="K73" s="41"/>
      <c r="L73" s="32"/>
      <c r="M73" s="40"/>
      <c r="N73" s="41"/>
      <c r="O73" s="40"/>
      <c r="P73" s="41"/>
      <c r="Q73" s="40"/>
      <c r="R73" s="41"/>
      <c r="S73" s="40"/>
      <c r="T73" s="41"/>
      <c r="U73" s="40"/>
      <c r="V73" s="41"/>
      <c r="W73" s="39"/>
      <c r="X73" s="40"/>
      <c r="Y73" s="41"/>
      <c r="Z73" s="39"/>
      <c r="AA73" s="39"/>
      <c r="AB73" s="40"/>
      <c r="AC73" s="41"/>
      <c r="AD73" s="40"/>
      <c r="AE73" s="41"/>
      <c r="AF73" s="40"/>
      <c r="AG73" s="41"/>
      <c r="AH73" s="40"/>
      <c r="AI73" s="41"/>
      <c r="AJ73" s="40"/>
      <c r="AK73" s="41"/>
      <c r="AL73" s="39"/>
      <c r="AM73" s="40"/>
      <c r="AN73" s="41"/>
      <c r="AO73" s="32"/>
      <c r="AP73" s="83"/>
      <c r="AQ73" s="100"/>
      <c r="AR73" s="100"/>
      <c r="AS73" s="100"/>
      <c r="AT73" s="100"/>
      <c r="AU73" s="32"/>
      <c r="AV73" s="32"/>
      <c r="AW73" s="32"/>
      <c r="AX73" s="32"/>
      <c r="AY73" s="32"/>
      <c r="AZ73" s="32"/>
      <c r="BA73" s="32"/>
      <c r="BB73" s="32"/>
      <c r="BC73" s="32"/>
      <c r="BD73" s="32"/>
      <c r="BE73" s="32"/>
      <c r="BF73" s="32"/>
      <c r="BG73" s="100"/>
      <c r="BH73" s="100"/>
      <c r="BI73" s="100"/>
      <c r="BJ73" s="100"/>
    </row>
    <row r="74" ht="15.75" customHeight="1">
      <c r="A74" s="32"/>
      <c r="B74" s="79" t="s">
        <v>150</v>
      </c>
      <c r="C74" s="32"/>
      <c r="D74" s="89">
        <v>13.5</v>
      </c>
      <c r="E74" s="62">
        <v>0.63</v>
      </c>
      <c r="F74" s="89">
        <v>2.04</v>
      </c>
      <c r="G74" s="62">
        <v>0.52</v>
      </c>
      <c r="H74" s="89">
        <v>0.19</v>
      </c>
      <c r="I74" s="62">
        <v>0.88</v>
      </c>
      <c r="J74" s="89">
        <v>379913.0</v>
      </c>
      <c r="K74" s="62">
        <v>0.18</v>
      </c>
      <c r="L74" s="32"/>
      <c r="M74" s="61">
        <v>16.4</v>
      </c>
      <c r="N74" s="109">
        <v>0.54</v>
      </c>
      <c r="O74" s="61">
        <v>0.0178</v>
      </c>
      <c r="P74" s="62">
        <v>0.66</v>
      </c>
      <c r="Q74" s="61">
        <v>3.37</v>
      </c>
      <c r="R74" s="62">
        <v>0.65</v>
      </c>
      <c r="S74" s="50">
        <v>0.3598</v>
      </c>
      <c r="T74" s="62">
        <v>0.7</v>
      </c>
      <c r="U74" s="61">
        <v>8170.0</v>
      </c>
      <c r="V74" s="62">
        <v>0.78</v>
      </c>
      <c r="W74" s="39"/>
      <c r="X74" s="61">
        <v>7.48</v>
      </c>
      <c r="Y74" s="62">
        <v>0.77</v>
      </c>
      <c r="Z74" s="51">
        <v>0.4298</v>
      </c>
      <c r="AA74" s="63">
        <v>1.0</v>
      </c>
      <c r="AB74" s="61">
        <v>0.133</v>
      </c>
      <c r="AC74" s="62">
        <v>0.85</v>
      </c>
      <c r="AD74" s="50">
        <v>0.887</v>
      </c>
      <c r="AE74" s="62">
        <v>0.59</v>
      </c>
      <c r="AF74" s="50">
        <v>0.0128</v>
      </c>
      <c r="AG74" s="62">
        <v>1.0</v>
      </c>
      <c r="AH74" s="50">
        <v>0.133</v>
      </c>
      <c r="AI74" s="62">
        <v>0.0</v>
      </c>
      <c r="AJ74" s="107">
        <v>1.2</v>
      </c>
      <c r="AK74" s="62">
        <v>0.05</v>
      </c>
      <c r="AL74" s="39"/>
      <c r="AM74" s="50">
        <v>8.0E-4</v>
      </c>
      <c r="AN74" s="62">
        <v>0.0</v>
      </c>
      <c r="AO74" s="32"/>
      <c r="AP74" s="112">
        <f>E74*D65+G74*F65+I74*H65+K74*J65+N74*M65+P74*O65+R74*Q65+T74*S65+V74*U65+Y74*X65+AA74*Z65+AC74*AB65+AE74*AD65+AG74*AF65+AI74*AH65+AK74*AJ65+AN74*AM65</f>
        <v>0.6102</v>
      </c>
      <c r="AQ74" s="100"/>
      <c r="AR74" s="100"/>
      <c r="AS74" s="100"/>
      <c r="AT74" s="100"/>
      <c r="AU74" s="32"/>
      <c r="AV74" s="32"/>
      <c r="AW74" s="32"/>
      <c r="AX74" s="32"/>
      <c r="AY74" s="32"/>
      <c r="AZ74" s="32"/>
      <c r="BA74" s="32"/>
      <c r="BB74" s="32"/>
      <c r="BC74" s="32"/>
      <c r="BD74" s="32"/>
      <c r="BE74" s="32"/>
      <c r="BF74" s="32"/>
      <c r="BG74" s="100"/>
      <c r="BH74" s="100"/>
      <c r="BI74" s="100"/>
      <c r="BJ74" s="100"/>
    </row>
    <row r="75" ht="15.75" customHeight="1">
      <c r="A75" s="32"/>
      <c r="B75" s="56"/>
      <c r="C75" s="32"/>
      <c r="D75" s="56"/>
      <c r="E75" s="41"/>
      <c r="F75" s="56"/>
      <c r="G75" s="41"/>
      <c r="H75" s="56"/>
      <c r="I75" s="41"/>
      <c r="J75" s="56"/>
      <c r="K75" s="41"/>
      <c r="L75" s="32"/>
      <c r="M75" s="40"/>
      <c r="N75" s="41"/>
      <c r="O75" s="40"/>
      <c r="P75" s="41"/>
      <c r="Q75" s="40"/>
      <c r="R75" s="41"/>
      <c r="S75" s="40"/>
      <c r="T75" s="41"/>
      <c r="U75" s="40"/>
      <c r="V75" s="41"/>
      <c r="W75" s="39"/>
      <c r="X75" s="40"/>
      <c r="Y75" s="41"/>
      <c r="Z75" s="39"/>
      <c r="AA75" s="39"/>
      <c r="AB75" s="40"/>
      <c r="AC75" s="41"/>
      <c r="AD75" s="40"/>
      <c r="AE75" s="41"/>
      <c r="AF75" s="40"/>
      <c r="AG75" s="41"/>
      <c r="AH75" s="40"/>
      <c r="AI75" s="41"/>
      <c r="AJ75" s="40"/>
      <c r="AK75" s="41"/>
      <c r="AL75" s="39"/>
      <c r="AM75" s="40"/>
      <c r="AN75" s="41"/>
      <c r="AO75" s="32"/>
      <c r="AP75" s="83"/>
      <c r="AQ75" s="100"/>
      <c r="AR75" s="100"/>
      <c r="AS75" s="100"/>
      <c r="AT75" s="100"/>
      <c r="AU75" s="32"/>
      <c r="AV75" s="32"/>
      <c r="AW75" s="32"/>
      <c r="AX75" s="32"/>
      <c r="AY75" s="32"/>
      <c r="AZ75" s="32"/>
      <c r="BA75" s="32"/>
      <c r="BB75" s="32"/>
      <c r="BC75" s="32"/>
      <c r="BD75" s="32"/>
      <c r="BE75" s="32"/>
      <c r="BF75" s="32"/>
      <c r="BG75" s="100"/>
      <c r="BH75" s="100"/>
      <c r="BI75" s="100"/>
      <c r="BJ75" s="100"/>
    </row>
    <row r="76" ht="15.75" customHeight="1">
      <c r="A76" s="32"/>
      <c r="B76" s="93" t="s">
        <v>151</v>
      </c>
      <c r="C76" s="94"/>
      <c r="D76" s="95">
        <v>6.04</v>
      </c>
      <c r="E76" s="71">
        <v>1.0</v>
      </c>
      <c r="F76" s="95">
        <v>0.85</v>
      </c>
      <c r="G76" s="71">
        <v>1.0</v>
      </c>
      <c r="H76" s="95">
        <v>0.07</v>
      </c>
      <c r="I76" s="71">
        <v>1.0</v>
      </c>
      <c r="J76" s="95">
        <v>124800.0</v>
      </c>
      <c r="K76" s="71">
        <v>0.0</v>
      </c>
      <c r="L76" s="94"/>
      <c r="M76" s="70">
        <v>15.5</v>
      </c>
      <c r="N76" s="113">
        <v>0.29</v>
      </c>
      <c r="O76" s="70">
        <v>0.01</v>
      </c>
      <c r="P76" s="71">
        <v>0.0</v>
      </c>
      <c r="Q76" s="70">
        <v>2.56</v>
      </c>
      <c r="R76" s="71">
        <v>0.05</v>
      </c>
      <c r="S76" s="114">
        <v>0.4794</v>
      </c>
      <c r="T76" s="71">
        <v>0.16</v>
      </c>
      <c r="U76" s="70">
        <v>10280.0</v>
      </c>
      <c r="V76" s="71">
        <v>0.63</v>
      </c>
      <c r="W76" s="69"/>
      <c r="X76" s="70">
        <v>11.1</v>
      </c>
      <c r="Y76" s="71">
        <v>0.2</v>
      </c>
      <c r="Z76" s="115">
        <v>0.3781</v>
      </c>
      <c r="AA76" s="72">
        <v>0.0</v>
      </c>
      <c r="AB76" s="70">
        <v>0.073</v>
      </c>
      <c r="AC76" s="71">
        <v>0.0</v>
      </c>
      <c r="AD76" s="116">
        <v>0.82</v>
      </c>
      <c r="AE76" s="71">
        <v>0.24</v>
      </c>
      <c r="AF76" s="114">
        <v>0.0226</v>
      </c>
      <c r="AG76" s="71">
        <v>0.0</v>
      </c>
      <c r="AH76" s="114">
        <v>0.1596</v>
      </c>
      <c r="AI76" s="71">
        <v>0.42</v>
      </c>
      <c r="AJ76" s="116">
        <v>1.38</v>
      </c>
      <c r="AK76" s="71">
        <v>1.0</v>
      </c>
      <c r="AL76" s="69"/>
      <c r="AM76" s="114">
        <v>0.0346</v>
      </c>
      <c r="AN76" s="71">
        <v>1.0</v>
      </c>
      <c r="AO76" s="94"/>
      <c r="AP76" s="117">
        <f>E76*D65+G76*F65+I76*H65+K76*J65+N76*M65+P76*O65+R76*Q65+T76*S65+V76*U65+Y76*X65+AA76*Z65+AC76*AB65+AE76*AD65+AG76*AF65+AI76*AH65+AK76*AJ65+AN76*AM65</f>
        <v>0.4065</v>
      </c>
      <c r="AQ76" s="100"/>
      <c r="AR76" s="100"/>
      <c r="AS76" s="100"/>
      <c r="AT76" s="100"/>
      <c r="AU76" s="32"/>
      <c r="AV76" s="32"/>
      <c r="AW76" s="32"/>
      <c r="AX76" s="32"/>
      <c r="AY76" s="32"/>
      <c r="AZ76" s="32"/>
      <c r="BA76" s="32"/>
      <c r="BB76" s="32"/>
      <c r="BC76" s="32"/>
      <c r="BD76" s="32"/>
      <c r="BE76" s="32"/>
      <c r="BF76" s="32"/>
      <c r="BG76" s="100"/>
      <c r="BH76" s="100"/>
      <c r="BI76" s="100"/>
      <c r="BJ76" s="100"/>
    </row>
    <row r="77" ht="15.75" customHeight="1">
      <c r="A77" s="32"/>
      <c r="B77" s="32"/>
      <c r="C77" s="32"/>
      <c r="D77" s="32"/>
      <c r="E77" s="32"/>
      <c r="F77" s="32"/>
      <c r="G77" s="32"/>
      <c r="H77" s="32"/>
      <c r="I77" s="32"/>
      <c r="J77" s="32"/>
      <c r="K77" s="32"/>
      <c r="L77" s="32"/>
      <c r="M77" s="39"/>
      <c r="N77" s="39"/>
      <c r="O77" s="39"/>
      <c r="P77" s="39"/>
      <c r="Q77" s="39"/>
      <c r="R77" s="39"/>
      <c r="S77" s="39"/>
      <c r="T77" s="39"/>
      <c r="U77" s="39"/>
      <c r="V77" s="39"/>
      <c r="W77" s="39"/>
      <c r="X77" s="39"/>
      <c r="Y77" s="39"/>
      <c r="Z77" s="39"/>
      <c r="AA77" s="39"/>
      <c r="AB77" s="39"/>
      <c r="AC77" s="39"/>
      <c r="AD77" s="39"/>
      <c r="AE77" s="39"/>
      <c r="AF77" s="39"/>
      <c r="AG77" s="39"/>
      <c r="AH77" s="39"/>
      <c r="AI77" s="39"/>
      <c r="AJ77" s="39"/>
      <c r="AK77" s="39"/>
      <c r="AL77" s="39"/>
      <c r="AM77" s="39"/>
      <c r="AN77" s="39"/>
      <c r="AO77" s="32"/>
      <c r="AP77" s="32"/>
      <c r="AQ77" s="100"/>
      <c r="AR77" s="100"/>
      <c r="AS77" s="100"/>
      <c r="AT77" s="100"/>
      <c r="AU77" s="32"/>
      <c r="AV77" s="32"/>
      <c r="AW77" s="32"/>
      <c r="AX77" s="32"/>
      <c r="AY77" s="32"/>
      <c r="AZ77" s="32"/>
      <c r="BA77" s="32"/>
      <c r="BB77" s="32"/>
      <c r="BC77" s="32"/>
      <c r="BD77" s="32"/>
      <c r="BE77" s="32"/>
      <c r="BF77" s="32"/>
      <c r="BG77" s="100"/>
      <c r="BH77" s="100"/>
      <c r="BI77" s="100"/>
      <c r="BJ77" s="100"/>
    </row>
    <row r="78" ht="15.75" customHeight="1">
      <c r="A78" s="32"/>
      <c r="B78" s="118" t="s">
        <v>152</v>
      </c>
      <c r="C78" s="35" t="s">
        <v>153</v>
      </c>
      <c r="D78" s="14"/>
      <c r="E78" s="14"/>
      <c r="F78" s="14"/>
      <c r="G78" s="14"/>
      <c r="H78" s="14"/>
      <c r="I78" s="12"/>
      <c r="J78" s="32"/>
      <c r="K78" s="32"/>
      <c r="L78" s="32"/>
      <c r="M78" s="39"/>
      <c r="N78" s="39"/>
      <c r="O78" s="39"/>
      <c r="P78" s="39"/>
      <c r="Q78" s="39"/>
      <c r="R78" s="39"/>
      <c r="S78" s="39"/>
      <c r="T78" s="39"/>
      <c r="U78" s="39"/>
      <c r="V78" s="39"/>
      <c r="W78" s="39"/>
      <c r="X78" s="39"/>
      <c r="Y78" s="39"/>
      <c r="Z78" s="39"/>
      <c r="AA78" s="39"/>
      <c r="AB78" s="39"/>
      <c r="AC78" s="39"/>
      <c r="AD78" s="39"/>
      <c r="AE78" s="39"/>
      <c r="AF78" s="39"/>
      <c r="AG78" s="39"/>
      <c r="AH78" s="39"/>
      <c r="AI78" s="39"/>
      <c r="AJ78" s="39"/>
      <c r="AK78" s="39"/>
      <c r="AL78" s="39"/>
      <c r="AM78" s="39"/>
      <c r="AN78" s="39"/>
      <c r="AO78" s="32"/>
      <c r="AP78" s="32"/>
      <c r="AQ78" s="32"/>
      <c r="AR78" s="32"/>
      <c r="AS78" s="32"/>
      <c r="AT78" s="32"/>
      <c r="AU78" s="32"/>
      <c r="AV78" s="32"/>
      <c r="AW78" s="32"/>
      <c r="AX78" s="32"/>
      <c r="AY78" s="32"/>
      <c r="AZ78" s="32"/>
      <c r="BA78" s="32"/>
      <c r="BB78" s="32"/>
      <c r="BC78" s="32"/>
      <c r="BD78" s="32"/>
      <c r="BE78" s="32"/>
      <c r="BF78" s="32"/>
      <c r="BG78" s="100"/>
      <c r="BH78" s="100"/>
      <c r="BI78" s="100"/>
      <c r="BJ78" s="100"/>
    </row>
    <row r="79" ht="22.5" customHeight="1">
      <c r="A79" s="32"/>
      <c r="B79" s="32"/>
      <c r="C79" s="32"/>
      <c r="D79" s="32"/>
      <c r="E79" s="32"/>
      <c r="F79" s="32"/>
      <c r="G79" s="32"/>
      <c r="H79" s="32"/>
      <c r="I79" s="32"/>
      <c r="J79" s="32"/>
      <c r="K79" s="32"/>
      <c r="L79" s="32"/>
      <c r="M79" s="39"/>
      <c r="N79" s="39"/>
      <c r="O79" s="39"/>
      <c r="P79" s="39"/>
      <c r="Q79" s="39"/>
      <c r="R79" s="39"/>
      <c r="S79" s="39"/>
      <c r="T79" s="39"/>
      <c r="U79" s="39"/>
      <c r="V79" s="39"/>
      <c r="W79" s="39"/>
      <c r="X79" s="39"/>
      <c r="Y79" s="39"/>
      <c r="Z79" s="39"/>
      <c r="AA79" s="39"/>
      <c r="AB79" s="39"/>
      <c r="AC79" s="39"/>
      <c r="AD79" s="39"/>
      <c r="AE79" s="39"/>
      <c r="AF79" s="39"/>
      <c r="AG79" s="39"/>
      <c r="AH79" s="39"/>
      <c r="AI79" s="39"/>
      <c r="AJ79" s="39"/>
      <c r="AK79" s="39"/>
      <c r="AL79" s="39"/>
      <c r="AM79" s="39"/>
      <c r="AN79" s="39"/>
      <c r="AO79" s="32"/>
      <c r="AP79" s="32"/>
      <c r="AQ79" s="32"/>
      <c r="AR79" s="32"/>
      <c r="AS79" s="32"/>
      <c r="AT79" s="32"/>
      <c r="AU79" s="32"/>
      <c r="AV79" s="32"/>
      <c r="AW79" s="32"/>
      <c r="AX79" s="32"/>
      <c r="AY79" s="32"/>
      <c r="AZ79" s="32"/>
      <c r="BA79" s="32"/>
      <c r="BB79" s="32"/>
      <c r="BC79" s="32"/>
      <c r="BD79" s="32"/>
      <c r="BE79" s="32"/>
      <c r="BF79" s="32"/>
      <c r="BG79" s="100"/>
      <c r="BH79" s="100"/>
      <c r="BI79" s="100"/>
      <c r="BJ79" s="100"/>
    </row>
    <row r="80" ht="15.75" customHeight="1">
      <c r="A80" s="32"/>
      <c r="B80" s="119" t="s">
        <v>154</v>
      </c>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5"/>
      <c r="AP80" s="32"/>
      <c r="AQ80" s="32"/>
      <c r="AR80" s="32"/>
      <c r="AS80" s="32"/>
      <c r="AT80" s="32"/>
      <c r="AU80" s="32"/>
      <c r="AV80" s="32"/>
      <c r="AW80" s="32"/>
      <c r="AX80" s="32"/>
      <c r="AY80" s="32"/>
      <c r="AZ80" s="32"/>
      <c r="BA80" s="32"/>
      <c r="BB80" s="32"/>
      <c r="BC80" s="32"/>
      <c r="BD80" s="32"/>
      <c r="BE80" s="32"/>
      <c r="BF80" s="32"/>
      <c r="BG80" s="100"/>
      <c r="BH80" s="100"/>
      <c r="BI80" s="100"/>
      <c r="BJ80" s="100"/>
    </row>
    <row r="81" ht="15.75" customHeight="1">
      <c r="A81" s="32"/>
      <c r="B81" s="6"/>
      <c r="AO81" s="7"/>
      <c r="AP81" s="32"/>
      <c r="AQ81" s="32"/>
      <c r="AR81" s="32"/>
      <c r="AS81" s="32"/>
      <c r="AT81" s="32"/>
      <c r="AU81" s="32"/>
      <c r="AV81" s="32"/>
      <c r="AW81" s="32"/>
      <c r="AX81" s="32"/>
      <c r="AY81" s="32"/>
      <c r="AZ81" s="32"/>
      <c r="BA81" s="32"/>
      <c r="BB81" s="32"/>
      <c r="BC81" s="32"/>
      <c r="BD81" s="32"/>
      <c r="BE81" s="32"/>
      <c r="BF81" s="32"/>
      <c r="BG81" s="100"/>
      <c r="BH81" s="100"/>
      <c r="BI81" s="100"/>
      <c r="BJ81" s="100"/>
    </row>
    <row r="82" ht="15.75" customHeight="1">
      <c r="A82" s="32"/>
      <c r="B82" s="8"/>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10"/>
      <c r="AP82" s="32"/>
      <c r="AQ82" s="32"/>
      <c r="AR82" s="32"/>
      <c r="AS82" s="32"/>
      <c r="AT82" s="32"/>
      <c r="AU82" s="32"/>
      <c r="AV82" s="32"/>
      <c r="AW82" s="32"/>
      <c r="AX82" s="32"/>
      <c r="AY82" s="32"/>
      <c r="AZ82" s="32"/>
      <c r="BA82" s="32"/>
      <c r="BB82" s="32"/>
      <c r="BC82" s="32"/>
      <c r="BD82" s="32"/>
      <c r="BE82" s="32"/>
      <c r="BF82" s="32"/>
      <c r="BG82" s="100"/>
      <c r="BH82" s="100"/>
      <c r="BI82" s="100"/>
      <c r="BJ82" s="100"/>
    </row>
    <row r="83" ht="15.75" customHeight="1">
      <c r="A83" s="32"/>
      <c r="B83" s="56"/>
      <c r="C83" s="32"/>
      <c r="D83" s="32"/>
      <c r="E83" s="32"/>
      <c r="F83" s="32"/>
      <c r="G83" s="32"/>
      <c r="H83" s="32"/>
      <c r="I83" s="32"/>
      <c r="J83" s="32"/>
      <c r="K83" s="32"/>
      <c r="L83" s="32"/>
      <c r="M83" s="32"/>
      <c r="N83" s="32"/>
      <c r="O83" s="32"/>
      <c r="P83" s="32"/>
      <c r="Q83" s="32"/>
      <c r="R83" s="32"/>
      <c r="S83" s="32"/>
      <c r="T83" s="32"/>
      <c r="U83" s="32"/>
      <c r="V83" s="32"/>
      <c r="W83" s="32"/>
      <c r="X83" s="32"/>
      <c r="Y83" s="32"/>
      <c r="Z83" s="32"/>
      <c r="AA83" s="32"/>
      <c r="AB83" s="32"/>
      <c r="AC83" s="32"/>
      <c r="AD83" s="32"/>
      <c r="AE83" s="32"/>
      <c r="AF83" s="32"/>
      <c r="AG83" s="32"/>
      <c r="AH83" s="32"/>
      <c r="AI83" s="32"/>
      <c r="AJ83" s="32"/>
      <c r="AK83" s="32"/>
      <c r="AL83" s="32"/>
      <c r="AM83" s="32"/>
      <c r="AN83" s="32"/>
      <c r="AO83" s="102"/>
      <c r="AP83" s="32"/>
      <c r="AQ83" s="32"/>
      <c r="AR83" s="32"/>
      <c r="AS83" s="32"/>
      <c r="AT83" s="32"/>
      <c r="AU83" s="32"/>
      <c r="AV83" s="32"/>
      <c r="AW83" s="32"/>
      <c r="AX83" s="32"/>
      <c r="AY83" s="32"/>
      <c r="AZ83" s="32"/>
      <c r="BA83" s="32"/>
      <c r="BB83" s="32"/>
      <c r="BC83" s="32"/>
      <c r="BD83" s="32"/>
      <c r="BE83" s="32"/>
      <c r="BF83" s="32"/>
      <c r="BG83" s="100"/>
      <c r="BH83" s="100"/>
      <c r="BI83" s="100"/>
      <c r="BJ83" s="100"/>
    </row>
    <row r="84" ht="15.75" customHeight="1">
      <c r="A84" s="32"/>
      <c r="B84" s="56"/>
      <c r="C84" s="32"/>
      <c r="D84" s="120" t="s">
        <v>41</v>
      </c>
      <c r="E84" s="20"/>
      <c r="F84" s="20"/>
      <c r="G84" s="20"/>
      <c r="H84" s="20"/>
      <c r="I84" s="20"/>
      <c r="J84" s="20"/>
      <c r="K84" s="20"/>
      <c r="L84" s="20"/>
      <c r="M84" s="21"/>
      <c r="N84" s="32"/>
      <c r="O84" s="121" t="s">
        <v>119</v>
      </c>
      <c r="P84" s="14"/>
      <c r="Q84" s="14"/>
      <c r="R84" s="14"/>
      <c r="S84" s="14"/>
      <c r="T84" s="14"/>
      <c r="U84" s="14"/>
      <c r="V84" s="12"/>
      <c r="W84" s="32"/>
      <c r="X84" s="120" t="s">
        <v>43</v>
      </c>
      <c r="Y84" s="20"/>
      <c r="Z84" s="20"/>
      <c r="AA84" s="21"/>
      <c r="AB84" s="32"/>
      <c r="AC84" s="120" t="s">
        <v>44</v>
      </c>
      <c r="AD84" s="20"/>
      <c r="AE84" s="20"/>
      <c r="AF84" s="20"/>
      <c r="AG84" s="20"/>
      <c r="AH84" s="21"/>
      <c r="AI84" s="32"/>
      <c r="AJ84" s="120" t="s">
        <v>45</v>
      </c>
      <c r="AK84" s="20"/>
      <c r="AL84" s="20"/>
      <c r="AM84" s="21"/>
      <c r="AN84" s="32"/>
      <c r="AO84" s="122" t="s">
        <v>46</v>
      </c>
      <c r="AP84" s="32"/>
      <c r="AQ84" s="32"/>
      <c r="AR84" s="32"/>
      <c r="AS84" s="32"/>
      <c r="AT84" s="32"/>
      <c r="AU84" s="32"/>
      <c r="AV84" s="32"/>
      <c r="AW84" s="32"/>
      <c r="AX84" s="32"/>
      <c r="AY84" s="32"/>
      <c r="AZ84" s="32"/>
      <c r="BA84" s="32"/>
      <c r="BB84" s="32"/>
      <c r="BC84" s="32"/>
      <c r="BD84" s="32"/>
      <c r="BE84" s="32"/>
      <c r="BF84" s="32"/>
      <c r="BG84" s="100"/>
      <c r="BH84" s="100"/>
      <c r="BI84" s="100"/>
      <c r="BJ84" s="100"/>
    </row>
    <row r="85" ht="15.75" customHeight="1">
      <c r="A85" s="32"/>
      <c r="B85" s="79" t="s">
        <v>47</v>
      </c>
      <c r="C85" s="32"/>
      <c r="D85" s="80" t="s">
        <v>48</v>
      </c>
      <c r="E85" s="21"/>
      <c r="F85" s="80" t="s">
        <v>49</v>
      </c>
      <c r="G85" s="21"/>
      <c r="H85" s="80" t="s">
        <v>50</v>
      </c>
      <c r="I85" s="21"/>
      <c r="J85" s="80" t="s">
        <v>51</v>
      </c>
      <c r="K85" s="21"/>
      <c r="L85" s="80" t="s">
        <v>52</v>
      </c>
      <c r="M85" s="21"/>
      <c r="N85" s="32"/>
      <c r="O85" s="80" t="s">
        <v>155</v>
      </c>
      <c r="P85" s="21"/>
      <c r="Q85" s="80" t="s">
        <v>54</v>
      </c>
      <c r="R85" s="21"/>
      <c r="S85" s="80" t="s">
        <v>55</v>
      </c>
      <c r="T85" s="21"/>
      <c r="U85" s="80" t="s">
        <v>156</v>
      </c>
      <c r="V85" s="21"/>
      <c r="W85" s="32"/>
      <c r="X85" s="80" t="s">
        <v>157</v>
      </c>
      <c r="Y85" s="21"/>
      <c r="Z85" s="80" t="s">
        <v>158</v>
      </c>
      <c r="AA85" s="21"/>
      <c r="AB85" s="32"/>
      <c r="AC85" s="80" t="s">
        <v>159</v>
      </c>
      <c r="AD85" s="21"/>
      <c r="AE85" s="80" t="s">
        <v>60</v>
      </c>
      <c r="AF85" s="21"/>
      <c r="AG85" s="80" t="s">
        <v>61</v>
      </c>
      <c r="AH85" s="21"/>
      <c r="AI85" s="32"/>
      <c r="AJ85" s="80" t="s">
        <v>160</v>
      </c>
      <c r="AK85" s="21"/>
      <c r="AL85" s="80" t="s">
        <v>63</v>
      </c>
      <c r="AM85" s="21"/>
      <c r="AN85" s="32"/>
      <c r="AO85" s="83"/>
      <c r="AP85" s="32"/>
      <c r="AQ85" s="32"/>
      <c r="AR85" s="32"/>
      <c r="AS85" s="32"/>
      <c r="AT85" s="32"/>
      <c r="AU85" s="32"/>
      <c r="AV85" s="32"/>
      <c r="AW85" s="32"/>
      <c r="AX85" s="32"/>
      <c r="AY85" s="32"/>
      <c r="AZ85" s="32"/>
      <c r="BA85" s="32"/>
      <c r="BB85" s="32"/>
      <c r="BC85" s="32"/>
      <c r="BD85" s="32"/>
      <c r="BE85" s="32"/>
      <c r="BF85" s="32"/>
      <c r="BG85" s="100"/>
      <c r="BH85" s="100"/>
      <c r="BI85" s="100"/>
      <c r="BJ85" s="100"/>
    </row>
    <row r="86" ht="15.75" customHeight="1">
      <c r="A86" s="32"/>
      <c r="B86" s="79" t="s">
        <v>64</v>
      </c>
      <c r="C86" s="32"/>
      <c r="D86" s="123">
        <v>0.14</v>
      </c>
      <c r="E86" s="24"/>
      <c r="F86" s="123">
        <v>0.063</v>
      </c>
      <c r="G86" s="24"/>
      <c r="H86" s="123">
        <v>0.072</v>
      </c>
      <c r="I86" s="24"/>
      <c r="J86" s="123">
        <v>0.045</v>
      </c>
      <c r="K86" s="24"/>
      <c r="L86" s="123">
        <v>0.05</v>
      </c>
      <c r="M86" s="24"/>
      <c r="N86" s="124"/>
      <c r="O86" s="123">
        <v>0.09</v>
      </c>
      <c r="P86" s="24"/>
      <c r="Q86" s="123">
        <v>0.042</v>
      </c>
      <c r="R86" s="24"/>
      <c r="S86" s="123">
        <v>0.033</v>
      </c>
      <c r="T86" s="24"/>
      <c r="U86" s="123">
        <v>0.045</v>
      </c>
      <c r="V86" s="24"/>
      <c r="W86" s="124"/>
      <c r="X86" s="123">
        <v>0.01</v>
      </c>
      <c r="Y86" s="24"/>
      <c r="Z86" s="123">
        <v>0.045</v>
      </c>
      <c r="AA86" s="24"/>
      <c r="AB86" s="124"/>
      <c r="AC86" s="123">
        <v>0.045</v>
      </c>
      <c r="AD86" s="24"/>
      <c r="AE86" s="123">
        <v>0.12</v>
      </c>
      <c r="AF86" s="24"/>
      <c r="AG86" s="123">
        <v>0.09</v>
      </c>
      <c r="AH86" s="24"/>
      <c r="AI86" s="124"/>
      <c r="AJ86" s="123">
        <v>0.045</v>
      </c>
      <c r="AK86" s="24"/>
      <c r="AL86" s="123">
        <v>0.09</v>
      </c>
      <c r="AM86" s="24"/>
      <c r="AN86" s="32"/>
      <c r="AO86" s="83"/>
      <c r="AP86" s="32"/>
      <c r="AQ86" s="32"/>
      <c r="AR86" s="32"/>
      <c r="AS86" s="32"/>
      <c r="AT86" s="32"/>
      <c r="AU86" s="32"/>
      <c r="AV86" s="32"/>
      <c r="AW86" s="32"/>
      <c r="AX86" s="32"/>
      <c r="AY86" s="32"/>
      <c r="AZ86" s="32"/>
      <c r="BA86" s="32"/>
      <c r="BB86" s="32"/>
      <c r="BC86" s="32"/>
      <c r="BD86" s="32"/>
      <c r="BE86" s="32"/>
      <c r="BF86" s="32"/>
      <c r="BG86" s="100"/>
      <c r="BH86" s="100"/>
      <c r="BI86" s="100"/>
      <c r="BJ86" s="100"/>
    </row>
    <row r="87" ht="51.75" customHeight="1">
      <c r="A87" s="32"/>
      <c r="B87" s="79" t="s">
        <v>65</v>
      </c>
      <c r="C87" s="32"/>
      <c r="D87" s="86" t="s">
        <v>161</v>
      </c>
      <c r="E87" s="24"/>
      <c r="F87" s="86" t="s">
        <v>162</v>
      </c>
      <c r="G87" s="24"/>
      <c r="H87" s="86" t="s">
        <v>163</v>
      </c>
      <c r="I87" s="24"/>
      <c r="J87" s="86" t="s">
        <v>164</v>
      </c>
      <c r="K87" s="24"/>
      <c r="L87" s="86" t="s">
        <v>165</v>
      </c>
      <c r="M87" s="24"/>
      <c r="N87" s="32"/>
      <c r="O87" s="86" t="s">
        <v>166</v>
      </c>
      <c r="P87" s="24"/>
      <c r="Q87" s="86" t="s">
        <v>167</v>
      </c>
      <c r="R87" s="24"/>
      <c r="S87" s="86" t="s">
        <v>168</v>
      </c>
      <c r="T87" s="24"/>
      <c r="U87" s="86" t="s">
        <v>169</v>
      </c>
      <c r="V87" s="24"/>
      <c r="W87" s="32"/>
      <c r="X87" s="86" t="s">
        <v>170</v>
      </c>
      <c r="Y87" s="24"/>
      <c r="Z87" s="86" t="s">
        <v>171</v>
      </c>
      <c r="AA87" s="24"/>
      <c r="AB87" s="32"/>
      <c r="AC87" s="86" t="s">
        <v>172</v>
      </c>
      <c r="AD87" s="24"/>
      <c r="AE87" s="86" t="s">
        <v>173</v>
      </c>
      <c r="AF87" s="24"/>
      <c r="AG87" s="86" t="s">
        <v>174</v>
      </c>
      <c r="AH87" s="24"/>
      <c r="AI87" s="32"/>
      <c r="AJ87" s="86" t="s">
        <v>175</v>
      </c>
      <c r="AK87" s="24"/>
      <c r="AL87" s="86" t="s">
        <v>176</v>
      </c>
      <c r="AM87" s="24"/>
      <c r="AN87" s="32"/>
      <c r="AO87" s="83"/>
      <c r="AP87" s="32"/>
      <c r="AQ87" s="32"/>
      <c r="AR87" s="32"/>
      <c r="AS87" s="32"/>
      <c r="AT87" s="32"/>
      <c r="AU87" s="32"/>
      <c r="AV87" s="32"/>
      <c r="AW87" s="32"/>
      <c r="AX87" s="32"/>
      <c r="AY87" s="32"/>
      <c r="AZ87" s="32"/>
      <c r="BA87" s="32"/>
      <c r="BB87" s="32"/>
      <c r="BC87" s="32"/>
      <c r="BD87" s="32"/>
      <c r="BE87" s="32"/>
      <c r="BF87" s="32"/>
      <c r="BG87" s="100"/>
      <c r="BH87" s="100"/>
      <c r="BI87" s="100"/>
      <c r="BJ87" s="100"/>
    </row>
    <row r="88" ht="19.5" customHeight="1">
      <c r="A88" s="32"/>
      <c r="B88" s="56"/>
      <c r="C88" s="32"/>
      <c r="D88" s="57" t="s">
        <v>82</v>
      </c>
      <c r="E88" s="58" t="s">
        <v>83</v>
      </c>
      <c r="F88" s="57" t="s">
        <v>82</v>
      </c>
      <c r="G88" s="58" t="s">
        <v>83</v>
      </c>
      <c r="H88" s="57" t="s">
        <v>82</v>
      </c>
      <c r="I88" s="58" t="s">
        <v>83</v>
      </c>
      <c r="J88" s="57" t="s">
        <v>82</v>
      </c>
      <c r="K88" s="58" t="s">
        <v>83</v>
      </c>
      <c r="L88" s="57" t="s">
        <v>84</v>
      </c>
      <c r="M88" s="58" t="s">
        <v>83</v>
      </c>
      <c r="N88" s="32"/>
      <c r="O88" s="57" t="s">
        <v>84</v>
      </c>
      <c r="P88" s="58" t="s">
        <v>83</v>
      </c>
      <c r="Q88" s="57" t="s">
        <v>84</v>
      </c>
      <c r="R88" s="58" t="s">
        <v>83</v>
      </c>
      <c r="S88" s="57" t="s">
        <v>84</v>
      </c>
      <c r="T88" s="58" t="s">
        <v>83</v>
      </c>
      <c r="U88" s="57" t="s">
        <v>84</v>
      </c>
      <c r="V88" s="58" t="s">
        <v>83</v>
      </c>
      <c r="W88" s="32"/>
      <c r="X88" s="57" t="s">
        <v>84</v>
      </c>
      <c r="Y88" s="58" t="s">
        <v>83</v>
      </c>
      <c r="Z88" s="57" t="s">
        <v>84</v>
      </c>
      <c r="AA88" s="58" t="s">
        <v>83</v>
      </c>
      <c r="AB88" s="32"/>
      <c r="AC88" s="57" t="s">
        <v>84</v>
      </c>
      <c r="AD88" s="58" t="s">
        <v>83</v>
      </c>
      <c r="AE88" s="57" t="s">
        <v>82</v>
      </c>
      <c r="AF88" s="58" t="s">
        <v>83</v>
      </c>
      <c r="AG88" s="57" t="s">
        <v>84</v>
      </c>
      <c r="AH88" s="58" t="s">
        <v>83</v>
      </c>
      <c r="AI88" s="32"/>
      <c r="AJ88" s="57" t="s">
        <v>84</v>
      </c>
      <c r="AK88" s="58" t="s">
        <v>83</v>
      </c>
      <c r="AL88" s="57" t="s">
        <v>84</v>
      </c>
      <c r="AM88" s="58" t="s">
        <v>83</v>
      </c>
      <c r="AN88" s="32"/>
      <c r="AO88" s="83"/>
      <c r="AP88" s="32"/>
      <c r="AQ88" s="32"/>
      <c r="AR88" s="32"/>
      <c r="AS88" s="32"/>
      <c r="AT88" s="32"/>
      <c r="AU88" s="32"/>
      <c r="AV88" s="32"/>
      <c r="AW88" s="32"/>
      <c r="AX88" s="32"/>
      <c r="AY88" s="32"/>
      <c r="AZ88" s="32"/>
      <c r="BA88" s="32"/>
      <c r="BB88" s="32"/>
      <c r="BC88" s="32"/>
      <c r="BD88" s="32"/>
      <c r="BE88" s="32"/>
      <c r="BF88" s="32"/>
      <c r="BG88" s="100"/>
      <c r="BH88" s="100"/>
      <c r="BI88" s="100"/>
      <c r="BJ88" s="100"/>
    </row>
    <row r="89" ht="15.75" customHeight="1">
      <c r="A89" s="32"/>
      <c r="B89" s="79" t="s">
        <v>177</v>
      </c>
      <c r="C89" s="32"/>
      <c r="D89" s="89">
        <v>69.2</v>
      </c>
      <c r="E89" s="125">
        <v>0.0</v>
      </c>
      <c r="F89" s="89">
        <v>14.7</v>
      </c>
      <c r="G89" s="125">
        <v>0.0</v>
      </c>
      <c r="H89" s="89">
        <v>43.6</v>
      </c>
      <c r="I89" s="125">
        <v>0.0</v>
      </c>
      <c r="J89" s="89">
        <v>2.11</v>
      </c>
      <c r="K89" s="125">
        <v>0.5576</v>
      </c>
      <c r="L89" s="89" t="s">
        <v>178</v>
      </c>
      <c r="M89" s="125">
        <v>0.0</v>
      </c>
      <c r="N89" s="32"/>
      <c r="O89" s="84">
        <v>0.122</v>
      </c>
      <c r="P89" s="125">
        <v>0.08</v>
      </c>
      <c r="Q89" s="84">
        <v>0.241</v>
      </c>
      <c r="R89" s="125">
        <v>0.0691</v>
      </c>
      <c r="S89" s="84">
        <v>0.168</v>
      </c>
      <c r="T89" s="125">
        <v>0.0497</v>
      </c>
      <c r="U89" s="126">
        <v>1.0</v>
      </c>
      <c r="V89" s="125">
        <v>1.0</v>
      </c>
      <c r="W89" s="32"/>
      <c r="X89" s="89">
        <v>1.48</v>
      </c>
      <c r="Y89" s="125">
        <v>0.6296</v>
      </c>
      <c r="Z89" s="89" t="s">
        <v>86</v>
      </c>
      <c r="AA89" s="125">
        <v>0.0</v>
      </c>
      <c r="AB89" s="32"/>
      <c r="AC89" s="89">
        <v>2.2</v>
      </c>
      <c r="AD89" s="125">
        <v>0.8679</v>
      </c>
      <c r="AE89" s="89">
        <v>0.05</v>
      </c>
      <c r="AF89" s="125">
        <v>1.0</v>
      </c>
      <c r="AG89" s="89">
        <v>27.3</v>
      </c>
      <c r="AH89" s="125">
        <v>0.0593</v>
      </c>
      <c r="AI89" s="32"/>
      <c r="AJ89" s="84">
        <v>0.18</v>
      </c>
      <c r="AK89" s="125">
        <v>0.17</v>
      </c>
      <c r="AL89" s="84">
        <v>0.0058</v>
      </c>
      <c r="AM89" s="125">
        <v>0.0</v>
      </c>
      <c r="AN89" s="32"/>
      <c r="AO89" s="110">
        <f>E89*D86+G89*F86+I89*H86+K89*J86+M89*L86+P89*O86+R89*Q86+T89*S86+V89*U86+Y89*X86+AA89*Z86+AD89*AC86+AF89*AE86+AH89*AG86+AK89*AJ86+AM89*AL86</f>
        <v>0.2601728</v>
      </c>
      <c r="AP89" s="32"/>
      <c r="AQ89" s="32"/>
      <c r="AR89" s="32"/>
      <c r="AS89" s="32"/>
      <c r="AT89" s="32"/>
      <c r="AU89" s="32"/>
      <c r="AV89" s="32"/>
      <c r="AW89" s="32"/>
      <c r="AX89" s="32"/>
      <c r="AY89" s="32"/>
      <c r="AZ89" s="32"/>
      <c r="BA89" s="32"/>
      <c r="BB89" s="32"/>
      <c r="BC89" s="32"/>
      <c r="BD89" s="32"/>
      <c r="BE89" s="32"/>
      <c r="BF89" s="32"/>
      <c r="BG89" s="32"/>
      <c r="BH89" s="32"/>
      <c r="BI89" s="32"/>
      <c r="BJ89" s="32"/>
    </row>
    <row r="90" ht="15.75" customHeight="1">
      <c r="A90" s="32"/>
      <c r="B90" s="56"/>
      <c r="C90" s="32"/>
      <c r="D90" s="56"/>
      <c r="E90" s="102"/>
      <c r="F90" s="56"/>
      <c r="G90" s="102"/>
      <c r="H90" s="56"/>
      <c r="I90" s="102"/>
      <c r="J90" s="56"/>
      <c r="K90" s="102"/>
      <c r="L90" s="56"/>
      <c r="M90" s="102"/>
      <c r="N90" s="32"/>
      <c r="O90" s="56"/>
      <c r="P90" s="102"/>
      <c r="Q90" s="56"/>
      <c r="R90" s="102"/>
      <c r="S90" s="56"/>
      <c r="T90" s="102"/>
      <c r="U90" s="56"/>
      <c r="V90" s="102"/>
      <c r="W90" s="32"/>
      <c r="X90" s="56"/>
      <c r="Y90" s="102"/>
      <c r="Z90" s="56"/>
      <c r="AA90" s="102"/>
      <c r="AB90" s="32"/>
      <c r="AC90" s="56"/>
      <c r="AD90" s="102"/>
      <c r="AE90" s="56"/>
      <c r="AF90" s="102"/>
      <c r="AG90" s="56"/>
      <c r="AH90" s="102"/>
      <c r="AI90" s="32"/>
      <c r="AJ90" s="56"/>
      <c r="AK90" s="102"/>
      <c r="AL90" s="56"/>
      <c r="AM90" s="102"/>
      <c r="AN90" s="32"/>
      <c r="AO90" s="83"/>
      <c r="AP90" s="32"/>
      <c r="AQ90" s="32"/>
      <c r="AR90" s="32"/>
      <c r="AS90" s="32"/>
      <c r="AT90" s="32"/>
      <c r="AU90" s="32"/>
      <c r="AV90" s="32"/>
      <c r="AW90" s="32"/>
      <c r="AX90" s="32"/>
      <c r="AY90" s="32"/>
      <c r="AZ90" s="32"/>
      <c r="BA90" s="32"/>
      <c r="BB90" s="32"/>
      <c r="BC90" s="32"/>
      <c r="BD90" s="32"/>
      <c r="BE90" s="32"/>
      <c r="BF90" s="32"/>
      <c r="BG90" s="32"/>
      <c r="BH90" s="32"/>
      <c r="BI90" s="32"/>
      <c r="BJ90" s="32"/>
    </row>
    <row r="91" ht="15.75" customHeight="1">
      <c r="A91" s="32"/>
      <c r="B91" s="79" t="s">
        <v>179</v>
      </c>
      <c r="C91" s="32"/>
      <c r="D91" s="89">
        <v>25.7</v>
      </c>
      <c r="E91" s="125">
        <v>0.9886</v>
      </c>
      <c r="F91" s="89">
        <v>13.1</v>
      </c>
      <c r="G91" s="125">
        <v>0.2003</v>
      </c>
      <c r="H91" s="89">
        <v>17.4</v>
      </c>
      <c r="I91" s="125">
        <v>0.9258</v>
      </c>
      <c r="J91" s="89">
        <v>3.03</v>
      </c>
      <c r="K91" s="125">
        <v>0.0</v>
      </c>
      <c r="L91" s="89" t="s">
        <v>180</v>
      </c>
      <c r="M91" s="125">
        <v>1.0</v>
      </c>
      <c r="N91" s="32"/>
      <c r="O91" s="84">
        <v>0.191</v>
      </c>
      <c r="P91" s="125">
        <v>1.0</v>
      </c>
      <c r="Q91" s="84">
        <v>0.524</v>
      </c>
      <c r="R91" s="125">
        <v>1.0</v>
      </c>
      <c r="S91" s="84">
        <v>0.321</v>
      </c>
      <c r="T91" s="125">
        <v>1.0</v>
      </c>
      <c r="U91" s="84">
        <v>1.0</v>
      </c>
      <c r="V91" s="125">
        <v>1.0</v>
      </c>
      <c r="W91" s="32"/>
      <c r="X91" s="89">
        <v>1.68</v>
      </c>
      <c r="Y91" s="125">
        <v>1.0</v>
      </c>
      <c r="Z91" s="89">
        <v>2.0</v>
      </c>
      <c r="AA91" s="125">
        <v>0.0573</v>
      </c>
      <c r="AB91" s="32"/>
      <c r="AC91" s="89">
        <v>1.74</v>
      </c>
      <c r="AD91" s="125">
        <v>0.0</v>
      </c>
      <c r="AE91" s="89">
        <v>0.1</v>
      </c>
      <c r="AF91" s="125">
        <v>0.0</v>
      </c>
      <c r="AG91" s="89">
        <v>83.0</v>
      </c>
      <c r="AH91" s="125">
        <v>0.8858</v>
      </c>
      <c r="AI91" s="32"/>
      <c r="AJ91" s="84">
        <v>0.263</v>
      </c>
      <c r="AK91" s="125">
        <v>1.0</v>
      </c>
      <c r="AL91" s="84">
        <v>0.0174</v>
      </c>
      <c r="AM91" s="125">
        <v>0.4549</v>
      </c>
      <c r="AN91" s="32"/>
      <c r="AO91" s="112">
        <f>E91*D86+G91*F86+I91*H86+K91*J86+M91*L86+P91*O86+R91*Q86+T91*S86+V91*U86+Y91*X86+AA91*Z86+AD91*AC86+AF91*AE86+AH91*AG86+AK91*AJ86+AM91*AL86</f>
        <v>0.655922</v>
      </c>
      <c r="AP91" s="32"/>
      <c r="AQ91" s="32"/>
      <c r="AR91" s="32"/>
      <c r="AS91" s="32"/>
      <c r="AT91" s="32"/>
      <c r="AU91" s="32"/>
      <c r="AV91" s="32"/>
      <c r="AW91" s="32"/>
      <c r="AX91" s="32"/>
      <c r="AY91" s="32"/>
      <c r="AZ91" s="32"/>
      <c r="BA91" s="32"/>
      <c r="BB91" s="32"/>
      <c r="BC91" s="32"/>
      <c r="BD91" s="32"/>
      <c r="BE91" s="32"/>
      <c r="BF91" s="32"/>
      <c r="BG91" s="32"/>
      <c r="BH91" s="32"/>
      <c r="BI91" s="32"/>
      <c r="BJ91" s="32"/>
    </row>
    <row r="92" ht="15.75" customHeight="1">
      <c r="A92" s="32"/>
      <c r="B92" s="56"/>
      <c r="C92" s="32"/>
      <c r="D92" s="56"/>
      <c r="E92" s="102"/>
      <c r="F92" s="56"/>
      <c r="G92" s="102"/>
      <c r="H92" s="56"/>
      <c r="I92" s="102"/>
      <c r="J92" s="56"/>
      <c r="K92" s="102"/>
      <c r="L92" s="56"/>
      <c r="M92" s="102"/>
      <c r="N92" s="32"/>
      <c r="O92" s="56"/>
      <c r="P92" s="102"/>
      <c r="Q92" s="56"/>
      <c r="R92" s="102"/>
      <c r="S92" s="56"/>
      <c r="T92" s="102"/>
      <c r="U92" s="56"/>
      <c r="V92" s="102"/>
      <c r="W92" s="32"/>
      <c r="X92" s="56"/>
      <c r="Y92" s="102"/>
      <c r="Z92" s="56"/>
      <c r="AA92" s="102"/>
      <c r="AB92" s="32"/>
      <c r="AC92" s="56"/>
      <c r="AD92" s="102"/>
      <c r="AE92" s="56"/>
      <c r="AF92" s="102"/>
      <c r="AG92" s="56"/>
      <c r="AH92" s="102"/>
      <c r="AI92" s="32"/>
      <c r="AJ92" s="56"/>
      <c r="AK92" s="102"/>
      <c r="AL92" s="56"/>
      <c r="AM92" s="102"/>
      <c r="AN92" s="32"/>
      <c r="AO92" s="83"/>
      <c r="AP92" s="32"/>
      <c r="AQ92" s="32"/>
      <c r="AR92" s="32"/>
      <c r="AS92" s="32"/>
      <c r="AT92" s="32"/>
      <c r="AU92" s="32"/>
      <c r="AV92" s="32"/>
      <c r="AW92" s="32"/>
      <c r="AX92" s="32"/>
      <c r="AY92" s="32"/>
      <c r="AZ92" s="32"/>
      <c r="BA92" s="32"/>
      <c r="BB92" s="32"/>
      <c r="BC92" s="32"/>
      <c r="BD92" s="32"/>
      <c r="BE92" s="32"/>
      <c r="BF92" s="32"/>
      <c r="BG92" s="32"/>
      <c r="BH92" s="32"/>
      <c r="BI92" s="32"/>
      <c r="BJ92" s="32"/>
    </row>
    <row r="93" ht="15.75" customHeight="1">
      <c r="A93" s="32"/>
      <c r="B93" s="79" t="s">
        <v>181</v>
      </c>
      <c r="C93" s="32"/>
      <c r="D93" s="89">
        <v>25.2</v>
      </c>
      <c r="E93" s="125">
        <v>1.0</v>
      </c>
      <c r="F93" s="89">
        <v>6.97</v>
      </c>
      <c r="G93" s="125">
        <v>0.9675</v>
      </c>
      <c r="H93" s="89">
        <v>15.3</v>
      </c>
      <c r="I93" s="125">
        <v>1.0</v>
      </c>
      <c r="J93" s="89">
        <v>2.52</v>
      </c>
      <c r="K93" s="125">
        <v>0.3091</v>
      </c>
      <c r="L93" s="89" t="s">
        <v>182</v>
      </c>
      <c r="M93" s="125">
        <v>0.4978</v>
      </c>
      <c r="N93" s="32"/>
      <c r="O93" s="84">
        <v>0.172</v>
      </c>
      <c r="P93" s="125">
        <v>0.7467</v>
      </c>
      <c r="Q93" s="84">
        <v>0.288</v>
      </c>
      <c r="R93" s="125">
        <v>0.2237</v>
      </c>
      <c r="S93" s="84">
        <v>0.187</v>
      </c>
      <c r="T93" s="125">
        <v>0.1677</v>
      </c>
      <c r="U93" s="84">
        <v>1.0</v>
      </c>
      <c r="V93" s="125">
        <v>1.0</v>
      </c>
      <c r="W93" s="32"/>
      <c r="X93" s="89">
        <v>1.15</v>
      </c>
      <c r="Y93" s="125">
        <v>0.0185</v>
      </c>
      <c r="Z93" s="89" t="s">
        <v>86</v>
      </c>
      <c r="AA93" s="125">
        <v>0.0</v>
      </c>
      <c r="AB93" s="32"/>
      <c r="AC93" s="89">
        <v>1.97</v>
      </c>
      <c r="AD93" s="125">
        <v>0.434</v>
      </c>
      <c r="AE93" s="89">
        <v>0.09</v>
      </c>
      <c r="AF93" s="125">
        <v>0.2</v>
      </c>
      <c r="AG93" s="89">
        <v>90.7</v>
      </c>
      <c r="AH93" s="125">
        <v>1.0</v>
      </c>
      <c r="AI93" s="32"/>
      <c r="AJ93" s="84">
        <v>0.241</v>
      </c>
      <c r="AK93" s="125">
        <v>0.78</v>
      </c>
      <c r="AL93" s="84">
        <v>0.0267</v>
      </c>
      <c r="AM93" s="125">
        <v>0.8196</v>
      </c>
      <c r="AN93" s="32"/>
      <c r="AO93" s="127">
        <f>E93*D86+G93*F86+I93*H86+K93*J86+M93*L86+P93*O86+R93*Q86+T93*S86+V93*U86+Y93*X86+AA93*Z86+AD93*AC86+AF93*AE86+AH93*AG86+AK93*AJ86+AM93*AL86</f>
        <v>0.6814635</v>
      </c>
      <c r="AP93" s="32"/>
      <c r="AQ93" s="32"/>
      <c r="AR93" s="32"/>
      <c r="AS93" s="32"/>
      <c r="AT93" s="32"/>
      <c r="AU93" s="32"/>
      <c r="AV93" s="32"/>
      <c r="AW93" s="32"/>
      <c r="AX93" s="32"/>
      <c r="AY93" s="32"/>
      <c r="AZ93" s="32"/>
      <c r="BA93" s="32"/>
      <c r="BB93" s="32"/>
      <c r="BC93" s="32"/>
      <c r="BD93" s="32"/>
      <c r="BE93" s="32"/>
      <c r="BF93" s="32"/>
      <c r="BG93" s="32"/>
      <c r="BH93" s="32"/>
      <c r="BI93" s="32"/>
      <c r="BJ93" s="32"/>
    </row>
    <row r="94" ht="15.75" customHeight="1">
      <c r="A94" s="32"/>
      <c r="B94" s="56"/>
      <c r="C94" s="32"/>
      <c r="D94" s="56"/>
      <c r="E94" s="102"/>
      <c r="F94" s="56"/>
      <c r="G94" s="102"/>
      <c r="H94" s="56"/>
      <c r="I94" s="102"/>
      <c r="J94" s="56"/>
      <c r="K94" s="102"/>
      <c r="L94" s="56"/>
      <c r="M94" s="102"/>
      <c r="N94" s="32"/>
      <c r="O94" s="56"/>
      <c r="P94" s="102"/>
      <c r="Q94" s="56"/>
      <c r="R94" s="102"/>
      <c r="S94" s="56"/>
      <c r="T94" s="102"/>
      <c r="U94" s="56"/>
      <c r="V94" s="102"/>
      <c r="W94" s="32"/>
      <c r="X94" s="56"/>
      <c r="Y94" s="102"/>
      <c r="Z94" s="56"/>
      <c r="AA94" s="102"/>
      <c r="AB94" s="32"/>
      <c r="AC94" s="56"/>
      <c r="AD94" s="102"/>
      <c r="AE94" s="56"/>
      <c r="AF94" s="102"/>
      <c r="AG94" s="56"/>
      <c r="AH94" s="102"/>
      <c r="AI94" s="32"/>
      <c r="AJ94" s="56"/>
      <c r="AK94" s="102"/>
      <c r="AL94" s="56"/>
      <c r="AM94" s="102"/>
      <c r="AN94" s="32"/>
      <c r="AO94" s="83"/>
      <c r="AP94" s="32"/>
      <c r="AQ94" s="32"/>
      <c r="AR94" s="32"/>
      <c r="AS94" s="32"/>
      <c r="AT94" s="32"/>
      <c r="AU94" s="32"/>
      <c r="AV94" s="32"/>
      <c r="AW94" s="32"/>
      <c r="AX94" s="32"/>
      <c r="AY94" s="32"/>
      <c r="AZ94" s="32"/>
      <c r="BA94" s="32"/>
      <c r="BB94" s="32"/>
      <c r="BC94" s="32"/>
      <c r="BD94" s="32"/>
      <c r="BE94" s="32"/>
      <c r="BF94" s="32"/>
      <c r="BG94" s="32"/>
      <c r="BH94" s="32"/>
      <c r="BI94" s="32"/>
      <c r="BJ94" s="32"/>
    </row>
    <row r="95" ht="15.75" customHeight="1">
      <c r="A95" s="32"/>
      <c r="B95" s="79" t="s">
        <v>183</v>
      </c>
      <c r="C95" s="32"/>
      <c r="D95" s="89">
        <v>26.9</v>
      </c>
      <c r="E95" s="125">
        <v>0.9614</v>
      </c>
      <c r="F95" s="89">
        <v>6.71</v>
      </c>
      <c r="G95" s="125">
        <v>1.0</v>
      </c>
      <c r="H95" s="89">
        <v>16.2</v>
      </c>
      <c r="I95" s="125">
        <v>0.9682</v>
      </c>
      <c r="J95" s="89">
        <v>2.77</v>
      </c>
      <c r="K95" s="125">
        <v>0.1576</v>
      </c>
      <c r="L95" s="89" t="s">
        <v>184</v>
      </c>
      <c r="M95" s="125">
        <v>0.3246</v>
      </c>
      <c r="N95" s="32"/>
      <c r="O95" s="84">
        <v>0.142</v>
      </c>
      <c r="P95" s="125">
        <v>0.3467</v>
      </c>
      <c r="Q95" s="84">
        <v>0.252</v>
      </c>
      <c r="R95" s="125">
        <v>0.1053</v>
      </c>
      <c r="S95" s="84">
        <v>0.17</v>
      </c>
      <c r="T95" s="125">
        <v>0.0621</v>
      </c>
      <c r="U95" s="84">
        <v>0.984</v>
      </c>
      <c r="V95" s="125">
        <v>0.0</v>
      </c>
      <c r="W95" s="32"/>
      <c r="X95" s="89">
        <v>1.14</v>
      </c>
      <c r="Y95" s="125">
        <v>0.0</v>
      </c>
      <c r="Z95" s="89">
        <v>12.8</v>
      </c>
      <c r="AA95" s="125">
        <v>0.3668</v>
      </c>
      <c r="AB95" s="32"/>
      <c r="AC95" s="89">
        <v>2.22</v>
      </c>
      <c r="AD95" s="125">
        <v>0.9057</v>
      </c>
      <c r="AE95" s="89">
        <v>0.09</v>
      </c>
      <c r="AF95" s="125">
        <v>0.2</v>
      </c>
      <c r="AG95" s="89">
        <v>37.1</v>
      </c>
      <c r="AH95" s="125">
        <v>0.2047</v>
      </c>
      <c r="AI95" s="32"/>
      <c r="AJ95" s="84">
        <v>0.214</v>
      </c>
      <c r="AK95" s="125">
        <v>0.51</v>
      </c>
      <c r="AL95" s="84">
        <v>0.0313</v>
      </c>
      <c r="AM95" s="125">
        <v>1.0</v>
      </c>
      <c r="AN95" s="32"/>
      <c r="AO95" s="112">
        <f>E95*D86+G95*F86+I95*H86+K95*J86+M95*L86+P95*O86+R95*Q86+T95*S86+V95*U86+Y95*X86+AA95*Z86+AD95*AC86+AF95*AE86+AH95*AG86+AK95*AJ86+AM95*AL86</f>
        <v>0.5409388</v>
      </c>
      <c r="AP95" s="32"/>
      <c r="AQ95" s="32"/>
      <c r="AR95" s="32"/>
      <c r="AS95" s="32"/>
      <c r="AT95" s="32"/>
      <c r="AU95" s="32"/>
      <c r="AV95" s="32"/>
      <c r="AW95" s="32"/>
      <c r="AX95" s="32"/>
      <c r="AY95" s="32"/>
      <c r="AZ95" s="32"/>
      <c r="BA95" s="32"/>
      <c r="BB95" s="32"/>
      <c r="BC95" s="32"/>
      <c r="BD95" s="32"/>
      <c r="BE95" s="32"/>
      <c r="BF95" s="32"/>
      <c r="BG95" s="32"/>
      <c r="BH95" s="32"/>
      <c r="BI95" s="32"/>
      <c r="BJ95" s="32"/>
    </row>
    <row r="96" ht="15.75" customHeight="1">
      <c r="A96" s="32"/>
      <c r="B96" s="56"/>
      <c r="C96" s="32"/>
      <c r="D96" s="56"/>
      <c r="E96" s="102"/>
      <c r="F96" s="56"/>
      <c r="G96" s="102"/>
      <c r="H96" s="56"/>
      <c r="I96" s="102"/>
      <c r="J96" s="56"/>
      <c r="K96" s="102"/>
      <c r="L96" s="56"/>
      <c r="M96" s="102"/>
      <c r="N96" s="32"/>
      <c r="O96" s="56"/>
      <c r="P96" s="102"/>
      <c r="Q96" s="56"/>
      <c r="R96" s="102"/>
      <c r="S96" s="56"/>
      <c r="T96" s="102"/>
      <c r="U96" s="56"/>
      <c r="V96" s="102"/>
      <c r="W96" s="32"/>
      <c r="X96" s="56"/>
      <c r="Y96" s="102"/>
      <c r="Z96" s="56"/>
      <c r="AA96" s="102"/>
      <c r="AB96" s="32"/>
      <c r="AC96" s="56"/>
      <c r="AD96" s="102"/>
      <c r="AE96" s="56"/>
      <c r="AF96" s="102"/>
      <c r="AG96" s="56"/>
      <c r="AH96" s="102"/>
      <c r="AI96" s="32"/>
      <c r="AJ96" s="56"/>
      <c r="AK96" s="102"/>
      <c r="AL96" s="56"/>
      <c r="AM96" s="102"/>
      <c r="AN96" s="32"/>
      <c r="AO96" s="83"/>
      <c r="AP96" s="32"/>
      <c r="AQ96" s="32"/>
      <c r="AR96" s="32"/>
      <c r="AS96" s="32"/>
      <c r="AT96" s="32"/>
      <c r="AU96" s="32"/>
      <c r="AV96" s="32"/>
      <c r="AW96" s="32"/>
      <c r="AX96" s="32"/>
      <c r="AY96" s="32"/>
      <c r="AZ96" s="32"/>
      <c r="BA96" s="32"/>
      <c r="BB96" s="32"/>
      <c r="BC96" s="32"/>
      <c r="BD96" s="32"/>
      <c r="BE96" s="32"/>
      <c r="BF96" s="32"/>
      <c r="BG96" s="32"/>
      <c r="BH96" s="32"/>
      <c r="BI96" s="32"/>
      <c r="BJ96" s="32"/>
    </row>
    <row r="97" ht="15.75" customHeight="1">
      <c r="A97" s="32"/>
      <c r="B97" s="93" t="s">
        <v>185</v>
      </c>
      <c r="C97" s="94"/>
      <c r="D97" s="95">
        <v>34.1</v>
      </c>
      <c r="E97" s="128">
        <v>0.7977</v>
      </c>
      <c r="F97" s="95">
        <v>6.91</v>
      </c>
      <c r="G97" s="128">
        <v>0.975</v>
      </c>
      <c r="H97" s="95">
        <v>20.8</v>
      </c>
      <c r="I97" s="128">
        <v>0.8057</v>
      </c>
      <c r="J97" s="95">
        <v>1.38</v>
      </c>
      <c r="K97" s="128">
        <v>1.0</v>
      </c>
      <c r="L97" s="95" t="s">
        <v>186</v>
      </c>
      <c r="M97" s="128">
        <v>0.0546</v>
      </c>
      <c r="N97" s="94"/>
      <c r="O97" s="97">
        <v>0.116</v>
      </c>
      <c r="P97" s="128">
        <v>0.0</v>
      </c>
      <c r="Q97" s="129">
        <v>0.215</v>
      </c>
      <c r="R97" s="128">
        <v>0.0</v>
      </c>
      <c r="S97" s="129">
        <v>0.158</v>
      </c>
      <c r="T97" s="128">
        <v>0.0</v>
      </c>
      <c r="U97" s="97">
        <v>1.0</v>
      </c>
      <c r="V97" s="128">
        <v>1.0</v>
      </c>
      <c r="W97" s="94"/>
      <c r="X97" s="95">
        <v>1.31</v>
      </c>
      <c r="Y97" s="128">
        <v>0.3148</v>
      </c>
      <c r="Z97" s="95">
        <v>34.9</v>
      </c>
      <c r="AA97" s="128">
        <v>1.0</v>
      </c>
      <c r="AB97" s="94"/>
      <c r="AC97" s="95">
        <v>2.27</v>
      </c>
      <c r="AD97" s="128">
        <v>1.0</v>
      </c>
      <c r="AE97" s="95">
        <v>0.1</v>
      </c>
      <c r="AF97" s="128">
        <v>0.0</v>
      </c>
      <c r="AG97" s="95">
        <v>23.3</v>
      </c>
      <c r="AH97" s="128">
        <v>0.0</v>
      </c>
      <c r="AI97" s="94"/>
      <c r="AJ97" s="97">
        <v>0.163</v>
      </c>
      <c r="AK97" s="128">
        <v>0.0</v>
      </c>
      <c r="AL97" s="97">
        <v>0.0123</v>
      </c>
      <c r="AM97" s="128">
        <v>0.2549</v>
      </c>
      <c r="AN97" s="94"/>
      <c r="AO97" s="117">
        <f>E97*D86+G97*F86+I97*H86+K97*J86+M97*L86+P97*O86+R97*Q86+T97*S86+V97*U86+Y97*X86+AA97*Z86+AD97*AC86+AF97*AE86+AH97*AG86+AK97*AJ86+AM97*AL86</f>
        <v>0.4399324</v>
      </c>
      <c r="AP97" s="32"/>
      <c r="AQ97" s="32"/>
      <c r="AR97" s="32"/>
      <c r="AS97" s="32"/>
      <c r="AT97" s="32"/>
      <c r="AU97" s="32"/>
      <c r="AV97" s="32"/>
      <c r="AW97" s="32"/>
      <c r="AX97" s="32"/>
      <c r="AY97" s="32"/>
      <c r="AZ97" s="32"/>
      <c r="BA97" s="32"/>
      <c r="BB97" s="32"/>
      <c r="BC97" s="32"/>
      <c r="BD97" s="32"/>
      <c r="BE97" s="32"/>
      <c r="BF97" s="32"/>
      <c r="BG97" s="32"/>
      <c r="BH97" s="32"/>
      <c r="BI97" s="32"/>
      <c r="BJ97" s="32"/>
    </row>
    <row r="98" ht="15.75" customHeight="1">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c r="AA98" s="32"/>
      <c r="AB98" s="32"/>
      <c r="AC98" s="32"/>
      <c r="AD98" s="32"/>
      <c r="AE98" s="32"/>
      <c r="AF98" s="32"/>
      <c r="AG98" s="32"/>
      <c r="AH98" s="32"/>
      <c r="AI98" s="32"/>
      <c r="AJ98" s="32"/>
      <c r="AK98" s="32"/>
      <c r="AL98" s="32"/>
      <c r="AM98" s="32"/>
      <c r="AN98" s="32"/>
      <c r="AO98" s="32"/>
      <c r="AP98" s="39"/>
      <c r="AQ98" s="32"/>
      <c r="AR98" s="32"/>
      <c r="AS98" s="32"/>
      <c r="AT98" s="32"/>
      <c r="AU98" s="32"/>
      <c r="AV98" s="32"/>
      <c r="AW98" s="32"/>
      <c r="AX98" s="32"/>
      <c r="AY98" s="32"/>
      <c r="AZ98" s="32"/>
      <c r="BA98" s="32"/>
      <c r="BB98" s="32"/>
      <c r="BC98" s="32"/>
      <c r="BD98" s="32"/>
      <c r="BE98" s="32"/>
      <c r="BF98" s="32"/>
      <c r="BG98" s="32"/>
      <c r="BH98" s="32"/>
      <c r="BI98" s="32"/>
      <c r="BJ98" s="32"/>
    </row>
    <row r="99" ht="40.5" customHeight="1">
      <c r="A99" s="32"/>
      <c r="B99" s="130" t="s">
        <v>187</v>
      </c>
      <c r="C99" s="131" t="s">
        <v>188</v>
      </c>
      <c r="D99" s="14"/>
      <c r="E99" s="14"/>
      <c r="F99" s="14"/>
      <c r="G99" s="14"/>
      <c r="H99" s="14"/>
      <c r="I99" s="12"/>
      <c r="J99" s="32"/>
      <c r="K99" s="32"/>
      <c r="L99" s="32"/>
      <c r="M99" s="32"/>
      <c r="N99" s="32"/>
      <c r="O99" s="32"/>
      <c r="P99" s="32"/>
      <c r="Q99" s="32"/>
      <c r="R99" s="32"/>
      <c r="S99" s="32"/>
      <c r="T99" s="32"/>
      <c r="U99" s="32"/>
      <c r="V99" s="32"/>
      <c r="W99" s="32"/>
      <c r="X99" s="32"/>
      <c r="Y99" s="32"/>
      <c r="Z99" s="32"/>
      <c r="AA99" s="32"/>
      <c r="AB99" s="32"/>
      <c r="AC99" s="32"/>
      <c r="AD99" s="32"/>
      <c r="AE99" s="32"/>
      <c r="AF99" s="32"/>
      <c r="AG99" s="32"/>
      <c r="AH99" s="32"/>
      <c r="AI99" s="32"/>
      <c r="AJ99" s="32"/>
      <c r="AK99" s="32"/>
      <c r="AL99" s="32"/>
      <c r="AM99" s="32"/>
      <c r="AN99" s="32"/>
      <c r="AO99" s="32"/>
      <c r="AP99" s="32"/>
      <c r="AQ99" s="32"/>
      <c r="AR99" s="32"/>
      <c r="AS99" s="32"/>
      <c r="AT99" s="32"/>
      <c r="AU99" s="32"/>
      <c r="AV99" s="32"/>
      <c r="AW99" s="32"/>
      <c r="AX99" s="32"/>
      <c r="AY99" s="32"/>
      <c r="AZ99" s="32"/>
      <c r="BA99" s="32"/>
      <c r="BB99" s="32"/>
      <c r="BC99" s="32"/>
      <c r="BD99" s="32"/>
      <c r="BE99" s="32"/>
      <c r="BF99" s="32"/>
      <c r="BG99" s="32"/>
      <c r="BH99" s="32"/>
      <c r="BI99" s="32"/>
      <c r="BJ99" s="32"/>
    </row>
    <row r="100" ht="15.75" customHeight="1">
      <c r="A100" s="32"/>
      <c r="B100" s="130" t="s">
        <v>189</v>
      </c>
      <c r="C100" s="132"/>
      <c r="D100" s="14"/>
      <c r="E100" s="14"/>
      <c r="F100" s="14"/>
      <c r="G100" s="14"/>
      <c r="H100" s="14"/>
      <c r="I100" s="12"/>
      <c r="J100" s="32"/>
      <c r="K100" s="32"/>
      <c r="L100" s="32"/>
      <c r="M100" s="32"/>
      <c r="N100" s="32"/>
      <c r="O100" s="32"/>
      <c r="P100" s="32"/>
      <c r="Q100" s="32"/>
      <c r="R100" s="32"/>
      <c r="S100" s="32"/>
      <c r="T100" s="32"/>
      <c r="U100" s="32"/>
      <c r="V100" s="32"/>
      <c r="W100" s="32"/>
      <c r="X100" s="32"/>
      <c r="Y100" s="32"/>
      <c r="Z100" s="32"/>
      <c r="AA100" s="32"/>
      <c r="AB100" s="32"/>
      <c r="AC100" s="32"/>
      <c r="AD100" s="32"/>
      <c r="AE100" s="32"/>
      <c r="AF100" s="32"/>
      <c r="AG100" s="32"/>
      <c r="AH100" s="32"/>
      <c r="AI100" s="32"/>
      <c r="AJ100" s="32"/>
      <c r="AK100" s="32"/>
      <c r="AL100" s="32"/>
      <c r="AM100" s="32"/>
      <c r="AN100" s="32"/>
      <c r="AO100" s="32"/>
      <c r="AP100" s="32"/>
      <c r="AQ100" s="32"/>
      <c r="AR100" s="32"/>
      <c r="AS100" s="32"/>
      <c r="AT100" s="32"/>
      <c r="AU100" s="32"/>
      <c r="AV100" s="32"/>
      <c r="AW100" s="32"/>
      <c r="AX100" s="32"/>
      <c r="AY100" s="32"/>
      <c r="AZ100" s="32"/>
      <c r="BA100" s="32"/>
      <c r="BB100" s="32"/>
      <c r="BC100" s="32"/>
      <c r="BD100" s="32"/>
      <c r="BE100" s="32"/>
      <c r="BF100" s="32"/>
      <c r="BG100" s="32"/>
      <c r="BH100" s="32"/>
      <c r="BI100" s="32"/>
      <c r="BJ100" s="32"/>
    </row>
    <row r="101" ht="15.75" customHeight="1">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c r="AA101" s="32"/>
      <c r="AB101" s="32"/>
      <c r="AC101" s="32"/>
      <c r="AD101" s="32"/>
      <c r="AE101" s="32"/>
      <c r="AF101" s="32"/>
      <c r="AG101" s="32"/>
      <c r="AH101" s="32"/>
      <c r="AI101" s="32"/>
      <c r="AJ101" s="32"/>
      <c r="AK101" s="32"/>
      <c r="AL101" s="32"/>
      <c r="AM101" s="32"/>
      <c r="AN101" s="32"/>
      <c r="AO101" s="32"/>
      <c r="AP101" s="32"/>
      <c r="AQ101" s="32"/>
      <c r="AR101" s="32"/>
      <c r="AS101" s="32"/>
      <c r="AT101" s="32"/>
      <c r="AU101" s="32"/>
      <c r="AV101" s="32"/>
      <c r="AW101" s="32"/>
      <c r="AX101" s="32"/>
      <c r="AY101" s="32"/>
      <c r="AZ101" s="32"/>
      <c r="BA101" s="32"/>
      <c r="BB101" s="32"/>
      <c r="BC101" s="32"/>
      <c r="BD101" s="32"/>
      <c r="BE101" s="32"/>
      <c r="BF101" s="32"/>
      <c r="BG101" s="32"/>
      <c r="BH101" s="32"/>
      <c r="BI101" s="32"/>
      <c r="BJ101" s="32"/>
    </row>
    <row r="102" ht="15.75" customHeight="1">
      <c r="A102" s="32"/>
      <c r="B102" s="133" t="s">
        <v>190</v>
      </c>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5"/>
      <c r="AP102" s="32"/>
      <c r="AQ102" s="32"/>
      <c r="AR102" s="32"/>
      <c r="AS102" s="32"/>
      <c r="AT102" s="32"/>
      <c r="AU102" s="32"/>
      <c r="AV102" s="32"/>
      <c r="AW102" s="32"/>
      <c r="AX102" s="32"/>
      <c r="AY102" s="32"/>
      <c r="AZ102" s="32"/>
      <c r="BA102" s="32"/>
      <c r="BB102" s="32"/>
      <c r="BC102" s="32"/>
      <c r="BD102" s="32"/>
      <c r="BE102" s="32"/>
      <c r="BF102" s="32"/>
      <c r="BG102" s="32"/>
      <c r="BH102" s="32"/>
      <c r="BI102" s="32"/>
      <c r="BJ102" s="32"/>
    </row>
    <row r="103" ht="15.75" customHeight="1">
      <c r="A103" s="32"/>
      <c r="B103" s="6"/>
      <c r="AO103" s="7"/>
      <c r="AP103" s="32"/>
      <c r="AQ103" s="32"/>
      <c r="AR103" s="32"/>
      <c r="AS103" s="32"/>
      <c r="AT103" s="32"/>
      <c r="AU103" s="32"/>
      <c r="AV103" s="32"/>
      <c r="AW103" s="32"/>
      <c r="AX103" s="32"/>
      <c r="AY103" s="32"/>
      <c r="AZ103" s="32"/>
      <c r="BA103" s="32"/>
      <c r="BB103" s="32"/>
      <c r="BC103" s="32"/>
      <c r="BD103" s="32"/>
      <c r="BE103" s="32"/>
      <c r="BF103" s="32"/>
      <c r="BG103" s="32"/>
      <c r="BH103" s="32"/>
      <c r="BI103" s="32"/>
      <c r="BJ103" s="32"/>
    </row>
    <row r="104" ht="15.75" customHeight="1">
      <c r="A104" s="32"/>
      <c r="B104" s="8"/>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10"/>
      <c r="AP104" s="32"/>
      <c r="AQ104" s="32"/>
      <c r="AR104" s="32"/>
      <c r="AS104" s="32"/>
      <c r="AT104" s="32"/>
      <c r="AU104" s="32"/>
      <c r="AV104" s="32"/>
      <c r="AW104" s="32"/>
      <c r="AX104" s="32"/>
      <c r="AY104" s="32"/>
      <c r="AZ104" s="32"/>
      <c r="BA104" s="32"/>
      <c r="BB104" s="32"/>
      <c r="BC104" s="32"/>
      <c r="BD104" s="32"/>
      <c r="BE104" s="32"/>
      <c r="BF104" s="32"/>
      <c r="BG104" s="32"/>
      <c r="BH104" s="32"/>
      <c r="BI104" s="32"/>
      <c r="BJ104" s="32"/>
    </row>
    <row r="105" ht="15.75" customHeight="1">
      <c r="A105" s="32"/>
      <c r="B105" s="56"/>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c r="AA105" s="32"/>
      <c r="AB105" s="32"/>
      <c r="AC105" s="32"/>
      <c r="AD105" s="32"/>
      <c r="AE105" s="32"/>
      <c r="AF105" s="32"/>
      <c r="AG105" s="32"/>
      <c r="AH105" s="32"/>
      <c r="AI105" s="32"/>
      <c r="AJ105" s="32"/>
      <c r="AK105" s="32"/>
      <c r="AL105" s="32"/>
      <c r="AM105" s="32"/>
      <c r="AN105" s="32"/>
      <c r="AO105" s="102"/>
      <c r="AP105" s="32"/>
      <c r="AQ105" s="32"/>
      <c r="AR105" s="32"/>
      <c r="AS105" s="32"/>
      <c r="AT105" s="32"/>
      <c r="AU105" s="32"/>
      <c r="AV105" s="32"/>
      <c r="AW105" s="32"/>
      <c r="AX105" s="32"/>
      <c r="AY105" s="32"/>
      <c r="AZ105" s="32"/>
      <c r="BA105" s="32"/>
      <c r="BB105" s="32"/>
      <c r="BC105" s="32"/>
      <c r="BD105" s="32"/>
      <c r="BE105" s="32"/>
      <c r="BF105" s="32"/>
      <c r="BG105" s="32"/>
      <c r="BH105" s="32"/>
      <c r="BI105" s="32"/>
      <c r="BJ105" s="32"/>
    </row>
    <row r="106" ht="15.75" customHeight="1">
      <c r="A106" s="32"/>
      <c r="B106" s="56"/>
      <c r="C106" s="32"/>
      <c r="D106" s="134" t="s">
        <v>41</v>
      </c>
      <c r="E106" s="14"/>
      <c r="F106" s="14"/>
      <c r="G106" s="14"/>
      <c r="H106" s="14"/>
      <c r="I106" s="14"/>
      <c r="J106" s="14"/>
      <c r="K106" s="14"/>
      <c r="L106" s="14"/>
      <c r="M106" s="12"/>
      <c r="N106" s="32"/>
      <c r="O106" s="135" t="s">
        <v>119</v>
      </c>
      <c r="P106" s="20"/>
      <c r="Q106" s="20"/>
      <c r="R106" s="20"/>
      <c r="S106" s="20"/>
      <c r="T106" s="20"/>
      <c r="U106" s="20"/>
      <c r="V106" s="21"/>
      <c r="W106" s="32"/>
      <c r="X106" s="135" t="s">
        <v>43</v>
      </c>
      <c r="Y106" s="20"/>
      <c r="Z106" s="20"/>
      <c r="AA106" s="21"/>
      <c r="AB106" s="32"/>
      <c r="AC106" s="135" t="s">
        <v>44</v>
      </c>
      <c r="AD106" s="20"/>
      <c r="AE106" s="20"/>
      <c r="AF106" s="20"/>
      <c r="AG106" s="20"/>
      <c r="AH106" s="21"/>
      <c r="AI106" s="32"/>
      <c r="AJ106" s="135" t="s">
        <v>45</v>
      </c>
      <c r="AK106" s="20"/>
      <c r="AL106" s="20"/>
      <c r="AM106" s="21"/>
      <c r="AN106" s="32"/>
      <c r="AO106" s="136" t="s">
        <v>46</v>
      </c>
      <c r="AP106" s="32"/>
      <c r="AQ106" s="32"/>
      <c r="AR106" s="32"/>
      <c r="AS106" s="32"/>
      <c r="AT106" s="32"/>
      <c r="AU106" s="32"/>
      <c r="AV106" s="32"/>
      <c r="AW106" s="32"/>
      <c r="AX106" s="32"/>
      <c r="AY106" s="32"/>
      <c r="AZ106" s="32"/>
      <c r="BA106" s="32"/>
      <c r="BB106" s="32"/>
      <c r="BC106" s="32"/>
      <c r="BD106" s="32"/>
      <c r="BE106" s="32"/>
      <c r="BF106" s="32"/>
      <c r="BG106" s="32"/>
      <c r="BH106" s="32"/>
      <c r="BI106" s="32"/>
      <c r="BJ106" s="32"/>
    </row>
    <row r="107" ht="15.75" customHeight="1">
      <c r="A107" s="32"/>
      <c r="B107" s="79" t="s">
        <v>47</v>
      </c>
      <c r="C107" s="32"/>
      <c r="D107" s="80" t="s">
        <v>48</v>
      </c>
      <c r="E107" s="21"/>
      <c r="F107" s="80" t="s">
        <v>49</v>
      </c>
      <c r="G107" s="21"/>
      <c r="H107" s="80" t="s">
        <v>50</v>
      </c>
      <c r="I107" s="21"/>
      <c r="J107" s="80" t="s">
        <v>51</v>
      </c>
      <c r="K107" s="21"/>
      <c r="L107" s="81" t="s">
        <v>52</v>
      </c>
      <c r="M107" s="24"/>
      <c r="N107" s="32"/>
      <c r="O107" s="80" t="s">
        <v>155</v>
      </c>
      <c r="P107" s="21"/>
      <c r="Q107" s="80" t="s">
        <v>54</v>
      </c>
      <c r="R107" s="21"/>
      <c r="S107" s="80" t="s">
        <v>55</v>
      </c>
      <c r="T107" s="21"/>
      <c r="U107" s="80" t="s">
        <v>156</v>
      </c>
      <c r="V107" s="21"/>
      <c r="W107" s="32"/>
      <c r="X107" s="80" t="s">
        <v>157</v>
      </c>
      <c r="Y107" s="21"/>
      <c r="Z107" s="82" t="s">
        <v>158</v>
      </c>
      <c r="AA107" s="21"/>
      <c r="AB107" s="32"/>
      <c r="AC107" s="80" t="s">
        <v>159</v>
      </c>
      <c r="AD107" s="21"/>
      <c r="AE107" s="80" t="s">
        <v>60</v>
      </c>
      <c r="AF107" s="21"/>
      <c r="AG107" s="80" t="s">
        <v>61</v>
      </c>
      <c r="AH107" s="21"/>
      <c r="AI107" s="32"/>
      <c r="AJ107" s="80" t="s">
        <v>160</v>
      </c>
      <c r="AK107" s="21"/>
      <c r="AL107" s="80" t="s">
        <v>63</v>
      </c>
      <c r="AM107" s="21"/>
      <c r="AN107" s="32"/>
      <c r="AO107" s="137"/>
      <c r="AP107" s="32"/>
      <c r="AQ107" s="32"/>
      <c r="AR107" s="32"/>
      <c r="AS107" s="32"/>
      <c r="AT107" s="32"/>
      <c r="AU107" s="32"/>
      <c r="AV107" s="32"/>
      <c r="AW107" s="32"/>
      <c r="AX107" s="32"/>
      <c r="AY107" s="32"/>
      <c r="AZ107" s="32"/>
      <c r="BA107" s="32"/>
      <c r="BB107" s="32"/>
      <c r="BC107" s="32"/>
      <c r="BD107" s="32"/>
      <c r="BE107" s="32"/>
      <c r="BF107" s="32"/>
      <c r="BG107" s="32"/>
      <c r="BH107" s="32"/>
      <c r="BI107" s="32"/>
      <c r="BJ107" s="32"/>
    </row>
    <row r="108" ht="15.75" customHeight="1">
      <c r="A108" s="32"/>
      <c r="B108" s="79" t="s">
        <v>64</v>
      </c>
      <c r="C108" s="32"/>
      <c r="D108" s="123">
        <v>0.09</v>
      </c>
      <c r="E108" s="24"/>
      <c r="F108" s="123">
        <v>0.063</v>
      </c>
      <c r="G108" s="24"/>
      <c r="H108" s="123">
        <v>0.072</v>
      </c>
      <c r="I108" s="24"/>
      <c r="J108" s="123">
        <v>0.045</v>
      </c>
      <c r="K108" s="24"/>
      <c r="L108" s="138">
        <v>0.1</v>
      </c>
      <c r="M108" s="24"/>
      <c r="N108" s="124"/>
      <c r="O108" s="123">
        <v>0.09</v>
      </c>
      <c r="P108" s="24"/>
      <c r="Q108" s="123">
        <v>0.072</v>
      </c>
      <c r="R108" s="24"/>
      <c r="S108" s="123">
        <v>0.063</v>
      </c>
      <c r="T108" s="24"/>
      <c r="U108" s="123">
        <v>0.045</v>
      </c>
      <c r="V108" s="24"/>
      <c r="W108" s="124"/>
      <c r="X108" s="123">
        <v>0.045</v>
      </c>
      <c r="Y108" s="24"/>
      <c r="Z108" s="138">
        <v>0.045</v>
      </c>
      <c r="AA108" s="24"/>
      <c r="AB108" s="124"/>
      <c r="AC108" s="123">
        <v>0.045</v>
      </c>
      <c r="AD108" s="24"/>
      <c r="AE108" s="123">
        <v>0.09</v>
      </c>
      <c r="AF108" s="24"/>
      <c r="AG108" s="123">
        <v>0.045</v>
      </c>
      <c r="AH108" s="24"/>
      <c r="AI108" s="124"/>
      <c r="AJ108" s="123">
        <v>0.045</v>
      </c>
      <c r="AK108" s="24"/>
      <c r="AL108" s="123">
        <v>0.045</v>
      </c>
      <c r="AM108" s="24"/>
      <c r="AN108" s="32"/>
      <c r="AO108" s="22"/>
      <c r="AP108" s="32"/>
      <c r="AQ108" s="32"/>
      <c r="AR108" s="32"/>
      <c r="AS108" s="32"/>
      <c r="AT108" s="32"/>
      <c r="AU108" s="32"/>
      <c r="AV108" s="32"/>
      <c r="AW108" s="32"/>
      <c r="AX108" s="32"/>
      <c r="AY108" s="32"/>
      <c r="AZ108" s="32"/>
      <c r="BA108" s="32"/>
      <c r="BB108" s="32"/>
      <c r="BC108" s="32"/>
      <c r="BD108" s="32"/>
      <c r="BE108" s="32"/>
      <c r="BF108" s="32"/>
      <c r="BG108" s="32"/>
      <c r="BH108" s="32"/>
      <c r="BI108" s="32"/>
      <c r="BJ108" s="32"/>
    </row>
    <row r="109" ht="87.0" customHeight="1">
      <c r="A109" s="32"/>
      <c r="B109" s="79" t="s">
        <v>65</v>
      </c>
      <c r="C109" s="32"/>
      <c r="D109" s="86" t="s">
        <v>191</v>
      </c>
      <c r="E109" s="24"/>
      <c r="F109" s="86" t="s">
        <v>192</v>
      </c>
      <c r="G109" s="24"/>
      <c r="H109" s="86" t="s">
        <v>193</v>
      </c>
      <c r="I109" s="24"/>
      <c r="J109" s="86" t="s">
        <v>194</v>
      </c>
      <c r="K109" s="24"/>
      <c r="L109" s="88" t="s">
        <v>195</v>
      </c>
      <c r="M109" s="24"/>
      <c r="N109" s="32"/>
      <c r="O109" s="86" t="s">
        <v>196</v>
      </c>
      <c r="P109" s="24"/>
      <c r="Q109" s="86" t="s">
        <v>197</v>
      </c>
      <c r="R109" s="24"/>
      <c r="S109" s="86" t="s">
        <v>198</v>
      </c>
      <c r="T109" s="24"/>
      <c r="U109" s="86" t="s">
        <v>199</v>
      </c>
      <c r="V109" s="24"/>
      <c r="W109" s="32"/>
      <c r="X109" s="86" t="s">
        <v>200</v>
      </c>
      <c r="Y109" s="24"/>
      <c r="Z109" s="88" t="s">
        <v>201</v>
      </c>
      <c r="AA109" s="24"/>
      <c r="AB109" s="32"/>
      <c r="AC109" s="86" t="s">
        <v>202</v>
      </c>
      <c r="AD109" s="24"/>
      <c r="AE109" s="86" t="s">
        <v>203</v>
      </c>
      <c r="AF109" s="24"/>
      <c r="AG109" s="86" t="s">
        <v>204</v>
      </c>
      <c r="AH109" s="24"/>
      <c r="AI109" s="32"/>
      <c r="AJ109" s="86" t="s">
        <v>205</v>
      </c>
      <c r="AK109" s="24"/>
      <c r="AL109" s="86" t="s">
        <v>206</v>
      </c>
      <c r="AM109" s="24"/>
      <c r="AN109" s="32"/>
      <c r="AO109" s="22"/>
      <c r="AP109" s="32"/>
      <c r="AQ109" s="32"/>
      <c r="AR109" s="32"/>
      <c r="AS109" s="32"/>
      <c r="AT109" s="32"/>
      <c r="AU109" s="32"/>
      <c r="AV109" s="32"/>
      <c r="AW109" s="32"/>
      <c r="AX109" s="32"/>
      <c r="AY109" s="32"/>
      <c r="AZ109" s="32"/>
      <c r="BA109" s="32"/>
      <c r="BB109" s="32"/>
      <c r="BC109" s="32"/>
      <c r="BD109" s="32"/>
      <c r="BE109" s="32"/>
      <c r="BF109" s="32"/>
      <c r="BG109" s="32"/>
      <c r="BH109" s="32"/>
      <c r="BI109" s="32"/>
      <c r="BJ109" s="32"/>
    </row>
    <row r="110" ht="15.75" customHeight="1">
      <c r="A110" s="32"/>
      <c r="B110" s="56"/>
      <c r="C110" s="32"/>
      <c r="D110" s="57" t="s">
        <v>82</v>
      </c>
      <c r="E110" s="58" t="s">
        <v>83</v>
      </c>
      <c r="F110" s="57" t="s">
        <v>82</v>
      </c>
      <c r="G110" s="58" t="s">
        <v>83</v>
      </c>
      <c r="H110" s="57" t="s">
        <v>82</v>
      </c>
      <c r="I110" s="58" t="s">
        <v>83</v>
      </c>
      <c r="J110" s="57" t="s">
        <v>82</v>
      </c>
      <c r="K110" s="58" t="s">
        <v>83</v>
      </c>
      <c r="L110" s="59" t="s">
        <v>84</v>
      </c>
      <c r="M110" s="58" t="s">
        <v>83</v>
      </c>
      <c r="N110" s="32"/>
      <c r="O110" s="57" t="s">
        <v>84</v>
      </c>
      <c r="P110" s="58" t="s">
        <v>83</v>
      </c>
      <c r="Q110" s="57" t="s">
        <v>84</v>
      </c>
      <c r="R110" s="58" t="s">
        <v>83</v>
      </c>
      <c r="S110" s="57" t="s">
        <v>84</v>
      </c>
      <c r="T110" s="59" t="s">
        <v>83</v>
      </c>
      <c r="U110" s="57" t="s">
        <v>84</v>
      </c>
      <c r="V110" s="58" t="s">
        <v>83</v>
      </c>
      <c r="W110" s="32"/>
      <c r="X110" s="57" t="s">
        <v>84</v>
      </c>
      <c r="Y110" s="58" t="s">
        <v>83</v>
      </c>
      <c r="Z110" s="59" t="s">
        <v>84</v>
      </c>
      <c r="AA110" s="58" t="s">
        <v>83</v>
      </c>
      <c r="AB110" s="32"/>
      <c r="AC110" s="57" t="s">
        <v>84</v>
      </c>
      <c r="AD110" s="58" t="s">
        <v>83</v>
      </c>
      <c r="AE110" s="57" t="s">
        <v>82</v>
      </c>
      <c r="AF110" s="58" t="s">
        <v>83</v>
      </c>
      <c r="AG110" s="57" t="s">
        <v>84</v>
      </c>
      <c r="AH110" s="58" t="s">
        <v>83</v>
      </c>
      <c r="AI110" s="32"/>
      <c r="AJ110" s="57" t="s">
        <v>84</v>
      </c>
      <c r="AK110" s="58" t="s">
        <v>83</v>
      </c>
      <c r="AL110" s="57" t="s">
        <v>84</v>
      </c>
      <c r="AM110" s="58" t="s">
        <v>83</v>
      </c>
      <c r="AN110" s="32"/>
      <c r="AO110" s="27"/>
      <c r="AP110" s="32"/>
      <c r="AQ110" s="32"/>
      <c r="AR110" s="32"/>
      <c r="AS110" s="32"/>
      <c r="AT110" s="32"/>
      <c r="AU110" s="32"/>
      <c r="AV110" s="32"/>
      <c r="AW110" s="32"/>
      <c r="AX110" s="32"/>
      <c r="AY110" s="32"/>
      <c r="AZ110" s="32"/>
      <c r="BA110" s="32"/>
      <c r="BB110" s="32"/>
      <c r="BC110" s="32"/>
      <c r="BD110" s="32"/>
      <c r="BE110" s="32"/>
      <c r="BF110" s="32"/>
      <c r="BG110" s="32"/>
      <c r="BH110" s="32"/>
      <c r="BI110" s="32"/>
      <c r="BJ110" s="32"/>
    </row>
    <row r="111" ht="15.75" customHeight="1">
      <c r="A111" s="32"/>
      <c r="B111" s="79" t="s">
        <v>207</v>
      </c>
      <c r="C111" s="32"/>
      <c r="D111" s="89">
        <v>52.0</v>
      </c>
      <c r="E111" s="125">
        <v>0.49</v>
      </c>
      <c r="F111" s="89">
        <v>11.0</v>
      </c>
      <c r="G111" s="125">
        <v>0.93</v>
      </c>
      <c r="H111" s="89">
        <v>33.8</v>
      </c>
      <c r="I111" s="125">
        <v>0.5</v>
      </c>
      <c r="J111" s="89">
        <v>6.03</v>
      </c>
      <c r="K111" s="125">
        <v>0.3</v>
      </c>
      <c r="L111" s="90">
        <v>542027.0</v>
      </c>
      <c r="M111" s="62">
        <f>(L111 - MIN($L$111:$L$119)) / (MAX($L$111:$L$119) - MIN($L$111:$L$119))</f>
        <v>1</v>
      </c>
      <c r="N111" s="32"/>
      <c r="O111" s="89" t="s">
        <v>208</v>
      </c>
      <c r="P111" s="125">
        <v>0.26</v>
      </c>
      <c r="Q111" s="89" t="s">
        <v>209</v>
      </c>
      <c r="R111" s="125">
        <v>0.0</v>
      </c>
      <c r="S111" s="89" t="s">
        <v>210</v>
      </c>
      <c r="T111" s="90">
        <v>0.0</v>
      </c>
      <c r="U111" s="89" t="s">
        <v>211</v>
      </c>
      <c r="V111" s="125">
        <v>0.6</v>
      </c>
      <c r="W111" s="32"/>
      <c r="X111" s="89">
        <v>0.8</v>
      </c>
      <c r="Y111" s="125">
        <v>0.0</v>
      </c>
      <c r="Z111" s="90">
        <v>6.55</v>
      </c>
      <c r="AA111" s="125">
        <v>0.67</v>
      </c>
      <c r="AB111" s="32"/>
      <c r="AC111" s="89">
        <v>1.11</v>
      </c>
      <c r="AD111" s="125">
        <v>0.14</v>
      </c>
      <c r="AE111" s="89">
        <v>0.03</v>
      </c>
      <c r="AF111" s="125">
        <v>0.9</v>
      </c>
      <c r="AG111" s="89">
        <v>36.7</v>
      </c>
      <c r="AH111" s="125">
        <v>0.05</v>
      </c>
      <c r="AI111" s="32"/>
      <c r="AJ111" s="89" t="s">
        <v>212</v>
      </c>
      <c r="AK111" s="125">
        <v>0.3</v>
      </c>
      <c r="AL111" s="89" t="s">
        <v>213</v>
      </c>
      <c r="AM111" s="125">
        <v>0.51</v>
      </c>
      <c r="AN111" s="32"/>
      <c r="AO111" s="110">
        <f>E111*D108+G111*F108+I111*H108+K111*J108+M111*L108+P111*O108+R111*Q108+T111*S108+V111*U108+Y111*Y108+AA111*AA108+AD111*AD108+AF111*AF108+AH111*AH108+AK111*AK108+AM111*AM108</f>
        <v>0.30259</v>
      </c>
      <c r="AP111" s="32"/>
      <c r="AQ111" s="32"/>
      <c r="AR111" s="32"/>
      <c r="AS111" s="32"/>
      <c r="AT111" s="32"/>
      <c r="AU111" s="32"/>
      <c r="AV111" s="32"/>
      <c r="AW111" s="32"/>
      <c r="AX111" s="32"/>
      <c r="AY111" s="32"/>
      <c r="AZ111" s="32"/>
      <c r="BA111" s="32"/>
      <c r="BB111" s="32"/>
      <c r="BC111" s="32"/>
      <c r="BD111" s="32"/>
      <c r="BE111" s="32"/>
      <c r="BF111" s="32"/>
      <c r="BG111" s="32"/>
      <c r="BH111" s="32"/>
      <c r="BI111" s="32"/>
      <c r="BJ111" s="32"/>
    </row>
    <row r="112" ht="15.75" customHeight="1">
      <c r="A112" s="32"/>
      <c r="B112" s="56"/>
      <c r="C112" s="32"/>
      <c r="D112" s="56"/>
      <c r="E112" s="102"/>
      <c r="F112" s="56"/>
      <c r="G112" s="102"/>
      <c r="H112" s="56"/>
      <c r="I112" s="102"/>
      <c r="J112" s="56"/>
      <c r="K112" s="102"/>
      <c r="L112" s="32"/>
      <c r="M112" s="102"/>
      <c r="N112" s="32"/>
      <c r="O112" s="56"/>
      <c r="P112" s="102"/>
      <c r="Q112" s="56"/>
      <c r="R112" s="102"/>
      <c r="S112" s="56"/>
      <c r="T112" s="32"/>
      <c r="U112" s="56"/>
      <c r="V112" s="102"/>
      <c r="W112" s="32"/>
      <c r="X112" s="56"/>
      <c r="Y112" s="102"/>
      <c r="Z112" s="32"/>
      <c r="AA112" s="102"/>
      <c r="AB112" s="32"/>
      <c r="AC112" s="56"/>
      <c r="AD112" s="102"/>
      <c r="AE112" s="56"/>
      <c r="AF112" s="102"/>
      <c r="AG112" s="56"/>
      <c r="AH112" s="102"/>
      <c r="AI112" s="32"/>
      <c r="AJ112" s="56"/>
      <c r="AK112" s="102"/>
      <c r="AL112" s="56"/>
      <c r="AM112" s="102"/>
      <c r="AN112" s="32"/>
      <c r="AO112" s="83"/>
      <c r="AP112" s="32"/>
      <c r="AQ112" s="32"/>
      <c r="AR112" s="32"/>
      <c r="AS112" s="32"/>
      <c r="AT112" s="32"/>
      <c r="AU112" s="32"/>
      <c r="AV112" s="32"/>
      <c r="AW112" s="32"/>
      <c r="AX112" s="32"/>
      <c r="AY112" s="32"/>
      <c r="AZ112" s="32"/>
      <c r="BA112" s="32"/>
      <c r="BB112" s="32"/>
      <c r="BC112" s="32"/>
      <c r="BD112" s="32"/>
      <c r="BE112" s="32"/>
      <c r="BF112" s="32"/>
      <c r="BG112" s="32"/>
      <c r="BH112" s="32"/>
      <c r="BI112" s="32"/>
      <c r="BJ112" s="32"/>
    </row>
    <row r="113" ht="15.75" customHeight="1">
      <c r="A113" s="32"/>
      <c r="B113" s="79" t="s">
        <v>214</v>
      </c>
      <c r="C113" s="32"/>
      <c r="D113" s="89">
        <v>76.6</v>
      </c>
      <c r="E113" s="125">
        <v>0.0</v>
      </c>
      <c r="F113" s="89">
        <v>57.6</v>
      </c>
      <c r="G113" s="125">
        <v>0.0</v>
      </c>
      <c r="H113" s="89">
        <v>49.3</v>
      </c>
      <c r="I113" s="125">
        <v>0.0</v>
      </c>
      <c r="J113" s="89">
        <v>8.08</v>
      </c>
      <c r="K113" s="125">
        <v>0.0</v>
      </c>
      <c r="L113" s="90">
        <v>237057.0</v>
      </c>
      <c r="M113" s="125">
        <f>(L113 - MIN($L$111:$L$119)) / (MAX($L$111:$L$119) - MIN($L$111:$L$119))</f>
        <v>0.2422277218</v>
      </c>
      <c r="N113" s="32"/>
      <c r="O113" s="126">
        <v>0.161</v>
      </c>
      <c r="P113" s="125">
        <v>0.23</v>
      </c>
      <c r="Q113" s="84">
        <v>0.83</v>
      </c>
      <c r="R113" s="125">
        <v>1.0</v>
      </c>
      <c r="S113" s="84">
        <v>0.271</v>
      </c>
      <c r="T113" s="90">
        <v>1.0</v>
      </c>
      <c r="U113" s="84">
        <v>0.562</v>
      </c>
      <c r="V113" s="125">
        <v>0.86</v>
      </c>
      <c r="W113" s="32"/>
      <c r="X113" s="89">
        <v>1.77</v>
      </c>
      <c r="Y113" s="125">
        <v>0.81</v>
      </c>
      <c r="Z113" s="90">
        <v>3.26</v>
      </c>
      <c r="AA113" s="125">
        <v>0.17</v>
      </c>
      <c r="AB113" s="32"/>
      <c r="AC113" s="89">
        <v>0.8</v>
      </c>
      <c r="AD113" s="125">
        <v>0.0</v>
      </c>
      <c r="AE113" s="89">
        <v>0.28</v>
      </c>
      <c r="AF113" s="125">
        <v>0.03</v>
      </c>
      <c r="AG113" s="89">
        <v>31.6</v>
      </c>
      <c r="AH113" s="125">
        <v>0.04</v>
      </c>
      <c r="AI113" s="32"/>
      <c r="AJ113" s="84">
        <v>0.252</v>
      </c>
      <c r="AK113" s="125">
        <v>0.43</v>
      </c>
      <c r="AL113" s="84">
        <v>0.011</v>
      </c>
      <c r="AM113" s="125">
        <v>0.27</v>
      </c>
      <c r="AN113" s="32"/>
      <c r="AO113" s="112">
        <f>E113*D108+G113*F108+I113*H108+K113*J108+M113*L108+P113*O108+R113*Q108+T113*S108+V113*U108+Y113*Y108+AA113*AA108+AD113*AD108+AF113*AF108+AH113*AH108+AK113*AK108+AM113*AM108</f>
        <v>0.2186227722</v>
      </c>
      <c r="AP113" s="32"/>
      <c r="AQ113" s="32"/>
      <c r="AR113" s="32"/>
      <c r="AS113" s="32"/>
      <c r="AT113" s="32"/>
      <c r="AU113" s="32"/>
      <c r="AV113" s="32"/>
      <c r="AW113" s="32"/>
      <c r="AX113" s="32"/>
      <c r="AY113" s="32"/>
      <c r="AZ113" s="32"/>
      <c r="BA113" s="32"/>
      <c r="BB113" s="32"/>
      <c r="BC113" s="32"/>
      <c r="BD113" s="32"/>
      <c r="BE113" s="32"/>
      <c r="BF113" s="32"/>
      <c r="BG113" s="32"/>
      <c r="BH113" s="32"/>
      <c r="BI113" s="32"/>
      <c r="BJ113" s="32"/>
    </row>
    <row r="114" ht="15.75" customHeight="1">
      <c r="A114" s="32"/>
      <c r="B114" s="56"/>
      <c r="C114" s="32"/>
      <c r="D114" s="56"/>
      <c r="E114" s="102"/>
      <c r="F114" s="56"/>
      <c r="G114" s="102"/>
      <c r="H114" s="56"/>
      <c r="I114" s="102"/>
      <c r="J114" s="56"/>
      <c r="K114" s="102"/>
      <c r="L114" s="32"/>
      <c r="M114" s="102"/>
      <c r="N114" s="32"/>
      <c r="O114" s="56"/>
      <c r="P114" s="102"/>
      <c r="Q114" s="56"/>
      <c r="R114" s="102"/>
      <c r="S114" s="56"/>
      <c r="T114" s="32"/>
      <c r="U114" s="56"/>
      <c r="V114" s="102"/>
      <c r="W114" s="32"/>
      <c r="X114" s="56"/>
      <c r="Y114" s="102"/>
      <c r="Z114" s="32"/>
      <c r="AA114" s="102"/>
      <c r="AB114" s="32"/>
      <c r="AC114" s="56"/>
      <c r="AD114" s="102"/>
      <c r="AE114" s="56"/>
      <c r="AF114" s="102"/>
      <c r="AG114" s="56"/>
      <c r="AH114" s="102"/>
      <c r="AI114" s="32"/>
      <c r="AJ114" s="56"/>
      <c r="AK114" s="102"/>
      <c r="AL114" s="56"/>
      <c r="AM114" s="102"/>
      <c r="AN114" s="32"/>
      <c r="AO114" s="83"/>
      <c r="AP114" s="32"/>
      <c r="AQ114" s="32"/>
      <c r="AR114" s="32"/>
      <c r="AS114" s="32"/>
      <c r="AT114" s="32"/>
      <c r="AU114" s="32"/>
      <c r="AV114" s="32"/>
      <c r="AW114" s="32"/>
      <c r="AX114" s="32"/>
      <c r="AY114" s="32"/>
      <c r="AZ114" s="32"/>
      <c r="BA114" s="32"/>
      <c r="BB114" s="32"/>
      <c r="BC114" s="32"/>
      <c r="BD114" s="32"/>
      <c r="BE114" s="32"/>
      <c r="BF114" s="32"/>
      <c r="BG114" s="32"/>
      <c r="BH114" s="32"/>
      <c r="BI114" s="32"/>
      <c r="BJ114" s="32"/>
    </row>
    <row r="115" ht="15.75" customHeight="1">
      <c r="A115" s="32"/>
      <c r="B115" s="79" t="s">
        <v>215</v>
      </c>
      <c r="C115" s="32"/>
      <c r="D115" s="89">
        <v>26.4</v>
      </c>
      <c r="E115" s="125">
        <v>1.0</v>
      </c>
      <c r="F115" s="89">
        <v>7.48</v>
      </c>
      <c r="G115" s="125">
        <v>1.0</v>
      </c>
      <c r="H115" s="89">
        <v>18.2</v>
      </c>
      <c r="I115" s="125">
        <v>1.0</v>
      </c>
      <c r="J115" s="89">
        <v>5.11</v>
      </c>
      <c r="K115" s="125">
        <v>0.44</v>
      </c>
      <c r="L115" s="90">
        <v>523904.0</v>
      </c>
      <c r="M115" s="125">
        <f>(L115 - MIN($L$111:$L$119)) / (MAX($L$111:$L$119) - MIN($L$111:$L$119))</f>
        <v>0.9549689904</v>
      </c>
      <c r="N115" s="32"/>
      <c r="O115" s="84">
        <v>0.275</v>
      </c>
      <c r="P115" s="125">
        <v>1.0</v>
      </c>
      <c r="Q115" s="84">
        <v>0.275</v>
      </c>
      <c r="R115" s="125">
        <v>0.11</v>
      </c>
      <c r="S115" s="84">
        <v>0.223</v>
      </c>
      <c r="T115" s="90">
        <v>0.66</v>
      </c>
      <c r="U115" s="84">
        <v>0.588</v>
      </c>
      <c r="V115" s="125">
        <v>1.0</v>
      </c>
      <c r="W115" s="32"/>
      <c r="X115" s="89">
        <v>0.84</v>
      </c>
      <c r="Y115" s="125">
        <v>0.03</v>
      </c>
      <c r="Z115" s="90">
        <v>2.15</v>
      </c>
      <c r="AA115" s="125">
        <v>0.0</v>
      </c>
      <c r="AB115" s="32"/>
      <c r="AC115" s="89">
        <v>3.06</v>
      </c>
      <c r="AD115" s="125">
        <v>1.0</v>
      </c>
      <c r="AE115" s="89">
        <v>0.0</v>
      </c>
      <c r="AF115" s="125">
        <v>1.0</v>
      </c>
      <c r="AG115" s="89">
        <v>599.0</v>
      </c>
      <c r="AH115" s="125">
        <v>1.0</v>
      </c>
      <c r="AI115" s="32"/>
      <c r="AJ115" s="84">
        <v>0.347</v>
      </c>
      <c r="AK115" s="125">
        <v>1.0</v>
      </c>
      <c r="AL115" s="84">
        <v>0.0343</v>
      </c>
      <c r="AM115" s="125">
        <v>1.0</v>
      </c>
      <c r="AN115" s="32"/>
      <c r="AO115" s="139">
        <f>E115*D108+G115*F108+I115*H108+K115*J108+M115*L108+P115*O108+R115*Q108+T115*S108+V115*U108+Y115*Y108+AA115*AA108+AD115*AD108+AF115*AF108+AH115*AH108+AK115*AK108+AM115*AM108</f>
        <v>0.524796899</v>
      </c>
      <c r="AP115" s="32"/>
      <c r="AQ115" s="32"/>
      <c r="AR115" s="32"/>
      <c r="AS115" s="32"/>
      <c r="AT115" s="32"/>
      <c r="AU115" s="32"/>
      <c r="AV115" s="32"/>
      <c r="AW115" s="32"/>
      <c r="AX115" s="32"/>
      <c r="AY115" s="32"/>
      <c r="AZ115" s="32"/>
      <c r="BA115" s="32"/>
      <c r="BB115" s="32"/>
      <c r="BC115" s="32"/>
      <c r="BD115" s="32"/>
      <c r="BE115" s="32"/>
      <c r="BF115" s="32"/>
      <c r="BG115" s="32"/>
      <c r="BH115" s="32"/>
      <c r="BI115" s="32"/>
      <c r="BJ115" s="32"/>
    </row>
    <row r="116" ht="15.75" customHeight="1">
      <c r="A116" s="32"/>
      <c r="B116" s="56"/>
      <c r="C116" s="32"/>
      <c r="D116" s="56"/>
      <c r="E116" s="102"/>
      <c r="F116" s="56"/>
      <c r="G116" s="102"/>
      <c r="H116" s="56"/>
      <c r="I116" s="102"/>
      <c r="J116" s="56"/>
      <c r="K116" s="102"/>
      <c r="L116" s="32"/>
      <c r="M116" s="102"/>
      <c r="N116" s="32"/>
      <c r="O116" s="56"/>
      <c r="P116" s="102"/>
      <c r="Q116" s="56"/>
      <c r="R116" s="102"/>
      <c r="S116" s="56"/>
      <c r="T116" s="32"/>
      <c r="U116" s="56"/>
      <c r="V116" s="102"/>
      <c r="W116" s="32"/>
      <c r="X116" s="56"/>
      <c r="Y116" s="102"/>
      <c r="Z116" s="32"/>
      <c r="AA116" s="102"/>
      <c r="AB116" s="32"/>
      <c r="AC116" s="56"/>
      <c r="AD116" s="102"/>
      <c r="AE116" s="56"/>
      <c r="AF116" s="102"/>
      <c r="AG116" s="56"/>
      <c r="AH116" s="102"/>
      <c r="AI116" s="32"/>
      <c r="AJ116" s="56"/>
      <c r="AK116" s="102"/>
      <c r="AL116" s="56"/>
      <c r="AM116" s="102"/>
      <c r="AN116" s="32"/>
      <c r="AO116" s="83"/>
      <c r="AP116" s="32"/>
      <c r="AQ116" s="32"/>
      <c r="AR116" s="32"/>
      <c r="AS116" s="32"/>
      <c r="AT116" s="32"/>
      <c r="AU116" s="32"/>
      <c r="AV116" s="32"/>
      <c r="AW116" s="32"/>
      <c r="AX116" s="32"/>
      <c r="AY116" s="32"/>
      <c r="AZ116" s="32"/>
      <c r="BA116" s="32"/>
      <c r="BB116" s="32"/>
      <c r="BC116" s="32"/>
      <c r="BD116" s="32"/>
      <c r="BE116" s="32"/>
      <c r="BF116" s="32"/>
      <c r="BG116" s="32"/>
      <c r="BH116" s="32"/>
      <c r="BI116" s="32"/>
      <c r="BJ116" s="32"/>
    </row>
    <row r="117" ht="15.75" customHeight="1">
      <c r="A117" s="32"/>
      <c r="B117" s="79" t="s">
        <v>216</v>
      </c>
      <c r="C117" s="32"/>
      <c r="D117" s="89">
        <v>63.6</v>
      </c>
      <c r="E117" s="125">
        <v>0.26</v>
      </c>
      <c r="F117" s="89">
        <v>32.0</v>
      </c>
      <c r="G117" s="125">
        <v>0.51</v>
      </c>
      <c r="H117" s="89">
        <v>41.3</v>
      </c>
      <c r="I117" s="125">
        <v>0.26</v>
      </c>
      <c r="J117" s="89">
        <v>6.82</v>
      </c>
      <c r="K117" s="125">
        <v>0.19</v>
      </c>
      <c r="L117" s="90">
        <v>139571.0</v>
      </c>
      <c r="M117" s="125">
        <f>(L117 - MIN($L$111:$L$119)) / (MAX($L$111:$L$119) - MIN($L$111:$L$119))</f>
        <v>0</v>
      </c>
      <c r="N117" s="32"/>
      <c r="O117" s="84">
        <v>0.126</v>
      </c>
      <c r="P117" s="125">
        <v>0.0</v>
      </c>
      <c r="Q117" s="84">
        <v>0.529</v>
      </c>
      <c r="R117" s="125">
        <v>0.52</v>
      </c>
      <c r="S117" s="84">
        <v>0.245</v>
      </c>
      <c r="T117" s="90">
        <v>0.81</v>
      </c>
      <c r="U117" s="84">
        <v>0.401</v>
      </c>
      <c r="V117" s="125">
        <v>0.0</v>
      </c>
      <c r="W117" s="32"/>
      <c r="X117" s="89">
        <v>2.0</v>
      </c>
      <c r="Y117" s="125">
        <v>1.0</v>
      </c>
      <c r="Z117" s="90">
        <v>8.77</v>
      </c>
      <c r="AA117" s="125">
        <v>1.0</v>
      </c>
      <c r="AB117" s="32"/>
      <c r="AC117" s="89">
        <v>1.08</v>
      </c>
      <c r="AD117" s="125">
        <v>0.12</v>
      </c>
      <c r="AE117" s="89">
        <v>0.29</v>
      </c>
      <c r="AF117" s="125">
        <v>0.0</v>
      </c>
      <c r="AG117" s="89">
        <v>22.3</v>
      </c>
      <c r="AH117" s="125">
        <v>0.02</v>
      </c>
      <c r="AI117" s="32"/>
      <c r="AJ117" s="84">
        <v>0.181</v>
      </c>
      <c r="AK117" s="125">
        <v>0.0</v>
      </c>
      <c r="AL117" s="84">
        <v>0.0127</v>
      </c>
      <c r="AM117" s="125">
        <v>0.33</v>
      </c>
      <c r="AN117" s="32"/>
      <c r="AO117" s="112">
        <f>E117*D108+G117*F108+I117*H108+K117*J108+M117*L108+P117*O108+R117*Q108+T117*S108+V117*U108+Y117*Y108+AA117*AA108+AD117*AD108+AF117*AF108+AH117*AH108+AK117*AK108+AM117*AM108</f>
        <v>0.17127</v>
      </c>
      <c r="AP117" s="32"/>
      <c r="AQ117" s="32"/>
      <c r="AR117" s="32"/>
      <c r="AS117" s="32"/>
      <c r="AT117" s="32"/>
      <c r="AU117" s="32"/>
      <c r="AV117" s="32"/>
      <c r="AW117" s="32"/>
      <c r="AX117" s="32"/>
      <c r="AY117" s="32"/>
      <c r="AZ117" s="32"/>
      <c r="BA117" s="32"/>
      <c r="BB117" s="32"/>
      <c r="BC117" s="32"/>
      <c r="BD117" s="32"/>
      <c r="BE117" s="32"/>
      <c r="BF117" s="32"/>
      <c r="BG117" s="32"/>
      <c r="BH117" s="32"/>
      <c r="BI117" s="32"/>
      <c r="BJ117" s="32"/>
    </row>
    <row r="118" ht="15.75" customHeight="1">
      <c r="A118" s="32"/>
      <c r="B118" s="56"/>
      <c r="C118" s="32"/>
      <c r="D118" s="56"/>
      <c r="E118" s="102"/>
      <c r="F118" s="56"/>
      <c r="G118" s="102"/>
      <c r="H118" s="56"/>
      <c r="I118" s="102"/>
      <c r="J118" s="56"/>
      <c r="K118" s="102"/>
      <c r="L118" s="32"/>
      <c r="M118" s="102"/>
      <c r="N118" s="32"/>
      <c r="O118" s="56"/>
      <c r="P118" s="102"/>
      <c r="Q118" s="56"/>
      <c r="R118" s="102"/>
      <c r="S118" s="56"/>
      <c r="T118" s="32"/>
      <c r="U118" s="56"/>
      <c r="V118" s="102"/>
      <c r="W118" s="32"/>
      <c r="X118" s="56"/>
      <c r="Y118" s="102"/>
      <c r="Z118" s="32"/>
      <c r="AA118" s="102"/>
      <c r="AB118" s="32"/>
      <c r="AC118" s="56"/>
      <c r="AD118" s="102"/>
      <c r="AE118" s="56"/>
      <c r="AF118" s="102"/>
      <c r="AG118" s="56"/>
      <c r="AH118" s="102"/>
      <c r="AI118" s="32"/>
      <c r="AJ118" s="56"/>
      <c r="AK118" s="102"/>
      <c r="AL118" s="56"/>
      <c r="AM118" s="102"/>
      <c r="AN118" s="32"/>
      <c r="AO118" s="83"/>
      <c r="AP118" s="32"/>
      <c r="AQ118" s="32"/>
      <c r="AR118" s="32"/>
      <c r="AS118" s="32"/>
      <c r="AT118" s="32"/>
      <c r="AU118" s="32"/>
      <c r="AV118" s="32"/>
      <c r="AW118" s="32"/>
      <c r="AX118" s="32"/>
      <c r="AY118" s="32"/>
      <c r="AZ118" s="32"/>
      <c r="BA118" s="32"/>
      <c r="BB118" s="32"/>
      <c r="BC118" s="32"/>
      <c r="BD118" s="32"/>
      <c r="BE118" s="32"/>
      <c r="BF118" s="32"/>
      <c r="BG118" s="32"/>
      <c r="BH118" s="32"/>
      <c r="BI118" s="32"/>
      <c r="BJ118" s="32"/>
    </row>
    <row r="119" ht="15.75" customHeight="1">
      <c r="A119" s="32"/>
      <c r="B119" s="93" t="s">
        <v>217</v>
      </c>
      <c r="C119" s="94"/>
      <c r="D119" s="95">
        <v>56.1</v>
      </c>
      <c r="E119" s="128">
        <v>0.41</v>
      </c>
      <c r="F119" s="95">
        <v>9.4</v>
      </c>
      <c r="G119" s="128">
        <v>0.96</v>
      </c>
      <c r="H119" s="95">
        <v>30.5</v>
      </c>
      <c r="I119" s="128">
        <v>0.6</v>
      </c>
      <c r="J119" s="95">
        <v>1.35</v>
      </c>
      <c r="K119" s="128">
        <v>1.0</v>
      </c>
      <c r="L119" s="96">
        <v>156109.0</v>
      </c>
      <c r="M119" s="128">
        <f>(L119 - MIN($L$111:$L$119)) / (MAX($L$111:$L$119) - MIN($L$111:$L$119))</f>
        <v>0.04109269088</v>
      </c>
      <c r="N119" s="94"/>
      <c r="O119" s="97">
        <v>0.131</v>
      </c>
      <c r="P119" s="128">
        <v>0.03</v>
      </c>
      <c r="Q119" s="129">
        <v>0.225</v>
      </c>
      <c r="R119" s="128">
        <v>0.04</v>
      </c>
      <c r="S119" s="129">
        <v>0.14</v>
      </c>
      <c r="T119" s="96">
        <v>0.06</v>
      </c>
      <c r="U119" s="97">
        <v>0.546</v>
      </c>
      <c r="V119" s="128">
        <v>0.78</v>
      </c>
      <c r="W119" s="94"/>
      <c r="X119" s="95">
        <v>1.04</v>
      </c>
      <c r="Y119" s="128">
        <v>0.2</v>
      </c>
      <c r="Z119" s="96">
        <v>3.86</v>
      </c>
      <c r="AA119" s="128">
        <v>0.26</v>
      </c>
      <c r="AB119" s="94"/>
      <c r="AC119" s="95">
        <v>1.74</v>
      </c>
      <c r="AD119" s="128">
        <v>0.42</v>
      </c>
      <c r="AE119" s="95">
        <v>0.17</v>
      </c>
      <c r="AF119" s="128">
        <v>0.41</v>
      </c>
      <c r="AG119" s="95">
        <v>10.3</v>
      </c>
      <c r="AH119" s="128">
        <v>0.0</v>
      </c>
      <c r="AI119" s="94"/>
      <c r="AJ119" s="97">
        <v>0.227</v>
      </c>
      <c r="AK119" s="128">
        <v>0.28</v>
      </c>
      <c r="AL119" s="97">
        <v>0.0022</v>
      </c>
      <c r="AM119" s="128">
        <v>0.0</v>
      </c>
      <c r="AN119" s="94"/>
      <c r="AO119" s="117">
        <f>E119*D108+G119*F108+I119*H108+K119*J108+M119*L108+P119*O108+R119*Q108+T119*S108+V119*U108+Y119*Y108+AA119*AA108+AD119*AD108+AF119*AF108+AH119*AH108+AK119*AK108+AM119*AM108</f>
        <v>0.2341492691</v>
      </c>
      <c r="AP119" s="32"/>
      <c r="AQ119" s="32"/>
      <c r="AR119" s="32"/>
      <c r="AS119" s="32"/>
      <c r="AT119" s="32"/>
      <c r="AU119" s="32"/>
      <c r="AV119" s="32"/>
      <c r="AW119" s="32"/>
      <c r="AX119" s="32"/>
      <c r="AY119" s="32"/>
      <c r="AZ119" s="32"/>
      <c r="BA119" s="32"/>
      <c r="BB119" s="32"/>
      <c r="BC119" s="32"/>
      <c r="BD119" s="32"/>
      <c r="BE119" s="32"/>
      <c r="BF119" s="32"/>
      <c r="BG119" s="32"/>
      <c r="BH119" s="32"/>
      <c r="BI119" s="32"/>
      <c r="BJ119" s="32"/>
    </row>
    <row r="120" ht="15.75" customHeight="1">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c r="AA120" s="32"/>
      <c r="AB120" s="32"/>
      <c r="AC120" s="32"/>
      <c r="AD120" s="32"/>
      <c r="AE120" s="32"/>
      <c r="AF120" s="32"/>
      <c r="AG120" s="32"/>
      <c r="AH120" s="32"/>
      <c r="AI120" s="32"/>
      <c r="AJ120" s="32"/>
      <c r="AK120" s="32"/>
      <c r="AL120" s="32"/>
      <c r="AM120" s="32"/>
      <c r="AN120" s="32"/>
      <c r="AO120" s="32"/>
      <c r="AP120" s="32"/>
      <c r="AQ120" s="32"/>
      <c r="AR120" s="32"/>
      <c r="AS120" s="32"/>
      <c r="AT120" s="32"/>
      <c r="AU120" s="32"/>
      <c r="AV120" s="32"/>
      <c r="AW120" s="32"/>
      <c r="AX120" s="32"/>
      <c r="AY120" s="32"/>
      <c r="AZ120" s="32"/>
      <c r="BA120" s="32"/>
      <c r="BB120" s="32"/>
      <c r="BC120" s="32"/>
      <c r="BD120" s="32"/>
      <c r="BE120" s="32"/>
      <c r="BF120" s="32"/>
      <c r="BG120" s="32"/>
      <c r="BH120" s="32"/>
      <c r="BI120" s="32"/>
      <c r="BJ120" s="32"/>
    </row>
    <row r="121" ht="15.75" customHeight="1">
      <c r="A121" s="32"/>
      <c r="B121" s="100"/>
      <c r="C121" s="100"/>
      <c r="D121" s="100"/>
      <c r="E121" s="100"/>
      <c r="F121" s="100"/>
      <c r="G121" s="100"/>
      <c r="H121" s="100"/>
      <c r="I121" s="100"/>
      <c r="J121" s="100"/>
      <c r="K121" s="100"/>
      <c r="L121" s="100"/>
      <c r="M121" s="100"/>
      <c r="N121" s="100"/>
      <c r="O121" s="100"/>
      <c r="P121" s="100"/>
      <c r="Q121" s="100"/>
      <c r="R121" s="100"/>
      <c r="S121" s="100"/>
      <c r="T121" s="100"/>
      <c r="U121" s="100"/>
      <c r="V121" s="100"/>
      <c r="W121" s="100"/>
      <c r="X121" s="100"/>
      <c r="Y121" s="100"/>
      <c r="Z121" s="100"/>
      <c r="AA121" s="100"/>
      <c r="AB121" s="100"/>
      <c r="AC121" s="100"/>
      <c r="AD121" s="100"/>
      <c r="AE121" s="100"/>
      <c r="AF121" s="100"/>
      <c r="AG121" s="100"/>
      <c r="AH121" s="100"/>
      <c r="AI121" s="100"/>
      <c r="AJ121" s="100"/>
      <c r="AK121" s="100"/>
      <c r="AL121" s="100"/>
      <c r="AM121" s="100"/>
      <c r="AN121" s="100"/>
      <c r="AO121" s="100"/>
      <c r="AP121" s="100"/>
      <c r="AQ121" s="32"/>
      <c r="AR121" s="32"/>
      <c r="AS121" s="32"/>
      <c r="AT121" s="32"/>
      <c r="AU121" s="32"/>
      <c r="AV121" s="32"/>
      <c r="AW121" s="32"/>
      <c r="AX121" s="32"/>
      <c r="AY121" s="32"/>
      <c r="AZ121" s="32"/>
      <c r="BA121" s="32"/>
      <c r="BB121" s="32"/>
      <c r="BC121" s="32"/>
      <c r="BD121" s="32"/>
      <c r="BE121" s="32"/>
      <c r="BF121" s="32"/>
      <c r="BG121" s="32"/>
      <c r="BH121" s="32"/>
      <c r="BI121" s="32"/>
      <c r="BJ121" s="32"/>
    </row>
    <row r="122" ht="15.75" customHeight="1">
      <c r="A122" s="32"/>
      <c r="B122" s="100"/>
      <c r="C122" s="100"/>
      <c r="D122" s="100"/>
      <c r="E122" s="100"/>
      <c r="F122" s="100"/>
      <c r="G122" s="100"/>
      <c r="H122" s="100"/>
      <c r="I122" s="100"/>
      <c r="J122" s="100"/>
      <c r="K122" s="100"/>
      <c r="L122" s="100"/>
      <c r="M122" s="100"/>
      <c r="N122" s="100"/>
      <c r="O122" s="100"/>
      <c r="P122" s="100"/>
      <c r="Q122" s="100"/>
      <c r="R122" s="100"/>
      <c r="S122" s="100"/>
      <c r="T122" s="100"/>
      <c r="U122" s="100"/>
      <c r="V122" s="100"/>
      <c r="W122" s="100"/>
      <c r="X122" s="100"/>
      <c r="Y122" s="100"/>
      <c r="Z122" s="100"/>
      <c r="AA122" s="100"/>
      <c r="AB122" s="100"/>
      <c r="AC122" s="100"/>
      <c r="AD122" s="100"/>
      <c r="AE122" s="100"/>
      <c r="AF122" s="100"/>
      <c r="AG122" s="100"/>
      <c r="AH122" s="100"/>
      <c r="AI122" s="100"/>
      <c r="AJ122" s="100"/>
      <c r="AK122" s="100"/>
      <c r="AL122" s="100"/>
      <c r="AM122" s="100"/>
      <c r="AN122" s="100"/>
      <c r="AO122" s="100"/>
      <c r="AP122" s="100"/>
      <c r="AQ122" s="32"/>
      <c r="AR122" s="32"/>
      <c r="AS122" s="32"/>
      <c r="AT122" s="32"/>
      <c r="AU122" s="32"/>
      <c r="AV122" s="32"/>
      <c r="AW122" s="32"/>
      <c r="AX122" s="32"/>
      <c r="AY122" s="32"/>
      <c r="AZ122" s="32"/>
      <c r="BA122" s="32"/>
      <c r="BB122" s="32"/>
      <c r="BC122" s="32"/>
      <c r="BD122" s="32"/>
      <c r="BE122" s="32"/>
      <c r="BF122" s="32"/>
      <c r="BG122" s="32"/>
      <c r="BH122" s="32"/>
      <c r="BI122" s="32"/>
      <c r="BJ122" s="32"/>
    </row>
    <row r="123" ht="15.75" customHeight="1">
      <c r="A123" s="32"/>
      <c r="B123" s="32"/>
      <c r="C123" s="32"/>
      <c r="D123" s="32"/>
      <c r="E123" s="32"/>
      <c r="F123" s="32"/>
      <c r="G123" s="32"/>
      <c r="H123" s="32"/>
      <c r="I123" s="32"/>
      <c r="J123" s="32"/>
      <c r="K123" s="32"/>
      <c r="L123" s="32"/>
      <c r="M123" s="32"/>
      <c r="N123" s="32"/>
      <c r="O123" s="32"/>
      <c r="P123" s="32"/>
      <c r="Q123" s="32"/>
      <c r="R123" s="32"/>
      <c r="S123" s="32"/>
      <c r="T123" s="39"/>
      <c r="U123" s="39"/>
      <c r="V123" s="39"/>
      <c r="W123" s="39"/>
      <c r="X123" s="39"/>
      <c r="Y123" s="39"/>
      <c r="Z123" s="39"/>
      <c r="AA123" s="39"/>
      <c r="AB123" s="39"/>
      <c r="AC123" s="39"/>
      <c r="AD123" s="39"/>
      <c r="AE123" s="39"/>
      <c r="AF123" s="39"/>
      <c r="AG123" s="39"/>
      <c r="AH123" s="39"/>
      <c r="AI123" s="39"/>
      <c r="AJ123" s="39"/>
      <c r="AK123" s="39"/>
      <c r="AL123" s="39"/>
      <c r="AM123" s="39"/>
      <c r="AN123" s="39"/>
      <c r="AO123" s="39"/>
      <c r="AP123" s="39"/>
      <c r="AQ123" s="32"/>
      <c r="AR123" s="32"/>
      <c r="AS123" s="32"/>
      <c r="AT123" s="32"/>
      <c r="AU123" s="32"/>
      <c r="AV123" s="32"/>
      <c r="AW123" s="32"/>
      <c r="AX123" s="32"/>
      <c r="AY123" s="32"/>
      <c r="AZ123" s="32"/>
      <c r="BA123" s="32"/>
      <c r="BB123" s="32"/>
      <c r="BC123" s="32"/>
      <c r="BD123" s="32"/>
      <c r="BE123" s="32"/>
      <c r="BF123" s="32"/>
      <c r="BG123" s="32"/>
      <c r="BH123" s="32"/>
      <c r="BI123" s="32"/>
      <c r="BJ123" s="32"/>
    </row>
    <row r="124" ht="15.75" customHeight="1">
      <c r="A124" s="32"/>
      <c r="B124" s="32"/>
      <c r="C124" s="32"/>
      <c r="D124" s="32"/>
      <c r="E124" s="32"/>
      <c r="F124" s="32"/>
      <c r="G124" s="32"/>
      <c r="H124" s="32"/>
      <c r="I124" s="32"/>
      <c r="J124" s="32"/>
      <c r="K124" s="32"/>
      <c r="L124" s="32"/>
      <c r="M124" s="32"/>
      <c r="N124" s="32"/>
      <c r="O124" s="32"/>
      <c r="P124" s="32"/>
      <c r="Q124" s="32"/>
      <c r="R124" s="32"/>
      <c r="S124" s="32"/>
      <c r="T124" s="39"/>
      <c r="U124" s="39"/>
      <c r="V124" s="39"/>
      <c r="W124" s="39"/>
      <c r="X124" s="39"/>
      <c r="Y124" s="39"/>
      <c r="Z124" s="39"/>
      <c r="AA124" s="39"/>
      <c r="AB124" s="39"/>
      <c r="AC124" s="39"/>
      <c r="AD124" s="39"/>
      <c r="AE124" s="39"/>
      <c r="AF124" s="39"/>
      <c r="AG124" s="39"/>
      <c r="AH124" s="39"/>
      <c r="AI124" s="39"/>
      <c r="AJ124" s="39"/>
      <c r="AK124" s="39"/>
      <c r="AL124" s="39"/>
      <c r="AM124" s="39"/>
      <c r="AN124" s="39"/>
      <c r="AO124" s="39"/>
      <c r="AP124" s="39"/>
      <c r="AQ124" s="32"/>
      <c r="AR124" s="32"/>
      <c r="AS124" s="32"/>
      <c r="AT124" s="32"/>
      <c r="AU124" s="32"/>
      <c r="AV124" s="32"/>
      <c r="AW124" s="32"/>
      <c r="AX124" s="32"/>
      <c r="AY124" s="32"/>
      <c r="AZ124" s="32"/>
      <c r="BA124" s="32"/>
      <c r="BB124" s="32"/>
      <c r="BC124" s="32"/>
      <c r="BD124" s="32"/>
      <c r="BE124" s="32"/>
      <c r="BF124" s="32"/>
      <c r="BG124" s="32"/>
      <c r="BH124" s="32"/>
      <c r="BI124" s="32"/>
      <c r="BJ124" s="32"/>
    </row>
    <row r="125" ht="15.75" customHeight="1">
      <c r="A125" s="32"/>
      <c r="B125" s="32"/>
      <c r="C125" s="32"/>
      <c r="D125" s="32"/>
      <c r="E125" s="32"/>
      <c r="F125" s="32"/>
      <c r="G125" s="32"/>
      <c r="H125" s="32"/>
      <c r="I125" s="32"/>
      <c r="J125" s="32"/>
      <c r="K125" s="32"/>
      <c r="L125" s="32"/>
      <c r="M125" s="32"/>
      <c r="N125" s="32"/>
      <c r="O125" s="32"/>
      <c r="P125" s="32"/>
      <c r="Q125" s="32"/>
      <c r="R125" s="32"/>
      <c r="S125" s="32"/>
      <c r="T125" s="39"/>
      <c r="U125" s="39"/>
      <c r="V125" s="39"/>
      <c r="W125" s="39"/>
      <c r="X125" s="39"/>
      <c r="Y125" s="39"/>
      <c r="Z125" s="39"/>
      <c r="AA125" s="39"/>
      <c r="AB125" s="39"/>
      <c r="AC125" s="39"/>
      <c r="AD125" s="39"/>
      <c r="AE125" s="39"/>
      <c r="AF125" s="39"/>
      <c r="AG125" s="39"/>
      <c r="AH125" s="39"/>
      <c r="AI125" s="39"/>
      <c r="AJ125" s="39"/>
      <c r="AK125" s="39"/>
      <c r="AL125" s="39"/>
      <c r="AM125" s="39"/>
      <c r="AN125" s="39"/>
      <c r="AO125" s="39"/>
      <c r="AP125" s="39"/>
      <c r="AQ125" s="32"/>
      <c r="AR125" s="32"/>
      <c r="AS125" s="32"/>
      <c r="AT125" s="32"/>
      <c r="AU125" s="32"/>
      <c r="AV125" s="32"/>
      <c r="AW125" s="32"/>
      <c r="AX125" s="32"/>
      <c r="AY125" s="32"/>
      <c r="AZ125" s="32"/>
      <c r="BA125" s="32"/>
      <c r="BB125" s="32"/>
      <c r="BC125" s="32"/>
      <c r="BD125" s="32"/>
      <c r="BE125" s="32"/>
      <c r="BF125" s="32"/>
      <c r="BG125" s="32"/>
      <c r="BH125" s="32"/>
      <c r="BI125" s="32"/>
      <c r="BJ125" s="32"/>
    </row>
    <row r="126" ht="15.75" customHeight="1">
      <c r="A126" s="32"/>
      <c r="B126" s="32"/>
      <c r="C126" s="32"/>
      <c r="D126" s="32"/>
      <c r="E126" s="32"/>
      <c r="F126" s="32"/>
      <c r="G126" s="32"/>
      <c r="H126" s="32"/>
      <c r="I126" s="32"/>
      <c r="J126" s="32"/>
      <c r="K126" s="32"/>
      <c r="L126" s="32"/>
      <c r="M126" s="32"/>
      <c r="N126" s="32"/>
      <c r="O126" s="32"/>
      <c r="P126" s="32"/>
      <c r="Q126" s="32"/>
      <c r="R126" s="32"/>
      <c r="S126" s="32"/>
      <c r="T126" s="39"/>
      <c r="U126" s="39"/>
      <c r="V126" s="39"/>
      <c r="W126" s="39"/>
      <c r="X126" s="39"/>
      <c r="Y126" s="39"/>
      <c r="Z126" s="39"/>
      <c r="AA126" s="39"/>
      <c r="AB126" s="39"/>
      <c r="AC126" s="39"/>
      <c r="AD126" s="39"/>
      <c r="AE126" s="39"/>
      <c r="AF126" s="39"/>
      <c r="AG126" s="39"/>
      <c r="AH126" s="39"/>
      <c r="AI126" s="39"/>
      <c r="AJ126" s="39"/>
      <c r="AK126" s="39"/>
      <c r="AL126" s="39"/>
      <c r="AM126" s="39"/>
      <c r="AN126" s="39"/>
      <c r="AO126" s="39"/>
      <c r="AP126" s="39"/>
      <c r="AQ126" s="32"/>
      <c r="AR126" s="32"/>
      <c r="AS126" s="32"/>
      <c r="AT126" s="32"/>
      <c r="AU126" s="32"/>
      <c r="AV126" s="32"/>
      <c r="AW126" s="32"/>
      <c r="AX126" s="32"/>
      <c r="AY126" s="32"/>
      <c r="AZ126" s="32"/>
      <c r="BA126" s="32"/>
      <c r="BB126" s="32"/>
      <c r="BC126" s="32"/>
      <c r="BD126" s="32"/>
      <c r="BE126" s="32"/>
      <c r="BF126" s="32"/>
      <c r="BG126" s="32"/>
      <c r="BH126" s="32"/>
      <c r="BI126" s="32"/>
      <c r="BJ126" s="32"/>
    </row>
    <row r="127" ht="15.75" customHeight="1">
      <c r="A127" s="32"/>
      <c r="B127" s="32"/>
      <c r="C127" s="32"/>
      <c r="D127" s="32"/>
      <c r="E127" s="32"/>
      <c r="F127" s="32"/>
      <c r="G127" s="32"/>
      <c r="H127" s="32"/>
      <c r="I127" s="32"/>
      <c r="J127" s="32"/>
      <c r="K127" s="32"/>
      <c r="L127" s="32"/>
      <c r="M127" s="32"/>
      <c r="N127" s="32"/>
      <c r="O127" s="32"/>
      <c r="P127" s="32"/>
      <c r="Q127" s="32"/>
      <c r="R127" s="32"/>
      <c r="S127" s="32"/>
      <c r="T127" s="39"/>
      <c r="U127" s="39"/>
      <c r="V127" s="39"/>
      <c r="W127" s="39"/>
      <c r="X127" s="39"/>
      <c r="Y127" s="39"/>
      <c r="Z127" s="39"/>
      <c r="AA127" s="39"/>
      <c r="AB127" s="39"/>
      <c r="AC127" s="39"/>
      <c r="AD127" s="39"/>
      <c r="AE127" s="39"/>
      <c r="AF127" s="39"/>
      <c r="AG127" s="39"/>
      <c r="AH127" s="39"/>
      <c r="AI127" s="39"/>
      <c r="AJ127" s="39"/>
      <c r="AK127" s="39"/>
      <c r="AL127" s="39"/>
      <c r="AM127" s="39"/>
      <c r="AN127" s="39"/>
      <c r="AO127" s="39"/>
      <c r="AP127" s="39"/>
      <c r="AQ127" s="32"/>
      <c r="AR127" s="32"/>
      <c r="AS127" s="32"/>
      <c r="AT127" s="32"/>
      <c r="AU127" s="32"/>
      <c r="AV127" s="32"/>
      <c r="AW127" s="32"/>
      <c r="AX127" s="32"/>
      <c r="AY127" s="32"/>
      <c r="AZ127" s="32"/>
      <c r="BA127" s="32"/>
      <c r="BB127" s="32"/>
      <c r="BC127" s="32"/>
      <c r="BD127" s="32"/>
      <c r="BE127" s="32"/>
      <c r="BF127" s="32"/>
      <c r="BG127" s="32"/>
      <c r="BH127" s="32"/>
      <c r="BI127" s="32"/>
      <c r="BJ127" s="32"/>
    </row>
    <row r="128" ht="15.75" customHeight="1">
      <c r="A128" s="32"/>
      <c r="B128" s="32"/>
      <c r="C128" s="32"/>
      <c r="D128" s="32"/>
      <c r="E128" s="32"/>
      <c r="F128" s="32"/>
      <c r="G128" s="32"/>
      <c r="H128" s="32"/>
      <c r="I128" s="32"/>
      <c r="J128" s="32"/>
      <c r="K128" s="32"/>
      <c r="L128" s="32"/>
      <c r="M128" s="32"/>
      <c r="N128" s="32"/>
      <c r="O128" s="32"/>
      <c r="P128" s="32"/>
      <c r="Q128" s="32"/>
      <c r="R128" s="32"/>
      <c r="S128" s="32"/>
      <c r="T128" s="39"/>
      <c r="U128" s="39"/>
      <c r="V128" s="39"/>
      <c r="W128" s="39"/>
      <c r="X128" s="39"/>
      <c r="Y128" s="39"/>
      <c r="Z128" s="39"/>
      <c r="AA128" s="39"/>
      <c r="AB128" s="39"/>
      <c r="AC128" s="39"/>
      <c r="AD128" s="39"/>
      <c r="AE128" s="39"/>
      <c r="AF128" s="39"/>
      <c r="AG128" s="39"/>
      <c r="AH128" s="39"/>
      <c r="AI128" s="39"/>
      <c r="AJ128" s="39"/>
      <c r="AK128" s="39"/>
      <c r="AL128" s="39"/>
      <c r="AM128" s="39"/>
      <c r="AN128" s="39"/>
      <c r="AO128" s="39"/>
      <c r="AP128" s="39"/>
      <c r="AQ128" s="32"/>
      <c r="AR128" s="32"/>
      <c r="AS128" s="32"/>
      <c r="AT128" s="32"/>
      <c r="AU128" s="32"/>
      <c r="AV128" s="32"/>
      <c r="AW128" s="32"/>
      <c r="AX128" s="32"/>
      <c r="AY128" s="32"/>
      <c r="AZ128" s="32"/>
      <c r="BA128" s="32"/>
      <c r="BB128" s="32"/>
      <c r="BC128" s="32"/>
      <c r="BD128" s="32"/>
      <c r="BE128" s="32"/>
      <c r="BF128" s="32"/>
      <c r="BG128" s="32"/>
      <c r="BH128" s="32"/>
      <c r="BI128" s="32"/>
      <c r="BJ128" s="32"/>
    </row>
    <row r="129" ht="15.75" customHeight="1">
      <c r="A129" s="32"/>
      <c r="B129" s="32"/>
      <c r="C129" s="32"/>
      <c r="D129" s="32"/>
      <c r="E129" s="32"/>
      <c r="F129" s="32"/>
      <c r="G129" s="32"/>
      <c r="H129" s="32"/>
      <c r="I129" s="32"/>
      <c r="J129" s="32"/>
      <c r="K129" s="32"/>
      <c r="L129" s="32"/>
      <c r="M129" s="32"/>
      <c r="N129" s="32"/>
      <c r="O129" s="32"/>
      <c r="P129" s="32"/>
      <c r="Q129" s="32"/>
      <c r="R129" s="32"/>
      <c r="S129" s="32"/>
      <c r="T129" s="39"/>
      <c r="U129" s="39"/>
      <c r="V129" s="39"/>
      <c r="W129" s="39"/>
      <c r="X129" s="39"/>
      <c r="Y129" s="39"/>
      <c r="Z129" s="39"/>
      <c r="AA129" s="39"/>
      <c r="AB129" s="39"/>
      <c r="AC129" s="39"/>
      <c r="AD129" s="39"/>
      <c r="AE129" s="39"/>
      <c r="AF129" s="39"/>
      <c r="AG129" s="39"/>
      <c r="AH129" s="39"/>
      <c r="AI129" s="39"/>
      <c r="AJ129" s="39"/>
      <c r="AK129" s="39"/>
      <c r="AL129" s="39"/>
      <c r="AM129" s="39"/>
      <c r="AN129" s="39"/>
      <c r="AO129" s="39"/>
      <c r="AP129" s="39"/>
      <c r="AQ129" s="32"/>
      <c r="AR129" s="32"/>
      <c r="AS129" s="32"/>
      <c r="AT129" s="32"/>
      <c r="AU129" s="32"/>
      <c r="AV129" s="32"/>
      <c r="AW129" s="32"/>
      <c r="AX129" s="32"/>
      <c r="AY129" s="32"/>
      <c r="AZ129" s="32"/>
      <c r="BA129" s="32"/>
      <c r="BB129" s="32"/>
      <c r="BC129" s="32"/>
      <c r="BD129" s="32"/>
      <c r="BE129" s="32"/>
      <c r="BF129" s="32"/>
      <c r="BG129" s="32"/>
      <c r="BH129" s="32"/>
      <c r="BI129" s="32"/>
      <c r="BJ129" s="32"/>
    </row>
    <row r="130" ht="15.75" customHeight="1">
      <c r="A130" s="32"/>
      <c r="B130" s="32"/>
      <c r="C130" s="32"/>
      <c r="D130" s="32"/>
      <c r="E130" s="32"/>
      <c r="F130" s="32"/>
      <c r="G130" s="32"/>
      <c r="H130" s="32"/>
      <c r="I130" s="32"/>
      <c r="J130" s="32"/>
      <c r="K130" s="32"/>
      <c r="L130" s="32"/>
      <c r="M130" s="32"/>
      <c r="N130" s="32"/>
      <c r="O130" s="32"/>
      <c r="P130" s="32"/>
      <c r="Q130" s="32"/>
      <c r="R130" s="32"/>
      <c r="S130" s="32"/>
      <c r="T130" s="39"/>
      <c r="U130" s="39"/>
      <c r="V130" s="39"/>
      <c r="W130" s="39"/>
      <c r="X130" s="39"/>
      <c r="Y130" s="39"/>
      <c r="Z130" s="39"/>
      <c r="AA130" s="39"/>
      <c r="AB130" s="39"/>
      <c r="AC130" s="39"/>
      <c r="AD130" s="39"/>
      <c r="AE130" s="39"/>
      <c r="AF130" s="39"/>
      <c r="AG130" s="39"/>
      <c r="AH130" s="39"/>
      <c r="AI130" s="39"/>
      <c r="AJ130" s="39"/>
      <c r="AK130" s="39"/>
      <c r="AL130" s="39"/>
      <c r="AM130" s="39"/>
      <c r="AN130" s="39"/>
      <c r="AO130" s="39"/>
      <c r="AP130" s="39"/>
      <c r="AQ130" s="32"/>
      <c r="AR130" s="32"/>
      <c r="AS130" s="32"/>
      <c r="AT130" s="32"/>
      <c r="AU130" s="32"/>
      <c r="AV130" s="32"/>
      <c r="AW130" s="32"/>
      <c r="AX130" s="32"/>
      <c r="AY130" s="32"/>
      <c r="AZ130" s="32"/>
      <c r="BA130" s="32"/>
      <c r="BB130" s="32"/>
      <c r="BC130" s="32"/>
      <c r="BD130" s="32"/>
      <c r="BE130" s="32"/>
      <c r="BF130" s="32"/>
      <c r="BG130" s="32"/>
      <c r="BH130" s="32"/>
      <c r="BI130" s="32"/>
      <c r="BJ130" s="32"/>
    </row>
    <row r="131" ht="15.75" customHeight="1">
      <c r="A131" s="32"/>
      <c r="B131" s="32"/>
      <c r="C131" s="32"/>
      <c r="D131" s="32"/>
      <c r="E131" s="32"/>
      <c r="F131" s="32"/>
      <c r="G131" s="32"/>
      <c r="H131" s="32"/>
      <c r="I131" s="32"/>
      <c r="J131" s="32"/>
      <c r="K131" s="32"/>
      <c r="L131" s="32"/>
      <c r="M131" s="32"/>
      <c r="N131" s="32"/>
      <c r="O131" s="32"/>
      <c r="P131" s="32"/>
      <c r="Q131" s="32"/>
      <c r="R131" s="32"/>
      <c r="S131" s="32"/>
      <c r="T131" s="39"/>
      <c r="U131" s="39"/>
      <c r="V131" s="39"/>
      <c r="W131" s="39"/>
      <c r="X131" s="39"/>
      <c r="Y131" s="39"/>
      <c r="Z131" s="39"/>
      <c r="AA131" s="39"/>
      <c r="AB131" s="39"/>
      <c r="AC131" s="39"/>
      <c r="AD131" s="39"/>
      <c r="AE131" s="39"/>
      <c r="AF131" s="39"/>
      <c r="AG131" s="39"/>
      <c r="AH131" s="39"/>
      <c r="AI131" s="39"/>
      <c r="AJ131" s="39"/>
      <c r="AK131" s="39"/>
      <c r="AL131" s="39"/>
      <c r="AM131" s="39"/>
      <c r="AN131" s="39"/>
      <c r="AO131" s="39"/>
      <c r="AP131" s="39"/>
      <c r="AQ131" s="32"/>
      <c r="AR131" s="32"/>
      <c r="AS131" s="32"/>
      <c r="AT131" s="32"/>
      <c r="AU131" s="32"/>
      <c r="AV131" s="32"/>
      <c r="AW131" s="32"/>
      <c r="AX131" s="32"/>
      <c r="AY131" s="32"/>
      <c r="AZ131" s="32"/>
      <c r="BA131" s="32"/>
      <c r="BB131" s="32"/>
      <c r="BC131" s="32"/>
      <c r="BD131" s="32"/>
      <c r="BE131" s="32"/>
      <c r="BF131" s="32"/>
      <c r="BG131" s="32"/>
      <c r="BH131" s="32"/>
      <c r="BI131" s="32"/>
      <c r="BJ131" s="32"/>
    </row>
    <row r="132" ht="15.75" customHeight="1">
      <c r="A132" s="32"/>
      <c r="B132" s="32"/>
      <c r="C132" s="32"/>
      <c r="D132" s="32"/>
      <c r="E132" s="32"/>
      <c r="F132" s="32"/>
      <c r="G132" s="32"/>
      <c r="H132" s="32"/>
      <c r="I132" s="32"/>
      <c r="J132" s="32"/>
      <c r="K132" s="32"/>
      <c r="L132" s="32"/>
      <c r="M132" s="32"/>
      <c r="N132" s="32"/>
      <c r="O132" s="32"/>
      <c r="P132" s="32"/>
      <c r="Q132" s="32"/>
      <c r="R132" s="32"/>
      <c r="S132" s="32"/>
      <c r="T132" s="39"/>
      <c r="U132" s="39"/>
      <c r="V132" s="39"/>
      <c r="W132" s="39"/>
      <c r="X132" s="39"/>
      <c r="Y132" s="39"/>
      <c r="Z132" s="39"/>
      <c r="AA132" s="39"/>
      <c r="AB132" s="39"/>
      <c r="AC132" s="39"/>
      <c r="AD132" s="39"/>
      <c r="AE132" s="39"/>
      <c r="AF132" s="39"/>
      <c r="AG132" s="39"/>
      <c r="AH132" s="39"/>
      <c r="AI132" s="39"/>
      <c r="AJ132" s="39"/>
      <c r="AK132" s="39"/>
      <c r="AL132" s="39"/>
      <c r="AM132" s="39"/>
      <c r="AN132" s="39"/>
      <c r="AO132" s="39"/>
      <c r="AP132" s="39"/>
      <c r="AQ132" s="32"/>
      <c r="AR132" s="32"/>
      <c r="AS132" s="32"/>
      <c r="AT132" s="32"/>
      <c r="AU132" s="32"/>
      <c r="AV132" s="32"/>
      <c r="AW132" s="32"/>
      <c r="AX132" s="32"/>
      <c r="AY132" s="32"/>
      <c r="AZ132" s="32"/>
      <c r="BA132" s="32"/>
      <c r="BB132" s="32"/>
      <c r="BC132" s="32"/>
      <c r="BD132" s="32"/>
      <c r="BE132" s="32"/>
      <c r="BF132" s="32"/>
      <c r="BG132" s="32"/>
      <c r="BH132" s="32"/>
      <c r="BI132" s="32"/>
      <c r="BJ132" s="32"/>
    </row>
    <row r="133" ht="15.75" customHeight="1">
      <c r="A133" s="32"/>
      <c r="B133" s="32"/>
      <c r="C133" s="32"/>
      <c r="D133" s="32"/>
      <c r="E133" s="32"/>
      <c r="F133" s="32"/>
      <c r="G133" s="32"/>
      <c r="H133" s="32"/>
      <c r="I133" s="32"/>
      <c r="J133" s="32"/>
      <c r="K133" s="32"/>
      <c r="L133" s="32"/>
      <c r="M133" s="32"/>
      <c r="N133" s="32"/>
      <c r="O133" s="32"/>
      <c r="P133" s="32"/>
      <c r="Q133" s="32"/>
      <c r="R133" s="32"/>
      <c r="S133" s="32"/>
      <c r="T133" s="39"/>
      <c r="U133" s="39"/>
      <c r="V133" s="39"/>
      <c r="W133" s="39"/>
      <c r="X133" s="39"/>
      <c r="Y133" s="39"/>
      <c r="Z133" s="39"/>
      <c r="AA133" s="39"/>
      <c r="AB133" s="39"/>
      <c r="AC133" s="39"/>
      <c r="AD133" s="39"/>
      <c r="AE133" s="39"/>
      <c r="AF133" s="39"/>
      <c r="AG133" s="39"/>
      <c r="AH133" s="39"/>
      <c r="AI133" s="39"/>
      <c r="AJ133" s="39"/>
      <c r="AK133" s="39"/>
      <c r="AL133" s="39"/>
      <c r="AM133" s="39"/>
      <c r="AN133" s="39"/>
      <c r="AO133" s="39"/>
      <c r="AP133" s="39"/>
      <c r="AQ133" s="32"/>
      <c r="AR133" s="32"/>
      <c r="AS133" s="32"/>
      <c r="AT133" s="32"/>
      <c r="AU133" s="32"/>
      <c r="AV133" s="32"/>
      <c r="AW133" s="32"/>
      <c r="AX133" s="32"/>
      <c r="AY133" s="32"/>
      <c r="AZ133" s="32"/>
      <c r="BA133" s="32"/>
      <c r="BB133" s="32"/>
      <c r="BC133" s="32"/>
      <c r="BD133" s="32"/>
      <c r="BE133" s="32"/>
      <c r="BF133" s="32"/>
      <c r="BG133" s="32"/>
      <c r="BH133" s="32"/>
      <c r="BI133" s="32"/>
      <c r="BJ133" s="32"/>
    </row>
    <row r="134" ht="15.75" customHeight="1">
      <c r="A134" s="32"/>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c r="AA134" s="39"/>
      <c r="AB134" s="39"/>
      <c r="AC134" s="39"/>
      <c r="AD134" s="39"/>
      <c r="AE134" s="39"/>
      <c r="AF134" s="39"/>
      <c r="AG134" s="39"/>
      <c r="AH134" s="39"/>
      <c r="AI134" s="39"/>
      <c r="AJ134" s="39"/>
      <c r="AK134" s="39"/>
      <c r="AL134" s="39"/>
      <c r="AM134" s="39"/>
      <c r="AN134" s="39"/>
      <c r="AO134" s="39"/>
      <c r="AP134" s="39"/>
      <c r="AQ134" s="32"/>
      <c r="AR134" s="32"/>
      <c r="AS134" s="32"/>
      <c r="AT134" s="32"/>
      <c r="AU134" s="32"/>
      <c r="AV134" s="32"/>
      <c r="AW134" s="32"/>
      <c r="AX134" s="32"/>
      <c r="AY134" s="32"/>
      <c r="AZ134" s="32"/>
      <c r="BA134" s="32"/>
      <c r="BB134" s="32"/>
      <c r="BC134" s="32"/>
      <c r="BD134" s="32"/>
      <c r="BE134" s="32"/>
      <c r="BF134" s="32"/>
      <c r="BG134" s="32"/>
      <c r="BH134" s="32"/>
      <c r="BI134" s="32"/>
      <c r="BJ134" s="32"/>
    </row>
    <row r="135" ht="15.75" customHeight="1">
      <c r="A135" s="32"/>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c r="AB135" s="39"/>
      <c r="AC135" s="39"/>
      <c r="AD135" s="39"/>
      <c r="AE135" s="39"/>
      <c r="AF135" s="39"/>
      <c r="AG135" s="39"/>
      <c r="AH135" s="39"/>
      <c r="AI135" s="39"/>
      <c r="AJ135" s="39"/>
      <c r="AK135" s="39"/>
      <c r="AL135" s="39"/>
      <c r="AM135" s="39"/>
      <c r="AN135" s="39"/>
      <c r="AO135" s="39"/>
      <c r="AP135" s="39"/>
      <c r="AQ135" s="32"/>
      <c r="AR135" s="32"/>
      <c r="AS135" s="32"/>
      <c r="AT135" s="32"/>
      <c r="AU135" s="32"/>
      <c r="AV135" s="32"/>
      <c r="AW135" s="32"/>
      <c r="AX135" s="32"/>
      <c r="AY135" s="32"/>
      <c r="AZ135" s="32"/>
      <c r="BA135" s="32"/>
      <c r="BB135" s="32"/>
      <c r="BC135" s="32"/>
      <c r="BD135" s="32"/>
      <c r="BE135" s="32"/>
      <c r="BF135" s="32"/>
      <c r="BG135" s="32"/>
      <c r="BH135" s="32"/>
      <c r="BI135" s="32"/>
      <c r="BJ135" s="32"/>
    </row>
    <row r="136" ht="15.75" customHeight="1">
      <c r="A136" s="32"/>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c r="AA136" s="39"/>
      <c r="AB136" s="39"/>
      <c r="AC136" s="39"/>
      <c r="AD136" s="39"/>
      <c r="AE136" s="39"/>
      <c r="AF136" s="39"/>
      <c r="AG136" s="39"/>
      <c r="AH136" s="39"/>
      <c r="AI136" s="39"/>
      <c r="AJ136" s="39"/>
      <c r="AK136" s="39"/>
      <c r="AL136" s="39"/>
      <c r="AM136" s="39"/>
      <c r="AN136" s="39"/>
      <c r="AO136" s="39"/>
      <c r="AP136" s="39"/>
      <c r="AQ136" s="32"/>
      <c r="AR136" s="32"/>
      <c r="AS136" s="32"/>
      <c r="AT136" s="32"/>
      <c r="AU136" s="32"/>
      <c r="AV136" s="32"/>
      <c r="AW136" s="32"/>
      <c r="AX136" s="32"/>
      <c r="AY136" s="32"/>
      <c r="AZ136" s="32"/>
      <c r="BA136" s="32"/>
      <c r="BB136" s="32"/>
      <c r="BC136" s="32"/>
      <c r="BD136" s="32"/>
      <c r="BE136" s="32"/>
      <c r="BF136" s="32"/>
      <c r="BG136" s="32"/>
      <c r="BH136" s="32"/>
      <c r="BI136" s="32"/>
      <c r="BJ136" s="32"/>
    </row>
    <row r="137" ht="15.75" customHeight="1">
      <c r="A137" s="32"/>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c r="AG137" s="39"/>
      <c r="AH137" s="39"/>
      <c r="AI137" s="39"/>
      <c r="AJ137" s="39"/>
      <c r="AK137" s="39"/>
      <c r="AL137" s="39"/>
      <c r="AM137" s="39"/>
      <c r="AN137" s="39"/>
      <c r="AO137" s="39"/>
      <c r="AP137" s="39"/>
      <c r="AQ137" s="32"/>
      <c r="AR137" s="32"/>
      <c r="AS137" s="32"/>
      <c r="AT137" s="32"/>
      <c r="AU137" s="32"/>
      <c r="AV137" s="32"/>
      <c r="AW137" s="32"/>
      <c r="AX137" s="32"/>
      <c r="AY137" s="32"/>
      <c r="AZ137" s="32"/>
      <c r="BA137" s="32"/>
      <c r="BB137" s="32"/>
      <c r="BC137" s="32"/>
      <c r="BD137" s="32"/>
      <c r="BE137" s="32"/>
      <c r="BF137" s="32"/>
      <c r="BG137" s="32"/>
      <c r="BH137" s="32"/>
      <c r="BI137" s="32"/>
      <c r="BJ137" s="32"/>
    </row>
    <row r="138" ht="15.75" customHeight="1">
      <c r="A138" s="32"/>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c r="AA138" s="39"/>
      <c r="AB138" s="39"/>
      <c r="AC138" s="39"/>
      <c r="AD138" s="39"/>
      <c r="AE138" s="39"/>
      <c r="AF138" s="39"/>
      <c r="AG138" s="39"/>
      <c r="AH138" s="39"/>
      <c r="AI138" s="39"/>
      <c r="AJ138" s="39"/>
      <c r="AK138" s="39"/>
      <c r="AL138" s="39"/>
      <c r="AM138" s="39"/>
      <c r="AN138" s="39"/>
      <c r="AO138" s="39"/>
      <c r="AP138" s="39"/>
      <c r="AQ138" s="32"/>
      <c r="AR138" s="32"/>
      <c r="AS138" s="32"/>
      <c r="AT138" s="32"/>
      <c r="AU138" s="32"/>
      <c r="AV138" s="32"/>
      <c r="AW138" s="32"/>
      <c r="AX138" s="32"/>
      <c r="AY138" s="32"/>
      <c r="AZ138" s="32"/>
      <c r="BA138" s="32"/>
      <c r="BB138" s="32"/>
      <c r="BC138" s="32"/>
      <c r="BD138" s="32"/>
      <c r="BE138" s="32"/>
      <c r="BF138" s="32"/>
      <c r="BG138" s="32"/>
      <c r="BH138" s="32"/>
      <c r="BI138" s="32"/>
      <c r="BJ138" s="32"/>
    </row>
    <row r="139" ht="15.75" customHeight="1">
      <c r="A139" s="32"/>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c r="AA139" s="39"/>
      <c r="AB139" s="39"/>
      <c r="AC139" s="39"/>
      <c r="AD139" s="39"/>
      <c r="AE139" s="39"/>
      <c r="AF139" s="39"/>
      <c r="AG139" s="39"/>
      <c r="AH139" s="39"/>
      <c r="AI139" s="39"/>
      <c r="AJ139" s="39"/>
      <c r="AK139" s="39"/>
      <c r="AL139" s="39"/>
      <c r="AM139" s="39"/>
      <c r="AN139" s="39"/>
      <c r="AO139" s="39"/>
      <c r="AP139" s="39"/>
      <c r="AQ139" s="32"/>
      <c r="AR139" s="32"/>
      <c r="AS139" s="32"/>
      <c r="AT139" s="32"/>
      <c r="AU139" s="32"/>
      <c r="AV139" s="32"/>
      <c r="AW139" s="32"/>
      <c r="AX139" s="32"/>
      <c r="AY139" s="32"/>
      <c r="AZ139" s="32"/>
      <c r="BA139" s="32"/>
      <c r="BB139" s="32"/>
      <c r="BC139" s="32"/>
      <c r="BD139" s="32"/>
      <c r="BE139" s="32"/>
      <c r="BF139" s="32"/>
      <c r="BG139" s="32"/>
      <c r="BH139" s="32"/>
      <c r="BI139" s="32"/>
      <c r="BJ139" s="32"/>
    </row>
    <row r="140" ht="15.75" customHeight="1">
      <c r="A140" s="32"/>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c r="AA140" s="39"/>
      <c r="AB140" s="39"/>
      <c r="AC140" s="39"/>
      <c r="AD140" s="39"/>
      <c r="AE140" s="39"/>
      <c r="AF140" s="39"/>
      <c r="AG140" s="39"/>
      <c r="AH140" s="39"/>
      <c r="AI140" s="39"/>
      <c r="AJ140" s="39"/>
      <c r="AK140" s="39"/>
      <c r="AL140" s="39"/>
      <c r="AM140" s="39"/>
      <c r="AN140" s="39"/>
      <c r="AO140" s="39"/>
      <c r="AP140" s="39"/>
      <c r="AQ140" s="32"/>
      <c r="AR140" s="32"/>
      <c r="AS140" s="32"/>
      <c r="AT140" s="32"/>
      <c r="AU140" s="32"/>
      <c r="AV140" s="32"/>
      <c r="AW140" s="32"/>
      <c r="AX140" s="32"/>
      <c r="AY140" s="32"/>
      <c r="AZ140" s="32"/>
      <c r="BA140" s="32"/>
      <c r="BB140" s="32"/>
      <c r="BC140" s="32"/>
      <c r="BD140" s="32"/>
      <c r="BE140" s="32"/>
      <c r="BF140" s="32"/>
      <c r="BG140" s="32"/>
      <c r="BH140" s="32"/>
      <c r="BI140" s="32"/>
      <c r="BJ140" s="32"/>
    </row>
    <row r="141" ht="15.75" customHeight="1">
      <c r="A141" s="32"/>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39"/>
      <c r="AC141" s="39"/>
      <c r="AD141" s="39"/>
      <c r="AE141" s="39"/>
      <c r="AF141" s="39"/>
      <c r="AG141" s="39"/>
      <c r="AH141" s="39"/>
      <c r="AI141" s="39"/>
      <c r="AJ141" s="39"/>
      <c r="AK141" s="39"/>
      <c r="AL141" s="39"/>
      <c r="AM141" s="39"/>
      <c r="AN141" s="39"/>
      <c r="AO141" s="39"/>
      <c r="AP141" s="39"/>
      <c r="AQ141" s="32"/>
      <c r="AR141" s="32"/>
      <c r="AS141" s="32"/>
      <c r="AT141" s="32"/>
      <c r="AU141" s="32"/>
      <c r="AV141" s="32"/>
      <c r="AW141" s="32"/>
      <c r="AX141" s="32"/>
      <c r="AY141" s="32"/>
      <c r="AZ141" s="32"/>
      <c r="BA141" s="32"/>
      <c r="BB141" s="32"/>
      <c r="BC141" s="32"/>
      <c r="BD141" s="32"/>
      <c r="BE141" s="32"/>
      <c r="BF141" s="32"/>
      <c r="BG141" s="32"/>
      <c r="BH141" s="32"/>
      <c r="BI141" s="32"/>
      <c r="BJ141" s="32"/>
    </row>
    <row r="142" ht="15.75" customHeight="1">
      <c r="A142" s="32"/>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c r="AA142" s="39"/>
      <c r="AB142" s="39"/>
      <c r="AC142" s="39"/>
      <c r="AD142" s="39"/>
      <c r="AE142" s="39"/>
      <c r="AF142" s="39"/>
      <c r="AG142" s="39"/>
      <c r="AH142" s="39"/>
      <c r="AI142" s="39"/>
      <c r="AJ142" s="39"/>
      <c r="AK142" s="39"/>
      <c r="AL142" s="39"/>
      <c r="AM142" s="39"/>
      <c r="AN142" s="39"/>
      <c r="AO142" s="39"/>
      <c r="AP142" s="39"/>
      <c r="AQ142" s="32"/>
      <c r="AR142" s="32"/>
      <c r="AS142" s="32"/>
      <c r="AT142" s="32"/>
      <c r="AU142" s="32"/>
      <c r="AV142" s="32"/>
      <c r="AW142" s="32"/>
      <c r="AX142" s="32"/>
      <c r="AY142" s="32"/>
      <c r="AZ142" s="32"/>
      <c r="BA142" s="32"/>
      <c r="BB142" s="32"/>
      <c r="BC142" s="32"/>
      <c r="BD142" s="32"/>
      <c r="BE142" s="32"/>
      <c r="BF142" s="32"/>
      <c r="BG142" s="32"/>
      <c r="BH142" s="32"/>
      <c r="BI142" s="32"/>
      <c r="BJ142" s="32"/>
    </row>
    <row r="143" ht="15.75" customHeight="1">
      <c r="A143" s="32"/>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c r="AA143" s="39"/>
      <c r="AB143" s="39"/>
      <c r="AC143" s="39"/>
      <c r="AD143" s="39"/>
      <c r="AE143" s="39"/>
      <c r="AF143" s="39"/>
      <c r="AG143" s="39"/>
      <c r="AH143" s="39"/>
      <c r="AI143" s="39"/>
      <c r="AJ143" s="39"/>
      <c r="AK143" s="39"/>
      <c r="AL143" s="39"/>
      <c r="AM143" s="39"/>
      <c r="AN143" s="39"/>
      <c r="AO143" s="39"/>
      <c r="AP143" s="39"/>
      <c r="AQ143" s="32"/>
      <c r="AR143" s="32"/>
      <c r="AS143" s="32"/>
      <c r="AT143" s="32"/>
      <c r="AU143" s="32"/>
      <c r="AV143" s="32"/>
      <c r="AW143" s="32"/>
      <c r="AX143" s="32"/>
      <c r="AY143" s="32"/>
      <c r="AZ143" s="32"/>
      <c r="BA143" s="32"/>
      <c r="BB143" s="32"/>
      <c r="BC143" s="32"/>
      <c r="BD143" s="32"/>
      <c r="BE143" s="32"/>
      <c r="BF143" s="32"/>
      <c r="BG143" s="32"/>
      <c r="BH143" s="32"/>
      <c r="BI143" s="32"/>
      <c r="BJ143" s="32"/>
    </row>
    <row r="144" ht="15.75" customHeight="1">
      <c r="A144" s="32"/>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c r="AA144" s="39"/>
      <c r="AB144" s="39"/>
      <c r="AC144" s="39"/>
      <c r="AD144" s="39"/>
      <c r="AE144" s="39"/>
      <c r="AF144" s="39"/>
      <c r="AG144" s="39"/>
      <c r="AH144" s="39"/>
      <c r="AI144" s="39"/>
      <c r="AJ144" s="39"/>
      <c r="AK144" s="39"/>
      <c r="AL144" s="39"/>
      <c r="AM144" s="39"/>
      <c r="AN144" s="39"/>
      <c r="AO144" s="39"/>
      <c r="AP144" s="39"/>
      <c r="AQ144" s="32"/>
      <c r="AR144" s="32"/>
      <c r="AS144" s="32"/>
      <c r="AT144" s="32"/>
      <c r="AU144" s="32"/>
      <c r="AV144" s="32"/>
      <c r="AW144" s="32"/>
      <c r="AX144" s="32"/>
      <c r="AY144" s="32"/>
      <c r="AZ144" s="32"/>
      <c r="BA144" s="32"/>
      <c r="BB144" s="32"/>
      <c r="BC144" s="32"/>
      <c r="BD144" s="32"/>
      <c r="BE144" s="32"/>
      <c r="BF144" s="32"/>
      <c r="BG144" s="32"/>
      <c r="BH144" s="32"/>
      <c r="BI144" s="32"/>
      <c r="BJ144" s="32"/>
    </row>
    <row r="145" ht="15.75" customHeight="1">
      <c r="A145" s="32"/>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c r="AA145" s="39"/>
      <c r="AB145" s="39"/>
      <c r="AC145" s="39"/>
      <c r="AD145" s="39"/>
      <c r="AE145" s="39"/>
      <c r="AF145" s="39"/>
      <c r="AG145" s="39"/>
      <c r="AH145" s="39"/>
      <c r="AI145" s="39"/>
      <c r="AJ145" s="39"/>
      <c r="AK145" s="39"/>
      <c r="AL145" s="39"/>
      <c r="AM145" s="39"/>
      <c r="AN145" s="39"/>
      <c r="AO145" s="39"/>
      <c r="AP145" s="39"/>
      <c r="AQ145" s="32"/>
      <c r="AR145" s="32"/>
      <c r="AS145" s="32"/>
      <c r="AT145" s="32"/>
      <c r="AU145" s="32"/>
      <c r="AV145" s="32"/>
      <c r="AW145" s="32"/>
      <c r="AX145" s="32"/>
      <c r="AY145" s="32"/>
      <c r="AZ145" s="32"/>
      <c r="BA145" s="32"/>
      <c r="BB145" s="32"/>
      <c r="BC145" s="32"/>
      <c r="BD145" s="32"/>
      <c r="BE145" s="32"/>
      <c r="BF145" s="32"/>
      <c r="BG145" s="32"/>
      <c r="BH145" s="32"/>
      <c r="BI145" s="32"/>
      <c r="BJ145" s="32"/>
    </row>
    <row r="146" ht="15.75" customHeight="1">
      <c r="A146" s="32"/>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c r="AA146" s="39"/>
      <c r="AB146" s="39"/>
      <c r="AC146" s="39"/>
      <c r="AD146" s="39"/>
      <c r="AE146" s="39"/>
      <c r="AF146" s="39"/>
      <c r="AG146" s="39"/>
      <c r="AH146" s="39"/>
      <c r="AI146" s="39"/>
      <c r="AJ146" s="39"/>
      <c r="AK146" s="39"/>
      <c r="AL146" s="39"/>
      <c r="AM146" s="39"/>
      <c r="AN146" s="39"/>
      <c r="AO146" s="39"/>
      <c r="AP146" s="39"/>
      <c r="AQ146" s="32"/>
      <c r="AR146" s="32"/>
      <c r="AS146" s="32"/>
      <c r="AT146" s="32"/>
      <c r="AU146" s="32"/>
      <c r="AV146" s="32"/>
      <c r="AW146" s="32"/>
      <c r="AX146" s="32"/>
      <c r="AY146" s="32"/>
      <c r="AZ146" s="32"/>
      <c r="BA146" s="32"/>
      <c r="BB146" s="32"/>
      <c r="BC146" s="32"/>
      <c r="BD146" s="32"/>
      <c r="BE146" s="32"/>
      <c r="BF146" s="32"/>
      <c r="BG146" s="32"/>
      <c r="BH146" s="32"/>
      <c r="BI146" s="32"/>
      <c r="BJ146" s="32"/>
    </row>
    <row r="147" ht="15.75" customHeight="1">
      <c r="A147" s="32"/>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c r="AA147" s="39"/>
      <c r="AB147" s="39"/>
      <c r="AC147" s="39"/>
      <c r="AD147" s="39"/>
      <c r="AE147" s="39"/>
      <c r="AF147" s="39"/>
      <c r="AG147" s="39"/>
      <c r="AH147" s="39"/>
      <c r="AI147" s="39"/>
      <c r="AJ147" s="39"/>
      <c r="AK147" s="39"/>
      <c r="AL147" s="39"/>
      <c r="AM147" s="39"/>
      <c r="AN147" s="39"/>
      <c r="AO147" s="39"/>
      <c r="AP147" s="39"/>
      <c r="AQ147" s="32"/>
      <c r="AR147" s="32"/>
      <c r="AS147" s="32"/>
      <c r="AT147" s="32"/>
      <c r="AU147" s="32"/>
      <c r="AV147" s="32"/>
      <c r="AW147" s="32"/>
      <c r="AX147" s="32"/>
      <c r="AY147" s="32"/>
      <c r="AZ147" s="32"/>
      <c r="BA147" s="32"/>
      <c r="BB147" s="32"/>
      <c r="BC147" s="32"/>
      <c r="BD147" s="32"/>
      <c r="BE147" s="32"/>
      <c r="BF147" s="32"/>
      <c r="BG147" s="32"/>
      <c r="BH147" s="32"/>
      <c r="BI147" s="32"/>
      <c r="BJ147" s="32"/>
    </row>
    <row r="148" ht="15.75" customHeight="1">
      <c r="A148" s="32"/>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c r="AA148" s="39"/>
      <c r="AB148" s="39"/>
      <c r="AC148" s="39"/>
      <c r="AD148" s="39"/>
      <c r="AE148" s="39"/>
      <c r="AF148" s="39"/>
      <c r="AG148" s="39"/>
      <c r="AH148" s="39"/>
      <c r="AI148" s="39"/>
      <c r="AJ148" s="39"/>
      <c r="AK148" s="39"/>
      <c r="AL148" s="39"/>
      <c r="AM148" s="39"/>
      <c r="AN148" s="39"/>
      <c r="AO148" s="39"/>
      <c r="AP148" s="39"/>
      <c r="AQ148" s="32"/>
      <c r="AR148" s="32"/>
      <c r="AS148" s="32"/>
      <c r="AT148" s="32"/>
      <c r="AU148" s="32"/>
      <c r="AV148" s="32"/>
      <c r="AW148" s="32"/>
      <c r="AX148" s="32"/>
      <c r="AY148" s="32"/>
      <c r="AZ148" s="32"/>
      <c r="BA148" s="32"/>
      <c r="BB148" s="32"/>
      <c r="BC148" s="32"/>
      <c r="BD148" s="32"/>
      <c r="BE148" s="32"/>
      <c r="BF148" s="32"/>
      <c r="BG148" s="32"/>
      <c r="BH148" s="32"/>
      <c r="BI148" s="32"/>
      <c r="BJ148" s="32"/>
    </row>
    <row r="149" ht="15.75" customHeight="1">
      <c r="A149" s="32"/>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c r="AA149" s="39"/>
      <c r="AB149" s="39"/>
      <c r="AC149" s="39"/>
      <c r="AD149" s="39"/>
      <c r="AE149" s="39"/>
      <c r="AF149" s="39"/>
      <c r="AG149" s="39"/>
      <c r="AH149" s="39"/>
      <c r="AI149" s="39"/>
      <c r="AJ149" s="39"/>
      <c r="AK149" s="39"/>
      <c r="AL149" s="39"/>
      <c r="AM149" s="39"/>
      <c r="AN149" s="39"/>
      <c r="AO149" s="39"/>
      <c r="AP149" s="39"/>
      <c r="AQ149" s="32"/>
      <c r="AR149" s="32"/>
      <c r="AS149" s="32"/>
      <c r="AT149" s="32"/>
      <c r="AU149" s="32"/>
      <c r="AV149" s="32"/>
      <c r="AW149" s="32"/>
      <c r="AX149" s="32"/>
      <c r="AY149" s="32"/>
      <c r="AZ149" s="32"/>
      <c r="BA149" s="32"/>
      <c r="BB149" s="32"/>
      <c r="BC149" s="32"/>
      <c r="BD149" s="32"/>
      <c r="BE149" s="32"/>
      <c r="BF149" s="32"/>
      <c r="BG149" s="32"/>
      <c r="BH149" s="32"/>
      <c r="BI149" s="32"/>
      <c r="BJ149" s="32"/>
    </row>
    <row r="150" ht="15.75" customHeight="1">
      <c r="A150" s="32"/>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c r="AA150" s="39"/>
      <c r="AB150" s="39"/>
      <c r="AC150" s="39"/>
      <c r="AD150" s="39"/>
      <c r="AE150" s="39"/>
      <c r="AF150" s="39"/>
      <c r="AG150" s="39"/>
      <c r="AH150" s="39"/>
      <c r="AI150" s="39"/>
      <c r="AJ150" s="39"/>
      <c r="AK150" s="39"/>
      <c r="AL150" s="39"/>
      <c r="AM150" s="39"/>
      <c r="AN150" s="39"/>
      <c r="AO150" s="39"/>
      <c r="AP150" s="39"/>
      <c r="AQ150" s="32"/>
      <c r="AR150" s="32"/>
      <c r="AS150" s="32"/>
      <c r="AT150" s="32"/>
      <c r="AU150" s="32"/>
      <c r="AV150" s="32"/>
      <c r="AW150" s="32"/>
      <c r="AX150" s="32"/>
      <c r="AY150" s="32"/>
      <c r="AZ150" s="32"/>
      <c r="BA150" s="32"/>
      <c r="BB150" s="32"/>
      <c r="BC150" s="32"/>
      <c r="BD150" s="32"/>
      <c r="BE150" s="32"/>
      <c r="BF150" s="32"/>
      <c r="BG150" s="32"/>
      <c r="BH150" s="32"/>
      <c r="BI150" s="32"/>
      <c r="BJ150" s="32"/>
    </row>
    <row r="151" ht="15.75" customHeight="1">
      <c r="A151" s="32"/>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c r="AA151" s="39"/>
      <c r="AB151" s="39"/>
      <c r="AC151" s="39"/>
      <c r="AD151" s="39"/>
      <c r="AE151" s="39"/>
      <c r="AF151" s="39"/>
      <c r="AG151" s="39"/>
      <c r="AH151" s="39"/>
      <c r="AI151" s="39"/>
      <c r="AJ151" s="39"/>
      <c r="AK151" s="39"/>
      <c r="AL151" s="39"/>
      <c r="AM151" s="39"/>
      <c r="AN151" s="39"/>
      <c r="AO151" s="39"/>
      <c r="AP151" s="39"/>
      <c r="AQ151" s="32"/>
      <c r="AR151" s="32"/>
      <c r="AS151" s="32"/>
      <c r="AT151" s="32"/>
      <c r="AU151" s="32"/>
      <c r="AV151" s="32"/>
      <c r="AW151" s="32"/>
      <c r="AX151" s="32"/>
      <c r="AY151" s="32"/>
      <c r="AZ151" s="32"/>
      <c r="BA151" s="32"/>
      <c r="BB151" s="32"/>
      <c r="BC151" s="32"/>
      <c r="BD151" s="32"/>
      <c r="BE151" s="32"/>
      <c r="BF151" s="32"/>
      <c r="BG151" s="32"/>
      <c r="BH151" s="32"/>
      <c r="BI151" s="32"/>
      <c r="BJ151" s="32"/>
    </row>
    <row r="152" ht="15.75" customHeight="1">
      <c r="A152" s="32"/>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c r="AA152" s="39"/>
      <c r="AB152" s="39"/>
      <c r="AC152" s="39"/>
      <c r="AD152" s="39"/>
      <c r="AE152" s="39"/>
      <c r="AF152" s="39"/>
      <c r="AG152" s="39"/>
      <c r="AH152" s="39"/>
      <c r="AI152" s="39"/>
      <c r="AJ152" s="39"/>
      <c r="AK152" s="39"/>
      <c r="AL152" s="39"/>
      <c r="AM152" s="39"/>
      <c r="AN152" s="39"/>
      <c r="AO152" s="39"/>
      <c r="AP152" s="39"/>
      <c r="AQ152" s="32"/>
      <c r="AR152" s="32"/>
      <c r="AS152" s="32"/>
      <c r="AT152" s="32"/>
      <c r="AU152" s="32"/>
      <c r="AV152" s="32"/>
      <c r="AW152" s="32"/>
      <c r="AX152" s="32"/>
      <c r="AY152" s="32"/>
      <c r="AZ152" s="32"/>
      <c r="BA152" s="32"/>
      <c r="BB152" s="32"/>
      <c r="BC152" s="32"/>
      <c r="BD152" s="32"/>
      <c r="BE152" s="32"/>
      <c r="BF152" s="32"/>
      <c r="BG152" s="32"/>
      <c r="BH152" s="32"/>
      <c r="BI152" s="32"/>
      <c r="BJ152" s="32"/>
    </row>
    <row r="153" ht="15.75" customHeight="1">
      <c r="A153" s="32"/>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c r="AA153" s="39"/>
      <c r="AB153" s="39"/>
      <c r="AC153" s="39"/>
      <c r="AD153" s="39"/>
      <c r="AE153" s="39"/>
      <c r="AF153" s="39"/>
      <c r="AG153" s="39"/>
      <c r="AH153" s="39"/>
      <c r="AI153" s="39"/>
      <c r="AJ153" s="39"/>
      <c r="AK153" s="39"/>
      <c r="AL153" s="39"/>
      <c r="AM153" s="39"/>
      <c r="AN153" s="39"/>
      <c r="AO153" s="39"/>
      <c r="AP153" s="39"/>
      <c r="AQ153" s="32"/>
      <c r="AR153" s="32"/>
      <c r="AS153" s="32"/>
      <c r="AT153" s="32"/>
      <c r="AU153" s="32"/>
      <c r="AV153" s="32"/>
      <c r="AW153" s="32"/>
      <c r="AX153" s="32"/>
      <c r="AY153" s="32"/>
      <c r="AZ153" s="32"/>
      <c r="BA153" s="32"/>
      <c r="BB153" s="32"/>
      <c r="BC153" s="32"/>
      <c r="BD153" s="32"/>
      <c r="BE153" s="32"/>
      <c r="BF153" s="32"/>
      <c r="BG153" s="32"/>
      <c r="BH153" s="32"/>
      <c r="BI153" s="32"/>
      <c r="BJ153" s="32"/>
    </row>
    <row r="154" ht="15.75" customHeight="1">
      <c r="A154" s="32"/>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c r="AA154" s="39"/>
      <c r="AB154" s="39"/>
      <c r="AC154" s="39"/>
      <c r="AD154" s="39"/>
      <c r="AE154" s="39"/>
      <c r="AF154" s="39"/>
      <c r="AG154" s="39"/>
      <c r="AH154" s="39"/>
      <c r="AI154" s="39"/>
      <c r="AJ154" s="39"/>
      <c r="AK154" s="39"/>
      <c r="AL154" s="39"/>
      <c r="AM154" s="39"/>
      <c r="AN154" s="39"/>
      <c r="AO154" s="39"/>
      <c r="AP154" s="39"/>
      <c r="AQ154" s="32"/>
      <c r="AR154" s="32"/>
      <c r="AS154" s="32"/>
      <c r="AT154" s="32"/>
      <c r="AU154" s="32"/>
      <c r="AV154" s="32"/>
      <c r="AW154" s="32"/>
      <c r="AX154" s="32"/>
      <c r="AY154" s="32"/>
      <c r="AZ154" s="32"/>
      <c r="BA154" s="32"/>
      <c r="BB154" s="32"/>
      <c r="BC154" s="32"/>
      <c r="BD154" s="32"/>
      <c r="BE154" s="32"/>
      <c r="BF154" s="32"/>
      <c r="BG154" s="32"/>
      <c r="BH154" s="32"/>
      <c r="BI154" s="32"/>
      <c r="BJ154" s="32"/>
    </row>
    <row r="155" ht="15.75" customHeight="1">
      <c r="A155" s="32"/>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39"/>
      <c r="AC155" s="39"/>
      <c r="AD155" s="39"/>
      <c r="AE155" s="39"/>
      <c r="AF155" s="39"/>
      <c r="AG155" s="39"/>
      <c r="AH155" s="39"/>
      <c r="AI155" s="39"/>
      <c r="AJ155" s="39"/>
      <c r="AK155" s="39"/>
      <c r="AL155" s="39"/>
      <c r="AM155" s="39"/>
      <c r="AN155" s="39"/>
      <c r="AO155" s="39"/>
      <c r="AP155" s="39"/>
      <c r="AQ155" s="32"/>
      <c r="AR155" s="32"/>
      <c r="AS155" s="32"/>
      <c r="AT155" s="32"/>
      <c r="AU155" s="32"/>
      <c r="AV155" s="32"/>
      <c r="AW155" s="32"/>
      <c r="AX155" s="32"/>
      <c r="AY155" s="32"/>
      <c r="AZ155" s="32"/>
      <c r="BA155" s="32"/>
      <c r="BB155" s="32"/>
      <c r="BC155" s="32"/>
      <c r="BD155" s="32"/>
      <c r="BE155" s="32"/>
      <c r="BF155" s="32"/>
      <c r="BG155" s="32"/>
      <c r="BH155" s="32"/>
      <c r="BI155" s="32"/>
      <c r="BJ155" s="32"/>
    </row>
    <row r="156" ht="15.75" customHeight="1">
      <c r="A156" s="32"/>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c r="AA156" s="39"/>
      <c r="AB156" s="39"/>
      <c r="AC156" s="39"/>
      <c r="AD156" s="39"/>
      <c r="AE156" s="39"/>
      <c r="AF156" s="39"/>
      <c r="AG156" s="39"/>
      <c r="AH156" s="39"/>
      <c r="AI156" s="39"/>
      <c r="AJ156" s="39"/>
      <c r="AK156" s="39"/>
      <c r="AL156" s="39"/>
      <c r="AM156" s="39"/>
      <c r="AN156" s="39"/>
      <c r="AO156" s="39"/>
      <c r="AP156" s="39"/>
      <c r="AQ156" s="32"/>
      <c r="AR156" s="32"/>
      <c r="AS156" s="32"/>
      <c r="AT156" s="32"/>
      <c r="AU156" s="32"/>
      <c r="AV156" s="32"/>
      <c r="AW156" s="32"/>
      <c r="AX156" s="32"/>
      <c r="AY156" s="32"/>
      <c r="AZ156" s="32"/>
      <c r="BA156" s="32"/>
      <c r="BB156" s="32"/>
      <c r="BC156" s="32"/>
      <c r="BD156" s="32"/>
      <c r="BE156" s="32"/>
      <c r="BF156" s="32"/>
      <c r="BG156" s="32"/>
      <c r="BH156" s="32"/>
      <c r="BI156" s="32"/>
      <c r="BJ156" s="32"/>
    </row>
    <row r="157" ht="15.75" customHeight="1">
      <c r="A157" s="32"/>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c r="AA157" s="39"/>
      <c r="AB157" s="39"/>
      <c r="AC157" s="39"/>
      <c r="AD157" s="39"/>
      <c r="AE157" s="39"/>
      <c r="AF157" s="39"/>
      <c r="AG157" s="39"/>
      <c r="AH157" s="39"/>
      <c r="AI157" s="39"/>
      <c r="AJ157" s="39"/>
      <c r="AK157" s="39"/>
      <c r="AL157" s="39"/>
      <c r="AM157" s="39"/>
      <c r="AN157" s="39"/>
      <c r="AO157" s="39"/>
      <c r="AP157" s="39"/>
      <c r="AQ157" s="32"/>
      <c r="AR157" s="32"/>
      <c r="AS157" s="32"/>
      <c r="AT157" s="32"/>
      <c r="AU157" s="32"/>
      <c r="AV157" s="32"/>
      <c r="AW157" s="32"/>
      <c r="AX157" s="32"/>
      <c r="AY157" s="32"/>
      <c r="AZ157" s="32"/>
      <c r="BA157" s="32"/>
      <c r="BB157" s="32"/>
      <c r="BC157" s="32"/>
      <c r="BD157" s="32"/>
      <c r="BE157" s="32"/>
      <c r="BF157" s="32"/>
      <c r="BG157" s="32"/>
      <c r="BH157" s="32"/>
      <c r="BI157" s="32"/>
      <c r="BJ157" s="32"/>
    </row>
    <row r="158" ht="15.75" customHeight="1">
      <c r="A158" s="32"/>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c r="AA158" s="39"/>
      <c r="AB158" s="39"/>
      <c r="AC158" s="39"/>
      <c r="AD158" s="39"/>
      <c r="AE158" s="39"/>
      <c r="AF158" s="39"/>
      <c r="AG158" s="39"/>
      <c r="AH158" s="39"/>
      <c r="AI158" s="39"/>
      <c r="AJ158" s="39"/>
      <c r="AK158" s="39"/>
      <c r="AL158" s="39"/>
      <c r="AM158" s="39"/>
      <c r="AN158" s="39"/>
      <c r="AO158" s="39"/>
      <c r="AP158" s="39"/>
      <c r="AQ158" s="32"/>
      <c r="AR158" s="32"/>
      <c r="AS158" s="32"/>
      <c r="AT158" s="32"/>
      <c r="AU158" s="32"/>
      <c r="AV158" s="32"/>
      <c r="AW158" s="32"/>
      <c r="AX158" s="32"/>
      <c r="AY158" s="32"/>
      <c r="AZ158" s="32"/>
      <c r="BA158" s="32"/>
      <c r="BB158" s="32"/>
      <c r="BC158" s="32"/>
      <c r="BD158" s="32"/>
      <c r="BE158" s="32"/>
      <c r="BF158" s="32"/>
      <c r="BG158" s="32"/>
      <c r="BH158" s="32"/>
      <c r="BI158" s="32"/>
      <c r="BJ158" s="32"/>
    </row>
    <row r="159" ht="15.75" customHeight="1">
      <c r="A159" s="32"/>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c r="AA159" s="39"/>
      <c r="AB159" s="39"/>
      <c r="AC159" s="39"/>
      <c r="AD159" s="39"/>
      <c r="AE159" s="39"/>
      <c r="AF159" s="39"/>
      <c r="AG159" s="39"/>
      <c r="AH159" s="39"/>
      <c r="AI159" s="39"/>
      <c r="AJ159" s="39"/>
      <c r="AK159" s="39"/>
      <c r="AL159" s="39"/>
      <c r="AM159" s="39"/>
      <c r="AN159" s="39"/>
      <c r="AO159" s="39"/>
      <c r="AP159" s="39"/>
      <c r="AQ159" s="32"/>
      <c r="AR159" s="32"/>
      <c r="AS159" s="32"/>
      <c r="AT159" s="32"/>
      <c r="AU159" s="32"/>
      <c r="AV159" s="32"/>
      <c r="AW159" s="32"/>
      <c r="AX159" s="32"/>
      <c r="AY159" s="32"/>
      <c r="AZ159" s="32"/>
      <c r="BA159" s="32"/>
      <c r="BB159" s="32"/>
      <c r="BC159" s="32"/>
      <c r="BD159" s="32"/>
      <c r="BE159" s="32"/>
      <c r="BF159" s="32"/>
      <c r="BG159" s="32"/>
      <c r="BH159" s="32"/>
      <c r="BI159" s="32"/>
      <c r="BJ159" s="32"/>
    </row>
    <row r="160" ht="15.75" customHeight="1">
      <c r="A160" s="32"/>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39"/>
      <c r="AC160" s="39"/>
      <c r="AD160" s="39"/>
      <c r="AE160" s="39"/>
      <c r="AF160" s="39"/>
      <c r="AG160" s="39"/>
      <c r="AH160" s="39"/>
      <c r="AI160" s="39"/>
      <c r="AJ160" s="39"/>
      <c r="AK160" s="39"/>
      <c r="AL160" s="39"/>
      <c r="AM160" s="39"/>
      <c r="AN160" s="39"/>
      <c r="AO160" s="39"/>
      <c r="AP160" s="39"/>
      <c r="AQ160" s="32"/>
      <c r="AR160" s="32"/>
      <c r="AS160" s="32"/>
      <c r="AT160" s="32"/>
      <c r="AU160" s="32"/>
      <c r="AV160" s="32"/>
      <c r="AW160" s="32"/>
      <c r="AX160" s="32"/>
      <c r="AY160" s="32"/>
      <c r="AZ160" s="32"/>
      <c r="BA160" s="32"/>
      <c r="BB160" s="32"/>
      <c r="BC160" s="32"/>
      <c r="BD160" s="32"/>
      <c r="BE160" s="32"/>
      <c r="BF160" s="32"/>
      <c r="BG160" s="32"/>
      <c r="BH160" s="32"/>
      <c r="BI160" s="32"/>
      <c r="BJ160" s="32"/>
    </row>
    <row r="161" ht="15.75" customHeight="1">
      <c r="A161" s="32"/>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c r="AA161" s="39"/>
      <c r="AB161" s="39"/>
      <c r="AC161" s="39"/>
      <c r="AD161" s="39"/>
      <c r="AE161" s="39"/>
      <c r="AF161" s="39"/>
      <c r="AG161" s="39"/>
      <c r="AH161" s="39"/>
      <c r="AI161" s="39"/>
      <c r="AJ161" s="39"/>
      <c r="AK161" s="39"/>
      <c r="AL161" s="39"/>
      <c r="AM161" s="39"/>
      <c r="AN161" s="39"/>
      <c r="AO161" s="39"/>
      <c r="AP161" s="39"/>
      <c r="AQ161" s="32"/>
      <c r="AR161" s="32"/>
      <c r="AS161" s="32"/>
      <c r="AT161" s="32"/>
      <c r="AU161" s="32"/>
      <c r="AV161" s="32"/>
      <c r="AW161" s="32"/>
      <c r="AX161" s="32"/>
      <c r="AY161" s="32"/>
      <c r="AZ161" s="32"/>
      <c r="BA161" s="32"/>
      <c r="BB161" s="32"/>
      <c r="BC161" s="32"/>
      <c r="BD161" s="32"/>
      <c r="BE161" s="32"/>
      <c r="BF161" s="32"/>
      <c r="BG161" s="32"/>
      <c r="BH161" s="32"/>
      <c r="BI161" s="32"/>
      <c r="BJ161" s="32"/>
    </row>
    <row r="162" ht="15.75" customHeight="1">
      <c r="A162" s="32"/>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c r="AA162" s="39"/>
      <c r="AB162" s="39"/>
      <c r="AC162" s="39"/>
      <c r="AD162" s="39"/>
      <c r="AE162" s="39"/>
      <c r="AF162" s="39"/>
      <c r="AG162" s="39"/>
      <c r="AH162" s="39"/>
      <c r="AI162" s="39"/>
      <c r="AJ162" s="39"/>
      <c r="AK162" s="39"/>
      <c r="AL162" s="39"/>
      <c r="AM162" s="39"/>
      <c r="AN162" s="39"/>
      <c r="AO162" s="39"/>
      <c r="AP162" s="39"/>
      <c r="AQ162" s="32"/>
      <c r="AR162" s="32"/>
      <c r="AS162" s="32"/>
      <c r="AT162" s="32"/>
      <c r="AU162" s="32"/>
      <c r="AV162" s="32"/>
      <c r="AW162" s="32"/>
      <c r="AX162" s="32"/>
      <c r="AY162" s="32"/>
      <c r="AZ162" s="32"/>
      <c r="BA162" s="32"/>
      <c r="BB162" s="32"/>
      <c r="BC162" s="32"/>
      <c r="BD162" s="32"/>
      <c r="BE162" s="32"/>
      <c r="BF162" s="32"/>
      <c r="BG162" s="32"/>
      <c r="BH162" s="32"/>
      <c r="BI162" s="32"/>
      <c r="BJ162" s="32"/>
    </row>
    <row r="163" ht="15.75" customHeight="1">
      <c r="A163" s="32"/>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c r="AA163" s="39"/>
      <c r="AB163" s="39"/>
      <c r="AC163" s="39"/>
      <c r="AD163" s="39"/>
      <c r="AE163" s="39"/>
      <c r="AF163" s="39"/>
      <c r="AG163" s="39"/>
      <c r="AH163" s="39"/>
      <c r="AI163" s="39"/>
      <c r="AJ163" s="39"/>
      <c r="AK163" s="39"/>
      <c r="AL163" s="39"/>
      <c r="AM163" s="39"/>
      <c r="AN163" s="39"/>
      <c r="AO163" s="39"/>
      <c r="AP163" s="39"/>
      <c r="AQ163" s="32"/>
      <c r="AR163" s="32"/>
      <c r="AS163" s="32"/>
      <c r="AT163" s="32"/>
      <c r="AU163" s="32"/>
      <c r="AV163" s="32"/>
      <c r="AW163" s="32"/>
      <c r="AX163" s="32"/>
      <c r="AY163" s="32"/>
      <c r="AZ163" s="32"/>
      <c r="BA163" s="32"/>
      <c r="BB163" s="32"/>
      <c r="BC163" s="32"/>
      <c r="BD163" s="32"/>
      <c r="BE163" s="32"/>
      <c r="BF163" s="32"/>
      <c r="BG163" s="32"/>
      <c r="BH163" s="32"/>
      <c r="BI163" s="32"/>
      <c r="BJ163" s="32"/>
    </row>
    <row r="164" ht="15.75" customHeight="1">
      <c r="A164" s="32"/>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c r="AA164" s="39"/>
      <c r="AB164" s="39"/>
      <c r="AC164" s="39"/>
      <c r="AD164" s="39"/>
      <c r="AE164" s="39"/>
      <c r="AF164" s="39"/>
      <c r="AG164" s="39"/>
      <c r="AH164" s="39"/>
      <c r="AI164" s="39"/>
      <c r="AJ164" s="39"/>
      <c r="AK164" s="39"/>
      <c r="AL164" s="39"/>
      <c r="AM164" s="39"/>
      <c r="AN164" s="39"/>
      <c r="AO164" s="39"/>
      <c r="AP164" s="39"/>
      <c r="AQ164" s="32"/>
      <c r="AR164" s="32"/>
      <c r="AS164" s="32"/>
      <c r="AT164" s="32"/>
      <c r="AU164" s="32"/>
      <c r="AV164" s="32"/>
      <c r="AW164" s="32"/>
      <c r="AX164" s="32"/>
      <c r="AY164" s="32"/>
      <c r="AZ164" s="32"/>
      <c r="BA164" s="32"/>
      <c r="BB164" s="32"/>
      <c r="BC164" s="32"/>
      <c r="BD164" s="32"/>
      <c r="BE164" s="32"/>
      <c r="BF164" s="32"/>
      <c r="BG164" s="32"/>
      <c r="BH164" s="32"/>
      <c r="BI164" s="32"/>
      <c r="BJ164" s="32"/>
    </row>
    <row r="165" ht="15.75" customHeight="1">
      <c r="A165" s="32"/>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c r="AA165" s="39"/>
      <c r="AB165" s="39"/>
      <c r="AC165" s="39"/>
      <c r="AD165" s="39"/>
      <c r="AE165" s="39"/>
      <c r="AF165" s="39"/>
      <c r="AG165" s="39"/>
      <c r="AH165" s="39"/>
      <c r="AI165" s="39"/>
      <c r="AJ165" s="39"/>
      <c r="AK165" s="39"/>
      <c r="AL165" s="39"/>
      <c r="AM165" s="39"/>
      <c r="AN165" s="39"/>
      <c r="AO165" s="39"/>
      <c r="AP165" s="39"/>
      <c r="AQ165" s="32"/>
      <c r="AR165" s="32"/>
      <c r="AS165" s="32"/>
      <c r="AT165" s="32"/>
      <c r="AU165" s="32"/>
      <c r="AV165" s="32"/>
      <c r="AW165" s="32"/>
      <c r="AX165" s="32"/>
      <c r="AY165" s="32"/>
      <c r="AZ165" s="32"/>
      <c r="BA165" s="32"/>
      <c r="BB165" s="32"/>
      <c r="BC165" s="32"/>
      <c r="BD165" s="32"/>
      <c r="BE165" s="32"/>
      <c r="BF165" s="32"/>
      <c r="BG165" s="32"/>
      <c r="BH165" s="32"/>
      <c r="BI165" s="32"/>
      <c r="BJ165" s="32"/>
    </row>
    <row r="166" ht="15.75" customHeight="1">
      <c r="A166" s="32"/>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c r="AA166" s="39"/>
      <c r="AB166" s="39"/>
      <c r="AC166" s="39"/>
      <c r="AD166" s="39"/>
      <c r="AE166" s="39"/>
      <c r="AF166" s="39"/>
      <c r="AG166" s="39"/>
      <c r="AH166" s="39"/>
      <c r="AI166" s="39"/>
      <c r="AJ166" s="39"/>
      <c r="AK166" s="39"/>
      <c r="AL166" s="39"/>
      <c r="AM166" s="39"/>
      <c r="AN166" s="39"/>
      <c r="AO166" s="39"/>
      <c r="AP166" s="39"/>
      <c r="AQ166" s="32"/>
      <c r="AR166" s="32"/>
      <c r="AS166" s="32"/>
      <c r="AT166" s="32"/>
      <c r="AU166" s="32"/>
      <c r="AV166" s="32"/>
      <c r="AW166" s="32"/>
      <c r="AX166" s="32"/>
      <c r="AY166" s="32"/>
      <c r="AZ166" s="32"/>
      <c r="BA166" s="32"/>
      <c r="BB166" s="32"/>
      <c r="BC166" s="32"/>
      <c r="BD166" s="32"/>
      <c r="BE166" s="32"/>
      <c r="BF166" s="32"/>
      <c r="BG166" s="32"/>
      <c r="BH166" s="32"/>
      <c r="BI166" s="32"/>
      <c r="BJ166" s="32"/>
    </row>
    <row r="167" ht="15.75" customHeight="1">
      <c r="A167" s="32"/>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c r="AA167" s="39"/>
      <c r="AB167" s="39"/>
      <c r="AC167" s="39"/>
      <c r="AD167" s="39"/>
      <c r="AE167" s="39"/>
      <c r="AF167" s="39"/>
      <c r="AG167" s="39"/>
      <c r="AH167" s="39"/>
      <c r="AI167" s="39"/>
      <c r="AJ167" s="39"/>
      <c r="AK167" s="39"/>
      <c r="AL167" s="39"/>
      <c r="AM167" s="39"/>
      <c r="AN167" s="39"/>
      <c r="AO167" s="39"/>
      <c r="AP167" s="39"/>
      <c r="AQ167" s="32"/>
      <c r="AR167" s="32"/>
      <c r="AS167" s="32"/>
      <c r="AT167" s="32"/>
      <c r="AU167" s="32"/>
      <c r="AV167" s="32"/>
      <c r="AW167" s="32"/>
      <c r="AX167" s="32"/>
      <c r="AY167" s="32"/>
      <c r="AZ167" s="32"/>
      <c r="BA167" s="32"/>
      <c r="BB167" s="32"/>
      <c r="BC167" s="32"/>
      <c r="BD167" s="32"/>
      <c r="BE167" s="32"/>
      <c r="BF167" s="32"/>
      <c r="BG167" s="32"/>
      <c r="BH167" s="32"/>
      <c r="BI167" s="32"/>
      <c r="BJ167" s="32"/>
    </row>
    <row r="168" ht="15.75" customHeight="1">
      <c r="A168" s="32"/>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c r="AA168" s="39"/>
      <c r="AB168" s="39"/>
      <c r="AC168" s="39"/>
      <c r="AD168" s="39"/>
      <c r="AE168" s="39"/>
      <c r="AF168" s="39"/>
      <c r="AG168" s="39"/>
      <c r="AH168" s="39"/>
      <c r="AI168" s="39"/>
      <c r="AJ168" s="39"/>
      <c r="AK168" s="39"/>
      <c r="AL168" s="39"/>
      <c r="AM168" s="39"/>
      <c r="AN168" s="39"/>
      <c r="AO168" s="39"/>
      <c r="AP168" s="39"/>
      <c r="AQ168" s="32"/>
      <c r="AR168" s="32"/>
      <c r="AS168" s="32"/>
      <c r="AT168" s="32"/>
      <c r="AU168" s="32"/>
      <c r="AV168" s="32"/>
      <c r="AW168" s="32"/>
      <c r="AX168" s="32"/>
      <c r="AY168" s="32"/>
      <c r="AZ168" s="32"/>
      <c r="BA168" s="32"/>
      <c r="BB168" s="32"/>
      <c r="BC168" s="32"/>
      <c r="BD168" s="32"/>
      <c r="BE168" s="32"/>
      <c r="BF168" s="32"/>
      <c r="BG168" s="32"/>
      <c r="BH168" s="32"/>
      <c r="BI168" s="32"/>
      <c r="BJ168" s="32"/>
    </row>
    <row r="169" ht="15.75" customHeight="1">
      <c r="A169" s="32"/>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c r="AA169" s="39"/>
      <c r="AB169" s="39"/>
      <c r="AC169" s="39"/>
      <c r="AD169" s="39"/>
      <c r="AE169" s="39"/>
      <c r="AF169" s="39"/>
      <c r="AG169" s="39"/>
      <c r="AH169" s="39"/>
      <c r="AI169" s="39"/>
      <c r="AJ169" s="39"/>
      <c r="AK169" s="39"/>
      <c r="AL169" s="39"/>
      <c r="AM169" s="39"/>
      <c r="AN169" s="39"/>
      <c r="AO169" s="39"/>
      <c r="AP169" s="39"/>
      <c r="AQ169" s="32"/>
      <c r="AR169" s="32"/>
      <c r="AS169" s="32"/>
      <c r="AT169" s="32"/>
      <c r="AU169" s="32"/>
      <c r="AV169" s="32"/>
      <c r="AW169" s="32"/>
      <c r="AX169" s="32"/>
      <c r="AY169" s="32"/>
      <c r="AZ169" s="32"/>
      <c r="BA169" s="32"/>
      <c r="BB169" s="32"/>
      <c r="BC169" s="32"/>
      <c r="BD169" s="32"/>
      <c r="BE169" s="32"/>
      <c r="BF169" s="32"/>
      <c r="BG169" s="32"/>
      <c r="BH169" s="32"/>
      <c r="BI169" s="32"/>
      <c r="BJ169" s="32"/>
    </row>
    <row r="170" ht="15.75" customHeight="1">
      <c r="A170" s="32"/>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c r="AA170" s="39"/>
      <c r="AB170" s="39"/>
      <c r="AC170" s="39"/>
      <c r="AD170" s="39"/>
      <c r="AE170" s="39"/>
      <c r="AF170" s="39"/>
      <c r="AG170" s="39"/>
      <c r="AH170" s="39"/>
      <c r="AI170" s="39"/>
      <c r="AJ170" s="39"/>
      <c r="AK170" s="39"/>
      <c r="AL170" s="39"/>
      <c r="AM170" s="39"/>
      <c r="AN170" s="39"/>
      <c r="AO170" s="39"/>
      <c r="AP170" s="39"/>
      <c r="AQ170" s="32"/>
      <c r="AR170" s="32"/>
      <c r="AS170" s="32"/>
      <c r="AT170" s="32"/>
      <c r="AU170" s="32"/>
      <c r="AV170" s="32"/>
      <c r="AW170" s="32"/>
      <c r="AX170" s="32"/>
      <c r="AY170" s="32"/>
      <c r="AZ170" s="32"/>
      <c r="BA170" s="32"/>
      <c r="BB170" s="32"/>
      <c r="BC170" s="32"/>
      <c r="BD170" s="32"/>
      <c r="BE170" s="32"/>
      <c r="BF170" s="32"/>
      <c r="BG170" s="32"/>
      <c r="BH170" s="32"/>
      <c r="BI170" s="32"/>
      <c r="BJ170" s="32"/>
    </row>
    <row r="171" ht="15.75" customHeight="1">
      <c r="A171" s="32"/>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c r="AA171" s="39"/>
      <c r="AB171" s="39"/>
      <c r="AC171" s="39"/>
      <c r="AD171" s="39"/>
      <c r="AE171" s="39"/>
      <c r="AF171" s="39"/>
      <c r="AG171" s="39"/>
      <c r="AH171" s="39"/>
      <c r="AI171" s="39"/>
      <c r="AJ171" s="39"/>
      <c r="AK171" s="39"/>
      <c r="AL171" s="39"/>
      <c r="AM171" s="39"/>
      <c r="AN171" s="39"/>
      <c r="AO171" s="39"/>
      <c r="AP171" s="39"/>
      <c r="AQ171" s="32"/>
      <c r="AR171" s="32"/>
      <c r="AS171" s="32"/>
      <c r="AT171" s="32"/>
      <c r="AU171" s="32"/>
      <c r="AV171" s="32"/>
      <c r="AW171" s="32"/>
      <c r="AX171" s="32"/>
      <c r="AY171" s="32"/>
      <c r="AZ171" s="32"/>
      <c r="BA171" s="32"/>
      <c r="BB171" s="32"/>
      <c r="BC171" s="32"/>
      <c r="BD171" s="32"/>
      <c r="BE171" s="32"/>
      <c r="BF171" s="32"/>
      <c r="BG171" s="32"/>
      <c r="BH171" s="32"/>
      <c r="BI171" s="32"/>
      <c r="BJ171" s="32"/>
    </row>
    <row r="172" ht="15.75" customHeight="1">
      <c r="A172" s="32"/>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c r="AA172" s="39"/>
      <c r="AB172" s="39"/>
      <c r="AC172" s="39"/>
      <c r="AD172" s="39"/>
      <c r="AE172" s="39"/>
      <c r="AF172" s="39"/>
      <c r="AG172" s="39"/>
      <c r="AH172" s="39"/>
      <c r="AI172" s="39"/>
      <c r="AJ172" s="39"/>
      <c r="AK172" s="39"/>
      <c r="AL172" s="39"/>
      <c r="AM172" s="39"/>
      <c r="AN172" s="39"/>
      <c r="AO172" s="39"/>
      <c r="AP172" s="39"/>
      <c r="AQ172" s="32"/>
      <c r="AR172" s="32"/>
      <c r="AS172" s="32"/>
      <c r="AT172" s="32"/>
      <c r="AU172" s="32"/>
      <c r="AV172" s="32"/>
      <c r="AW172" s="32"/>
      <c r="AX172" s="32"/>
      <c r="AY172" s="32"/>
      <c r="AZ172" s="32"/>
      <c r="BA172" s="32"/>
      <c r="BB172" s="32"/>
      <c r="BC172" s="32"/>
      <c r="BD172" s="32"/>
      <c r="BE172" s="32"/>
      <c r="BF172" s="32"/>
      <c r="BG172" s="32"/>
      <c r="BH172" s="32"/>
      <c r="BI172" s="32"/>
      <c r="BJ172" s="32"/>
    </row>
    <row r="173" ht="15.75" customHeight="1">
      <c r="A173" s="32"/>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c r="AA173" s="39"/>
      <c r="AB173" s="39"/>
      <c r="AC173" s="39"/>
      <c r="AD173" s="39"/>
      <c r="AE173" s="39"/>
      <c r="AF173" s="39"/>
      <c r="AG173" s="39"/>
      <c r="AH173" s="39"/>
      <c r="AI173" s="39"/>
      <c r="AJ173" s="39"/>
      <c r="AK173" s="39"/>
      <c r="AL173" s="39"/>
      <c r="AM173" s="39"/>
      <c r="AN173" s="39"/>
      <c r="AO173" s="39"/>
      <c r="AP173" s="39"/>
      <c r="AQ173" s="32"/>
      <c r="AR173" s="32"/>
      <c r="AS173" s="32"/>
      <c r="AT173" s="32"/>
      <c r="AU173" s="32"/>
      <c r="AV173" s="32"/>
      <c r="AW173" s="32"/>
      <c r="AX173" s="32"/>
      <c r="AY173" s="32"/>
      <c r="AZ173" s="32"/>
      <c r="BA173" s="32"/>
      <c r="BB173" s="32"/>
      <c r="BC173" s="32"/>
      <c r="BD173" s="32"/>
      <c r="BE173" s="32"/>
      <c r="BF173" s="32"/>
      <c r="BG173" s="32"/>
      <c r="BH173" s="32"/>
      <c r="BI173" s="32"/>
      <c r="BJ173" s="32"/>
    </row>
    <row r="174" ht="15.75" customHeight="1">
      <c r="A174" s="32"/>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c r="AA174" s="39"/>
      <c r="AB174" s="39"/>
      <c r="AC174" s="39"/>
      <c r="AD174" s="39"/>
      <c r="AE174" s="39"/>
      <c r="AF174" s="39"/>
      <c r="AG174" s="39"/>
      <c r="AH174" s="39"/>
      <c r="AI174" s="39"/>
      <c r="AJ174" s="39"/>
      <c r="AK174" s="39"/>
      <c r="AL174" s="39"/>
      <c r="AM174" s="39"/>
      <c r="AN174" s="39"/>
      <c r="AO174" s="39"/>
      <c r="AP174" s="39"/>
      <c r="AQ174" s="32"/>
      <c r="AR174" s="32"/>
      <c r="AS174" s="32"/>
      <c r="AT174" s="32"/>
      <c r="AU174" s="32"/>
      <c r="AV174" s="32"/>
      <c r="AW174" s="32"/>
      <c r="AX174" s="32"/>
      <c r="AY174" s="32"/>
      <c r="AZ174" s="32"/>
      <c r="BA174" s="32"/>
      <c r="BB174" s="32"/>
      <c r="BC174" s="32"/>
      <c r="BD174" s="32"/>
      <c r="BE174" s="32"/>
      <c r="BF174" s="32"/>
      <c r="BG174" s="32"/>
      <c r="BH174" s="32"/>
      <c r="BI174" s="32"/>
      <c r="BJ174" s="32"/>
    </row>
    <row r="175" ht="15.75" customHeight="1">
      <c r="A175" s="32"/>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c r="AA175" s="39"/>
      <c r="AB175" s="39"/>
      <c r="AC175" s="39"/>
      <c r="AD175" s="39"/>
      <c r="AE175" s="39"/>
      <c r="AF175" s="39"/>
      <c r="AG175" s="39"/>
      <c r="AH175" s="39"/>
      <c r="AI175" s="39"/>
      <c r="AJ175" s="39"/>
      <c r="AK175" s="39"/>
      <c r="AL175" s="39"/>
      <c r="AM175" s="39"/>
      <c r="AN175" s="39"/>
      <c r="AO175" s="39"/>
      <c r="AP175" s="39"/>
      <c r="AQ175" s="32"/>
      <c r="AR175" s="32"/>
      <c r="AS175" s="32"/>
      <c r="AT175" s="32"/>
      <c r="AU175" s="32"/>
      <c r="AV175" s="32"/>
      <c r="AW175" s="32"/>
      <c r="AX175" s="32"/>
      <c r="AY175" s="32"/>
      <c r="AZ175" s="32"/>
      <c r="BA175" s="32"/>
      <c r="BB175" s="32"/>
      <c r="BC175" s="32"/>
      <c r="BD175" s="32"/>
      <c r="BE175" s="32"/>
      <c r="BF175" s="32"/>
      <c r="BG175" s="32"/>
      <c r="BH175" s="32"/>
      <c r="BI175" s="32"/>
      <c r="BJ175" s="32"/>
    </row>
    <row r="176" ht="15.75" customHeight="1">
      <c r="A176" s="32"/>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c r="AA176" s="39"/>
      <c r="AB176" s="39"/>
      <c r="AC176" s="39"/>
      <c r="AD176" s="39"/>
      <c r="AE176" s="39"/>
      <c r="AF176" s="39"/>
      <c r="AG176" s="39"/>
      <c r="AH176" s="39"/>
      <c r="AI176" s="39"/>
      <c r="AJ176" s="39"/>
      <c r="AK176" s="39"/>
      <c r="AL176" s="39"/>
      <c r="AM176" s="39"/>
      <c r="AN176" s="39"/>
      <c r="AO176" s="39"/>
      <c r="AP176" s="39"/>
      <c r="AQ176" s="32"/>
      <c r="AR176" s="32"/>
      <c r="AS176" s="32"/>
      <c r="AT176" s="32"/>
      <c r="AU176" s="32"/>
      <c r="AV176" s="32"/>
      <c r="AW176" s="32"/>
      <c r="AX176" s="32"/>
      <c r="AY176" s="32"/>
      <c r="AZ176" s="32"/>
      <c r="BA176" s="32"/>
      <c r="BB176" s="32"/>
      <c r="BC176" s="32"/>
      <c r="BD176" s="32"/>
      <c r="BE176" s="32"/>
      <c r="BF176" s="32"/>
      <c r="BG176" s="32"/>
      <c r="BH176" s="32"/>
      <c r="BI176" s="32"/>
      <c r="BJ176" s="32"/>
    </row>
    <row r="177" ht="15.75" customHeight="1">
      <c r="A177" s="32"/>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c r="AA177" s="39"/>
      <c r="AB177" s="39"/>
      <c r="AC177" s="39"/>
      <c r="AD177" s="39"/>
      <c r="AE177" s="39"/>
      <c r="AF177" s="39"/>
      <c r="AG177" s="39"/>
      <c r="AH177" s="39"/>
      <c r="AI177" s="39"/>
      <c r="AJ177" s="39"/>
      <c r="AK177" s="39"/>
      <c r="AL177" s="39"/>
      <c r="AM177" s="39"/>
      <c r="AN177" s="39"/>
      <c r="AO177" s="39"/>
      <c r="AP177" s="39"/>
      <c r="AQ177" s="32"/>
      <c r="AR177" s="32"/>
      <c r="AS177" s="32"/>
      <c r="AT177" s="32"/>
      <c r="AU177" s="32"/>
      <c r="AV177" s="32"/>
      <c r="AW177" s="32"/>
      <c r="AX177" s="32"/>
      <c r="AY177" s="32"/>
      <c r="AZ177" s="32"/>
      <c r="BA177" s="32"/>
      <c r="BB177" s="32"/>
      <c r="BC177" s="32"/>
      <c r="BD177" s="32"/>
      <c r="BE177" s="32"/>
      <c r="BF177" s="32"/>
      <c r="BG177" s="32"/>
      <c r="BH177" s="32"/>
      <c r="BI177" s="32"/>
      <c r="BJ177" s="32"/>
    </row>
    <row r="178" ht="15.75" customHeight="1">
      <c r="A178" s="32"/>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c r="AA178" s="39"/>
      <c r="AB178" s="39"/>
      <c r="AC178" s="39"/>
      <c r="AD178" s="39"/>
      <c r="AE178" s="39"/>
      <c r="AF178" s="39"/>
      <c r="AG178" s="39"/>
      <c r="AH178" s="39"/>
      <c r="AI178" s="39"/>
      <c r="AJ178" s="39"/>
      <c r="AK178" s="39"/>
      <c r="AL178" s="39"/>
      <c r="AM178" s="39"/>
      <c r="AN178" s="39"/>
      <c r="AO178" s="39"/>
      <c r="AP178" s="39"/>
      <c r="AQ178" s="32"/>
      <c r="AR178" s="32"/>
      <c r="AS178" s="32"/>
      <c r="AT178" s="32"/>
      <c r="AU178" s="32"/>
      <c r="AV178" s="32"/>
      <c r="AW178" s="32"/>
      <c r="AX178" s="32"/>
      <c r="AY178" s="32"/>
      <c r="AZ178" s="32"/>
      <c r="BA178" s="32"/>
      <c r="BB178" s="32"/>
      <c r="BC178" s="32"/>
      <c r="BD178" s="32"/>
      <c r="BE178" s="32"/>
      <c r="BF178" s="32"/>
      <c r="BG178" s="32"/>
      <c r="BH178" s="32"/>
      <c r="BI178" s="32"/>
      <c r="BJ178" s="32"/>
    </row>
    <row r="179" ht="15.75" customHeight="1">
      <c r="A179" s="32"/>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c r="AA179" s="39"/>
      <c r="AB179" s="39"/>
      <c r="AC179" s="39"/>
      <c r="AD179" s="39"/>
      <c r="AE179" s="39"/>
      <c r="AF179" s="39"/>
      <c r="AG179" s="39"/>
      <c r="AH179" s="39"/>
      <c r="AI179" s="39"/>
      <c r="AJ179" s="39"/>
      <c r="AK179" s="39"/>
      <c r="AL179" s="39"/>
      <c r="AM179" s="39"/>
      <c r="AN179" s="39"/>
      <c r="AO179" s="39"/>
      <c r="AP179" s="39"/>
      <c r="AQ179" s="32"/>
      <c r="AR179" s="32"/>
      <c r="AS179" s="32"/>
      <c r="AT179" s="32"/>
      <c r="AU179" s="32"/>
      <c r="AV179" s="32"/>
      <c r="AW179" s="32"/>
      <c r="AX179" s="32"/>
      <c r="AY179" s="32"/>
      <c r="AZ179" s="32"/>
      <c r="BA179" s="32"/>
      <c r="BB179" s="32"/>
      <c r="BC179" s="32"/>
      <c r="BD179" s="32"/>
      <c r="BE179" s="32"/>
      <c r="BF179" s="32"/>
      <c r="BG179" s="32"/>
      <c r="BH179" s="32"/>
      <c r="BI179" s="32"/>
      <c r="BJ179" s="32"/>
    </row>
    <row r="180" ht="15.75" customHeight="1">
      <c r="A180" s="32"/>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c r="AA180" s="39"/>
      <c r="AB180" s="39"/>
      <c r="AC180" s="39"/>
      <c r="AD180" s="39"/>
      <c r="AE180" s="39"/>
      <c r="AF180" s="39"/>
      <c r="AG180" s="39"/>
      <c r="AH180" s="39"/>
      <c r="AI180" s="39"/>
      <c r="AJ180" s="39"/>
      <c r="AK180" s="39"/>
      <c r="AL180" s="39"/>
      <c r="AM180" s="39"/>
      <c r="AN180" s="39"/>
      <c r="AO180" s="39"/>
      <c r="AP180" s="39"/>
      <c r="AQ180" s="32"/>
      <c r="AR180" s="32"/>
      <c r="AS180" s="32"/>
      <c r="AT180" s="32"/>
      <c r="AU180" s="32"/>
      <c r="AV180" s="32"/>
      <c r="AW180" s="32"/>
      <c r="AX180" s="32"/>
      <c r="AY180" s="32"/>
      <c r="AZ180" s="32"/>
      <c r="BA180" s="32"/>
      <c r="BB180" s="32"/>
      <c r="BC180" s="32"/>
      <c r="BD180" s="32"/>
      <c r="BE180" s="32"/>
      <c r="BF180" s="32"/>
      <c r="BG180" s="32"/>
      <c r="BH180" s="32"/>
      <c r="BI180" s="32"/>
      <c r="BJ180" s="32"/>
    </row>
    <row r="181" ht="15.75" customHeight="1">
      <c r="A181" s="32"/>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c r="AA181" s="39"/>
      <c r="AB181" s="39"/>
      <c r="AC181" s="39"/>
      <c r="AD181" s="39"/>
      <c r="AE181" s="39"/>
      <c r="AF181" s="39"/>
      <c r="AG181" s="39"/>
      <c r="AH181" s="39"/>
      <c r="AI181" s="39"/>
      <c r="AJ181" s="39"/>
      <c r="AK181" s="39"/>
      <c r="AL181" s="39"/>
      <c r="AM181" s="39"/>
      <c r="AN181" s="39"/>
      <c r="AO181" s="39"/>
      <c r="AP181" s="39"/>
      <c r="AQ181" s="32"/>
      <c r="AR181" s="32"/>
      <c r="AS181" s="32"/>
      <c r="AT181" s="32"/>
      <c r="AU181" s="32"/>
      <c r="AV181" s="32"/>
      <c r="AW181" s="32"/>
      <c r="AX181" s="32"/>
      <c r="AY181" s="32"/>
      <c r="AZ181" s="32"/>
      <c r="BA181" s="32"/>
      <c r="BB181" s="32"/>
      <c r="BC181" s="32"/>
      <c r="BD181" s="32"/>
      <c r="BE181" s="32"/>
      <c r="BF181" s="32"/>
      <c r="BG181" s="32"/>
      <c r="BH181" s="32"/>
      <c r="BI181" s="32"/>
      <c r="BJ181" s="32"/>
    </row>
    <row r="182" ht="15.75" customHeight="1">
      <c r="A182" s="32"/>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c r="AA182" s="39"/>
      <c r="AB182" s="39"/>
      <c r="AC182" s="39"/>
      <c r="AD182" s="39"/>
      <c r="AE182" s="39"/>
      <c r="AF182" s="39"/>
      <c r="AG182" s="39"/>
      <c r="AH182" s="39"/>
      <c r="AI182" s="39"/>
      <c r="AJ182" s="39"/>
      <c r="AK182" s="39"/>
      <c r="AL182" s="39"/>
      <c r="AM182" s="39"/>
      <c r="AN182" s="39"/>
      <c r="AO182" s="39"/>
      <c r="AP182" s="39"/>
      <c r="AQ182" s="32"/>
      <c r="AR182" s="32"/>
      <c r="AS182" s="32"/>
      <c r="AT182" s="32"/>
      <c r="AU182" s="32"/>
      <c r="AV182" s="32"/>
      <c r="AW182" s="32"/>
      <c r="AX182" s="32"/>
      <c r="AY182" s="32"/>
      <c r="AZ182" s="32"/>
      <c r="BA182" s="32"/>
      <c r="BB182" s="32"/>
      <c r="BC182" s="32"/>
      <c r="BD182" s="32"/>
      <c r="BE182" s="32"/>
      <c r="BF182" s="32"/>
      <c r="BG182" s="32"/>
      <c r="BH182" s="32"/>
      <c r="BI182" s="32"/>
      <c r="BJ182" s="32"/>
    </row>
    <row r="183" ht="15.75" customHeight="1">
      <c r="A183" s="32"/>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c r="AA183" s="39"/>
      <c r="AB183" s="39"/>
      <c r="AC183" s="39"/>
      <c r="AD183" s="39"/>
      <c r="AE183" s="39"/>
      <c r="AF183" s="39"/>
      <c r="AG183" s="39"/>
      <c r="AH183" s="39"/>
      <c r="AI183" s="39"/>
      <c r="AJ183" s="39"/>
      <c r="AK183" s="39"/>
      <c r="AL183" s="39"/>
      <c r="AM183" s="39"/>
      <c r="AN183" s="39"/>
      <c r="AO183" s="39"/>
      <c r="AP183" s="39"/>
      <c r="AQ183" s="32"/>
      <c r="AR183" s="32"/>
      <c r="AS183" s="32"/>
      <c r="AT183" s="32"/>
      <c r="AU183" s="32"/>
      <c r="AV183" s="32"/>
      <c r="AW183" s="32"/>
      <c r="AX183" s="32"/>
      <c r="AY183" s="32"/>
      <c r="AZ183" s="32"/>
      <c r="BA183" s="32"/>
      <c r="BB183" s="32"/>
      <c r="BC183" s="32"/>
      <c r="BD183" s="32"/>
      <c r="BE183" s="32"/>
      <c r="BF183" s="32"/>
      <c r="BG183" s="32"/>
      <c r="BH183" s="32"/>
      <c r="BI183" s="32"/>
      <c r="BJ183" s="32"/>
    </row>
    <row r="184" ht="15.75" customHeight="1">
      <c r="A184" s="32"/>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c r="AA184" s="39"/>
      <c r="AB184" s="39"/>
      <c r="AC184" s="39"/>
      <c r="AD184" s="39"/>
      <c r="AE184" s="39"/>
      <c r="AF184" s="39"/>
      <c r="AG184" s="39"/>
      <c r="AH184" s="39"/>
      <c r="AI184" s="39"/>
      <c r="AJ184" s="39"/>
      <c r="AK184" s="39"/>
      <c r="AL184" s="39"/>
      <c r="AM184" s="39"/>
      <c r="AN184" s="39"/>
      <c r="AO184" s="39"/>
      <c r="AP184" s="39"/>
      <c r="AQ184" s="32"/>
      <c r="AR184" s="32"/>
      <c r="AS184" s="32"/>
      <c r="AT184" s="32"/>
      <c r="AU184" s="32"/>
      <c r="AV184" s="32"/>
      <c r="AW184" s="32"/>
      <c r="AX184" s="32"/>
      <c r="AY184" s="32"/>
      <c r="AZ184" s="32"/>
      <c r="BA184" s="32"/>
      <c r="BB184" s="32"/>
      <c r="BC184" s="32"/>
      <c r="BD184" s="32"/>
      <c r="BE184" s="32"/>
      <c r="BF184" s="32"/>
      <c r="BG184" s="32"/>
      <c r="BH184" s="32"/>
      <c r="BI184" s="32"/>
      <c r="BJ184" s="32"/>
    </row>
    <row r="185" ht="15.75" customHeight="1">
      <c r="A185" s="32"/>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c r="AA185" s="39"/>
      <c r="AB185" s="39"/>
      <c r="AC185" s="39"/>
      <c r="AD185" s="39"/>
      <c r="AE185" s="39"/>
      <c r="AF185" s="39"/>
      <c r="AG185" s="39"/>
      <c r="AH185" s="39"/>
      <c r="AI185" s="39"/>
      <c r="AJ185" s="39"/>
      <c r="AK185" s="39"/>
      <c r="AL185" s="39"/>
      <c r="AM185" s="39"/>
      <c r="AN185" s="39"/>
      <c r="AO185" s="39"/>
      <c r="AP185" s="39"/>
      <c r="AQ185" s="32"/>
      <c r="AR185" s="32"/>
      <c r="AS185" s="32"/>
      <c r="AT185" s="32"/>
      <c r="AU185" s="32"/>
      <c r="AV185" s="32"/>
      <c r="AW185" s="32"/>
      <c r="AX185" s="32"/>
      <c r="AY185" s="32"/>
      <c r="AZ185" s="32"/>
      <c r="BA185" s="32"/>
      <c r="BB185" s="32"/>
      <c r="BC185" s="32"/>
      <c r="BD185" s="32"/>
      <c r="BE185" s="32"/>
      <c r="BF185" s="32"/>
      <c r="BG185" s="32"/>
      <c r="BH185" s="32"/>
      <c r="BI185" s="32"/>
      <c r="BJ185" s="32"/>
    </row>
    <row r="186" ht="15.75" customHeight="1">
      <c r="A186" s="32"/>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c r="AA186" s="39"/>
      <c r="AB186" s="39"/>
      <c r="AC186" s="39"/>
      <c r="AD186" s="39"/>
      <c r="AE186" s="39"/>
      <c r="AF186" s="39"/>
      <c r="AG186" s="39"/>
      <c r="AH186" s="39"/>
      <c r="AI186" s="39"/>
      <c r="AJ186" s="39"/>
      <c r="AK186" s="39"/>
      <c r="AL186" s="39"/>
      <c r="AM186" s="39"/>
      <c r="AN186" s="39"/>
      <c r="AO186" s="39"/>
      <c r="AP186" s="39"/>
      <c r="AQ186" s="32"/>
      <c r="AR186" s="32"/>
      <c r="AS186" s="32"/>
      <c r="AT186" s="32"/>
      <c r="AU186" s="32"/>
      <c r="AV186" s="32"/>
      <c r="AW186" s="32"/>
      <c r="AX186" s="32"/>
      <c r="AY186" s="32"/>
      <c r="AZ186" s="32"/>
      <c r="BA186" s="32"/>
      <c r="BB186" s="32"/>
      <c r="BC186" s="32"/>
      <c r="BD186" s="32"/>
      <c r="BE186" s="32"/>
      <c r="BF186" s="32"/>
      <c r="BG186" s="32"/>
      <c r="BH186" s="32"/>
      <c r="BI186" s="32"/>
      <c r="BJ186" s="32"/>
    </row>
    <row r="187" ht="15.75" customHeight="1">
      <c r="A187" s="32"/>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c r="AA187" s="39"/>
      <c r="AB187" s="39"/>
      <c r="AC187" s="39"/>
      <c r="AD187" s="39"/>
      <c r="AE187" s="39"/>
      <c r="AF187" s="39"/>
      <c r="AG187" s="39"/>
      <c r="AH187" s="39"/>
      <c r="AI187" s="39"/>
      <c r="AJ187" s="39"/>
      <c r="AK187" s="39"/>
      <c r="AL187" s="39"/>
      <c r="AM187" s="39"/>
      <c r="AN187" s="39"/>
      <c r="AO187" s="39"/>
      <c r="AP187" s="39"/>
      <c r="AQ187" s="32"/>
      <c r="AR187" s="32"/>
      <c r="AS187" s="32"/>
      <c r="AT187" s="32"/>
      <c r="AU187" s="32"/>
      <c r="AV187" s="32"/>
      <c r="AW187" s="32"/>
      <c r="AX187" s="32"/>
      <c r="AY187" s="32"/>
      <c r="AZ187" s="32"/>
      <c r="BA187" s="32"/>
      <c r="BB187" s="32"/>
      <c r="BC187" s="32"/>
      <c r="BD187" s="32"/>
      <c r="BE187" s="32"/>
      <c r="BF187" s="32"/>
      <c r="BG187" s="32"/>
      <c r="BH187" s="32"/>
      <c r="BI187" s="32"/>
      <c r="BJ187" s="32"/>
    </row>
    <row r="188" ht="15.75" customHeight="1">
      <c r="A188" s="32"/>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c r="AA188" s="39"/>
      <c r="AB188" s="39"/>
      <c r="AC188" s="39"/>
      <c r="AD188" s="39"/>
      <c r="AE188" s="39"/>
      <c r="AF188" s="39"/>
      <c r="AG188" s="39"/>
      <c r="AH188" s="39"/>
      <c r="AI188" s="39"/>
      <c r="AJ188" s="39"/>
      <c r="AK188" s="39"/>
      <c r="AL188" s="39"/>
      <c r="AM188" s="39"/>
      <c r="AN188" s="39"/>
      <c r="AO188" s="39"/>
      <c r="AP188" s="39"/>
      <c r="AQ188" s="32"/>
      <c r="AR188" s="32"/>
      <c r="AS188" s="32"/>
      <c r="AT188" s="32"/>
      <c r="AU188" s="32"/>
      <c r="AV188" s="32"/>
      <c r="AW188" s="32"/>
      <c r="AX188" s="32"/>
      <c r="AY188" s="32"/>
      <c r="AZ188" s="32"/>
      <c r="BA188" s="32"/>
      <c r="BB188" s="32"/>
      <c r="BC188" s="32"/>
      <c r="BD188" s="32"/>
      <c r="BE188" s="32"/>
      <c r="BF188" s="32"/>
      <c r="BG188" s="32"/>
      <c r="BH188" s="32"/>
      <c r="BI188" s="32"/>
      <c r="BJ188" s="32"/>
    </row>
    <row r="189" ht="15.75" customHeight="1">
      <c r="A189" s="32"/>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c r="AA189" s="39"/>
      <c r="AB189" s="39"/>
      <c r="AC189" s="39"/>
      <c r="AD189" s="39"/>
      <c r="AE189" s="39"/>
      <c r="AF189" s="39"/>
      <c r="AG189" s="39"/>
      <c r="AH189" s="39"/>
      <c r="AI189" s="39"/>
      <c r="AJ189" s="39"/>
      <c r="AK189" s="39"/>
      <c r="AL189" s="39"/>
      <c r="AM189" s="39"/>
      <c r="AN189" s="39"/>
      <c r="AO189" s="39"/>
      <c r="AP189" s="39"/>
      <c r="AQ189" s="32"/>
      <c r="AR189" s="32"/>
      <c r="AS189" s="32"/>
      <c r="AT189" s="32"/>
      <c r="AU189" s="32"/>
      <c r="AV189" s="32"/>
      <c r="AW189" s="32"/>
      <c r="AX189" s="32"/>
      <c r="AY189" s="32"/>
      <c r="AZ189" s="32"/>
      <c r="BA189" s="32"/>
      <c r="BB189" s="32"/>
      <c r="BC189" s="32"/>
      <c r="BD189" s="32"/>
      <c r="BE189" s="32"/>
      <c r="BF189" s="32"/>
      <c r="BG189" s="32"/>
      <c r="BH189" s="32"/>
      <c r="BI189" s="32"/>
      <c r="BJ189" s="32"/>
    </row>
    <row r="190" ht="15.75" customHeight="1">
      <c r="A190" s="32"/>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c r="AA190" s="39"/>
      <c r="AB190" s="39"/>
      <c r="AC190" s="39"/>
      <c r="AD190" s="39"/>
      <c r="AE190" s="39"/>
      <c r="AF190" s="39"/>
      <c r="AG190" s="39"/>
      <c r="AH190" s="39"/>
      <c r="AI190" s="39"/>
      <c r="AJ190" s="39"/>
      <c r="AK190" s="39"/>
      <c r="AL190" s="39"/>
      <c r="AM190" s="39"/>
      <c r="AN190" s="39"/>
      <c r="AO190" s="39"/>
      <c r="AP190" s="39"/>
      <c r="AQ190" s="32"/>
      <c r="AR190" s="32"/>
      <c r="AS190" s="32"/>
      <c r="AT190" s="32"/>
      <c r="AU190" s="32"/>
      <c r="AV190" s="32"/>
      <c r="AW190" s="32"/>
      <c r="AX190" s="32"/>
      <c r="AY190" s="32"/>
      <c r="AZ190" s="32"/>
      <c r="BA190" s="32"/>
      <c r="BB190" s="32"/>
      <c r="BC190" s="32"/>
      <c r="BD190" s="32"/>
      <c r="BE190" s="32"/>
      <c r="BF190" s="32"/>
      <c r="BG190" s="32"/>
      <c r="BH190" s="32"/>
      <c r="BI190" s="32"/>
      <c r="BJ190" s="32"/>
    </row>
    <row r="191" ht="15.75" customHeight="1">
      <c r="A191" s="32"/>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39"/>
      <c r="AC191" s="39"/>
      <c r="AD191" s="39"/>
      <c r="AE191" s="39"/>
      <c r="AF191" s="39"/>
      <c r="AG191" s="39"/>
      <c r="AH191" s="39"/>
      <c r="AI191" s="39"/>
      <c r="AJ191" s="39"/>
      <c r="AK191" s="39"/>
      <c r="AL191" s="39"/>
      <c r="AM191" s="39"/>
      <c r="AN191" s="39"/>
      <c r="AO191" s="39"/>
      <c r="AP191" s="39"/>
      <c r="AQ191" s="32"/>
      <c r="AR191" s="32"/>
      <c r="AS191" s="32"/>
      <c r="AT191" s="32"/>
      <c r="AU191" s="32"/>
      <c r="AV191" s="32"/>
      <c r="AW191" s="32"/>
      <c r="AX191" s="32"/>
      <c r="AY191" s="32"/>
      <c r="AZ191" s="32"/>
      <c r="BA191" s="32"/>
      <c r="BB191" s="32"/>
      <c r="BC191" s="32"/>
      <c r="BD191" s="32"/>
      <c r="BE191" s="32"/>
      <c r="BF191" s="32"/>
      <c r="BG191" s="32"/>
      <c r="BH191" s="32"/>
      <c r="BI191" s="32"/>
      <c r="BJ191" s="32"/>
    </row>
    <row r="192" ht="15.75" customHeight="1">
      <c r="A192" s="32"/>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c r="AA192" s="39"/>
      <c r="AB192" s="39"/>
      <c r="AC192" s="39"/>
      <c r="AD192" s="39"/>
      <c r="AE192" s="39"/>
      <c r="AF192" s="39"/>
      <c r="AG192" s="39"/>
      <c r="AH192" s="39"/>
      <c r="AI192" s="39"/>
      <c r="AJ192" s="39"/>
      <c r="AK192" s="39"/>
      <c r="AL192" s="39"/>
      <c r="AM192" s="39"/>
      <c r="AN192" s="39"/>
      <c r="AO192" s="39"/>
      <c r="AP192" s="39"/>
      <c r="AQ192" s="32"/>
      <c r="AR192" s="32"/>
      <c r="AS192" s="32"/>
      <c r="AT192" s="32"/>
      <c r="AU192" s="32"/>
      <c r="AV192" s="32"/>
      <c r="AW192" s="32"/>
      <c r="AX192" s="32"/>
      <c r="AY192" s="32"/>
      <c r="AZ192" s="32"/>
      <c r="BA192" s="32"/>
      <c r="BB192" s="32"/>
      <c r="BC192" s="32"/>
      <c r="BD192" s="32"/>
      <c r="BE192" s="32"/>
      <c r="BF192" s="32"/>
      <c r="BG192" s="32"/>
      <c r="BH192" s="32"/>
      <c r="BI192" s="32"/>
      <c r="BJ192" s="32"/>
    </row>
    <row r="193" ht="15.75" customHeight="1">
      <c r="A193" s="32"/>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c r="AA193" s="39"/>
      <c r="AB193" s="39"/>
      <c r="AC193" s="39"/>
      <c r="AD193" s="39"/>
      <c r="AE193" s="39"/>
      <c r="AF193" s="39"/>
      <c r="AG193" s="39"/>
      <c r="AH193" s="39"/>
      <c r="AI193" s="39"/>
      <c r="AJ193" s="39"/>
      <c r="AK193" s="39"/>
      <c r="AL193" s="39"/>
      <c r="AM193" s="39"/>
      <c r="AN193" s="39"/>
      <c r="AO193" s="39"/>
      <c r="AP193" s="39"/>
      <c r="AQ193" s="32"/>
      <c r="AR193" s="32"/>
      <c r="AS193" s="32"/>
      <c r="AT193" s="32"/>
      <c r="AU193" s="32"/>
      <c r="AV193" s="32"/>
      <c r="AW193" s="32"/>
      <c r="AX193" s="32"/>
      <c r="AY193" s="32"/>
      <c r="AZ193" s="32"/>
      <c r="BA193" s="32"/>
      <c r="BB193" s="32"/>
      <c r="BC193" s="32"/>
      <c r="BD193" s="32"/>
      <c r="BE193" s="32"/>
      <c r="BF193" s="32"/>
      <c r="BG193" s="32"/>
      <c r="BH193" s="32"/>
      <c r="BI193" s="32"/>
      <c r="BJ193" s="32"/>
    </row>
    <row r="194" ht="15.75" customHeight="1">
      <c r="A194" s="32"/>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c r="AA194" s="39"/>
      <c r="AB194" s="39"/>
      <c r="AC194" s="39"/>
      <c r="AD194" s="39"/>
      <c r="AE194" s="39"/>
      <c r="AF194" s="39"/>
      <c r="AG194" s="39"/>
      <c r="AH194" s="39"/>
      <c r="AI194" s="39"/>
      <c r="AJ194" s="39"/>
      <c r="AK194" s="39"/>
      <c r="AL194" s="39"/>
      <c r="AM194" s="39"/>
      <c r="AN194" s="39"/>
      <c r="AO194" s="39"/>
      <c r="AP194" s="39"/>
      <c r="AQ194" s="32"/>
      <c r="AR194" s="32"/>
      <c r="AS194" s="32"/>
      <c r="AT194" s="32"/>
      <c r="AU194" s="32"/>
      <c r="AV194" s="32"/>
      <c r="AW194" s="32"/>
      <c r="AX194" s="32"/>
      <c r="AY194" s="32"/>
      <c r="AZ194" s="32"/>
      <c r="BA194" s="32"/>
      <c r="BB194" s="32"/>
      <c r="BC194" s="32"/>
      <c r="BD194" s="32"/>
      <c r="BE194" s="32"/>
      <c r="BF194" s="32"/>
      <c r="BG194" s="32"/>
      <c r="BH194" s="32"/>
      <c r="BI194" s="32"/>
      <c r="BJ194" s="32"/>
    </row>
    <row r="195" ht="15.75" customHeight="1">
      <c r="A195" s="32"/>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c r="AA195" s="39"/>
      <c r="AB195" s="39"/>
      <c r="AC195" s="39"/>
      <c r="AD195" s="39"/>
      <c r="AE195" s="39"/>
      <c r="AF195" s="39"/>
      <c r="AG195" s="39"/>
      <c r="AH195" s="39"/>
      <c r="AI195" s="39"/>
      <c r="AJ195" s="39"/>
      <c r="AK195" s="39"/>
      <c r="AL195" s="39"/>
      <c r="AM195" s="39"/>
      <c r="AN195" s="39"/>
      <c r="AO195" s="39"/>
      <c r="AP195" s="39"/>
      <c r="AQ195" s="32"/>
      <c r="AR195" s="32"/>
      <c r="AS195" s="32"/>
      <c r="AT195" s="32"/>
      <c r="AU195" s="32"/>
      <c r="AV195" s="32"/>
      <c r="AW195" s="32"/>
      <c r="AX195" s="32"/>
      <c r="AY195" s="32"/>
      <c r="AZ195" s="32"/>
      <c r="BA195" s="32"/>
      <c r="BB195" s="32"/>
      <c r="BC195" s="32"/>
      <c r="BD195" s="32"/>
      <c r="BE195" s="32"/>
      <c r="BF195" s="32"/>
      <c r="BG195" s="32"/>
      <c r="BH195" s="32"/>
      <c r="BI195" s="32"/>
      <c r="BJ195" s="32"/>
    </row>
    <row r="196" ht="15.75" customHeight="1">
      <c r="A196" s="32"/>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c r="AA196" s="39"/>
      <c r="AB196" s="39"/>
      <c r="AC196" s="39"/>
      <c r="AD196" s="39"/>
      <c r="AE196" s="39"/>
      <c r="AF196" s="39"/>
      <c r="AG196" s="39"/>
      <c r="AH196" s="39"/>
      <c r="AI196" s="39"/>
      <c r="AJ196" s="39"/>
      <c r="AK196" s="39"/>
      <c r="AL196" s="39"/>
      <c r="AM196" s="39"/>
      <c r="AN196" s="39"/>
      <c r="AO196" s="39"/>
      <c r="AP196" s="39"/>
      <c r="AQ196" s="32"/>
      <c r="AR196" s="32"/>
      <c r="AS196" s="32"/>
      <c r="AT196" s="32"/>
      <c r="AU196" s="32"/>
      <c r="AV196" s="32"/>
      <c r="AW196" s="32"/>
      <c r="AX196" s="32"/>
      <c r="AY196" s="32"/>
      <c r="AZ196" s="32"/>
      <c r="BA196" s="32"/>
      <c r="BB196" s="32"/>
      <c r="BC196" s="32"/>
      <c r="BD196" s="32"/>
      <c r="BE196" s="32"/>
      <c r="BF196" s="32"/>
      <c r="BG196" s="32"/>
      <c r="BH196" s="32"/>
      <c r="BI196" s="32"/>
      <c r="BJ196" s="32"/>
    </row>
    <row r="197" ht="15.75" customHeight="1">
      <c r="A197" s="32"/>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c r="AA197" s="39"/>
      <c r="AB197" s="39"/>
      <c r="AC197" s="39"/>
      <c r="AD197" s="39"/>
      <c r="AE197" s="39"/>
      <c r="AF197" s="39"/>
      <c r="AG197" s="39"/>
      <c r="AH197" s="39"/>
      <c r="AI197" s="39"/>
      <c r="AJ197" s="39"/>
      <c r="AK197" s="39"/>
      <c r="AL197" s="39"/>
      <c r="AM197" s="39"/>
      <c r="AN197" s="39"/>
      <c r="AO197" s="39"/>
      <c r="AP197" s="39"/>
      <c r="AQ197" s="32"/>
      <c r="AR197" s="32"/>
      <c r="AS197" s="32"/>
      <c r="AT197" s="32"/>
      <c r="AU197" s="32"/>
      <c r="AV197" s="32"/>
      <c r="AW197" s="32"/>
      <c r="AX197" s="32"/>
      <c r="AY197" s="32"/>
      <c r="AZ197" s="32"/>
      <c r="BA197" s="32"/>
      <c r="BB197" s="32"/>
      <c r="BC197" s="32"/>
      <c r="BD197" s="32"/>
      <c r="BE197" s="32"/>
      <c r="BF197" s="32"/>
      <c r="BG197" s="32"/>
      <c r="BH197" s="32"/>
      <c r="BI197" s="32"/>
      <c r="BJ197" s="32"/>
    </row>
    <row r="198" ht="15.75" customHeight="1">
      <c r="A198" s="32"/>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c r="AA198" s="39"/>
      <c r="AB198" s="39"/>
      <c r="AC198" s="39"/>
      <c r="AD198" s="39"/>
      <c r="AE198" s="39"/>
      <c r="AF198" s="39"/>
      <c r="AG198" s="39"/>
      <c r="AH198" s="39"/>
      <c r="AI198" s="39"/>
      <c r="AJ198" s="39"/>
      <c r="AK198" s="39"/>
      <c r="AL198" s="39"/>
      <c r="AM198" s="39"/>
      <c r="AN198" s="39"/>
      <c r="AO198" s="39"/>
      <c r="AP198" s="39"/>
      <c r="AQ198" s="32"/>
      <c r="AR198" s="32"/>
      <c r="AS198" s="32"/>
      <c r="AT198" s="32"/>
      <c r="AU198" s="32"/>
      <c r="AV198" s="32"/>
      <c r="AW198" s="32"/>
      <c r="AX198" s="32"/>
      <c r="AY198" s="32"/>
      <c r="AZ198" s="32"/>
      <c r="BA198" s="32"/>
      <c r="BB198" s="32"/>
      <c r="BC198" s="32"/>
      <c r="BD198" s="32"/>
      <c r="BE198" s="32"/>
      <c r="BF198" s="32"/>
      <c r="BG198" s="32"/>
      <c r="BH198" s="32"/>
      <c r="BI198" s="32"/>
      <c r="BJ198" s="32"/>
    </row>
    <row r="199" ht="15.75" customHeight="1">
      <c r="A199" s="32"/>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c r="AA199" s="39"/>
      <c r="AB199" s="39"/>
      <c r="AC199" s="39"/>
      <c r="AD199" s="39"/>
      <c r="AE199" s="39"/>
      <c r="AF199" s="39"/>
      <c r="AG199" s="39"/>
      <c r="AH199" s="39"/>
      <c r="AI199" s="39"/>
      <c r="AJ199" s="39"/>
      <c r="AK199" s="39"/>
      <c r="AL199" s="39"/>
      <c r="AM199" s="39"/>
      <c r="AN199" s="39"/>
      <c r="AO199" s="39"/>
      <c r="AP199" s="39"/>
      <c r="AQ199" s="32"/>
      <c r="AR199" s="32"/>
      <c r="AS199" s="32"/>
      <c r="AT199" s="32"/>
      <c r="AU199" s="32"/>
      <c r="AV199" s="32"/>
      <c r="AW199" s="32"/>
      <c r="AX199" s="32"/>
      <c r="AY199" s="32"/>
      <c r="AZ199" s="32"/>
      <c r="BA199" s="32"/>
      <c r="BB199" s="32"/>
      <c r="BC199" s="32"/>
      <c r="BD199" s="32"/>
      <c r="BE199" s="32"/>
      <c r="BF199" s="32"/>
      <c r="BG199" s="32"/>
      <c r="BH199" s="32"/>
      <c r="BI199" s="32"/>
      <c r="BJ199" s="32"/>
    </row>
    <row r="200" ht="15.75" customHeight="1">
      <c r="A200" s="32"/>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c r="AA200" s="39"/>
      <c r="AB200" s="39"/>
      <c r="AC200" s="39"/>
      <c r="AD200" s="39"/>
      <c r="AE200" s="39"/>
      <c r="AF200" s="39"/>
      <c r="AG200" s="39"/>
      <c r="AH200" s="39"/>
      <c r="AI200" s="39"/>
      <c r="AJ200" s="39"/>
      <c r="AK200" s="39"/>
      <c r="AL200" s="39"/>
      <c r="AM200" s="39"/>
      <c r="AN200" s="39"/>
      <c r="AO200" s="39"/>
      <c r="AP200" s="39"/>
      <c r="AQ200" s="32"/>
      <c r="AR200" s="32"/>
      <c r="AS200" s="32"/>
      <c r="AT200" s="32"/>
      <c r="AU200" s="32"/>
      <c r="AV200" s="32"/>
      <c r="AW200" s="32"/>
      <c r="AX200" s="32"/>
      <c r="AY200" s="32"/>
      <c r="AZ200" s="32"/>
      <c r="BA200" s="32"/>
      <c r="BB200" s="32"/>
      <c r="BC200" s="32"/>
      <c r="BD200" s="32"/>
      <c r="BE200" s="32"/>
      <c r="BF200" s="32"/>
      <c r="BG200" s="32"/>
      <c r="BH200" s="32"/>
      <c r="BI200" s="32"/>
      <c r="BJ200" s="32"/>
    </row>
    <row r="201" ht="15.75" customHeight="1">
      <c r="A201" s="32"/>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c r="AA201" s="39"/>
      <c r="AB201" s="39"/>
      <c r="AC201" s="39"/>
      <c r="AD201" s="39"/>
      <c r="AE201" s="39"/>
      <c r="AF201" s="39"/>
      <c r="AG201" s="39"/>
      <c r="AH201" s="39"/>
      <c r="AI201" s="39"/>
      <c r="AJ201" s="39"/>
      <c r="AK201" s="39"/>
      <c r="AL201" s="39"/>
      <c r="AM201" s="39"/>
      <c r="AN201" s="39"/>
      <c r="AO201" s="39"/>
      <c r="AP201" s="39"/>
      <c r="AQ201" s="32"/>
      <c r="AR201" s="32"/>
      <c r="AS201" s="32"/>
      <c r="AT201" s="32"/>
      <c r="AU201" s="32"/>
      <c r="AV201" s="32"/>
      <c r="AW201" s="32"/>
      <c r="AX201" s="32"/>
      <c r="AY201" s="32"/>
      <c r="AZ201" s="32"/>
      <c r="BA201" s="32"/>
      <c r="BB201" s="32"/>
      <c r="BC201" s="32"/>
      <c r="BD201" s="32"/>
      <c r="BE201" s="32"/>
      <c r="BF201" s="32"/>
      <c r="BG201" s="32"/>
      <c r="BH201" s="32"/>
      <c r="BI201" s="32"/>
      <c r="BJ201" s="32"/>
    </row>
    <row r="202" ht="15.75" customHeight="1">
      <c r="A202" s="32"/>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c r="AA202" s="39"/>
      <c r="AB202" s="39"/>
      <c r="AC202" s="39"/>
      <c r="AD202" s="39"/>
      <c r="AE202" s="39"/>
      <c r="AF202" s="39"/>
      <c r="AG202" s="39"/>
      <c r="AH202" s="39"/>
      <c r="AI202" s="39"/>
      <c r="AJ202" s="39"/>
      <c r="AK202" s="39"/>
      <c r="AL202" s="39"/>
      <c r="AM202" s="39"/>
      <c r="AN202" s="39"/>
      <c r="AO202" s="39"/>
      <c r="AP202" s="39"/>
      <c r="AQ202" s="32"/>
      <c r="AR202" s="32"/>
      <c r="AS202" s="32"/>
      <c r="AT202" s="32"/>
      <c r="AU202" s="32"/>
      <c r="AV202" s="32"/>
      <c r="AW202" s="32"/>
      <c r="AX202" s="32"/>
      <c r="AY202" s="32"/>
      <c r="AZ202" s="32"/>
      <c r="BA202" s="32"/>
      <c r="BB202" s="32"/>
      <c r="BC202" s="32"/>
      <c r="BD202" s="32"/>
      <c r="BE202" s="32"/>
      <c r="BF202" s="32"/>
      <c r="BG202" s="32"/>
      <c r="BH202" s="32"/>
      <c r="BI202" s="32"/>
      <c r="BJ202" s="32"/>
    </row>
    <row r="203" ht="15.75" customHeight="1">
      <c r="A203" s="32"/>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c r="AA203" s="39"/>
      <c r="AB203" s="39"/>
      <c r="AC203" s="39"/>
      <c r="AD203" s="39"/>
      <c r="AE203" s="39"/>
      <c r="AF203" s="39"/>
      <c r="AG203" s="39"/>
      <c r="AH203" s="39"/>
      <c r="AI203" s="39"/>
      <c r="AJ203" s="39"/>
      <c r="AK203" s="39"/>
      <c r="AL203" s="39"/>
      <c r="AM203" s="39"/>
      <c r="AN203" s="39"/>
      <c r="AO203" s="39"/>
      <c r="AP203" s="39"/>
      <c r="AQ203" s="32"/>
      <c r="AR203" s="32"/>
      <c r="AS203" s="32"/>
      <c r="AT203" s="32"/>
      <c r="AU203" s="32"/>
      <c r="AV203" s="32"/>
      <c r="AW203" s="32"/>
      <c r="AX203" s="32"/>
      <c r="AY203" s="32"/>
      <c r="AZ203" s="32"/>
      <c r="BA203" s="32"/>
      <c r="BB203" s="32"/>
      <c r="BC203" s="32"/>
      <c r="BD203" s="32"/>
      <c r="BE203" s="32"/>
      <c r="BF203" s="32"/>
      <c r="BG203" s="32"/>
      <c r="BH203" s="32"/>
      <c r="BI203" s="32"/>
      <c r="BJ203" s="32"/>
    </row>
    <row r="204" ht="15.75" customHeight="1">
      <c r="A204" s="32"/>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c r="AA204" s="39"/>
      <c r="AB204" s="39"/>
      <c r="AC204" s="39"/>
      <c r="AD204" s="39"/>
      <c r="AE204" s="39"/>
      <c r="AF204" s="39"/>
      <c r="AG204" s="39"/>
      <c r="AH204" s="39"/>
      <c r="AI204" s="39"/>
      <c r="AJ204" s="39"/>
      <c r="AK204" s="39"/>
      <c r="AL204" s="39"/>
      <c r="AM204" s="39"/>
      <c r="AN204" s="39"/>
      <c r="AO204" s="39"/>
      <c r="AP204" s="39"/>
      <c r="AQ204" s="32"/>
      <c r="AR204" s="32"/>
      <c r="AS204" s="32"/>
      <c r="AT204" s="32"/>
      <c r="AU204" s="32"/>
      <c r="AV204" s="32"/>
      <c r="AW204" s="32"/>
      <c r="AX204" s="32"/>
      <c r="AY204" s="32"/>
      <c r="AZ204" s="32"/>
      <c r="BA204" s="32"/>
      <c r="BB204" s="32"/>
      <c r="BC204" s="32"/>
      <c r="BD204" s="32"/>
      <c r="BE204" s="32"/>
      <c r="BF204" s="32"/>
      <c r="BG204" s="32"/>
      <c r="BH204" s="32"/>
      <c r="BI204" s="32"/>
      <c r="BJ204" s="32"/>
    </row>
    <row r="205" ht="15.75" customHeight="1">
      <c r="A205" s="32"/>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c r="AA205" s="39"/>
      <c r="AB205" s="39"/>
      <c r="AC205" s="39"/>
      <c r="AD205" s="39"/>
      <c r="AE205" s="39"/>
      <c r="AF205" s="39"/>
      <c r="AG205" s="39"/>
      <c r="AH205" s="39"/>
      <c r="AI205" s="39"/>
      <c r="AJ205" s="39"/>
      <c r="AK205" s="39"/>
      <c r="AL205" s="39"/>
      <c r="AM205" s="39"/>
      <c r="AN205" s="39"/>
      <c r="AO205" s="39"/>
      <c r="AP205" s="39"/>
      <c r="AQ205" s="32"/>
      <c r="AR205" s="32"/>
      <c r="AS205" s="32"/>
      <c r="AT205" s="32"/>
      <c r="AU205" s="32"/>
      <c r="AV205" s="32"/>
      <c r="AW205" s="32"/>
      <c r="AX205" s="32"/>
      <c r="AY205" s="32"/>
      <c r="AZ205" s="32"/>
      <c r="BA205" s="32"/>
      <c r="BB205" s="32"/>
      <c r="BC205" s="32"/>
      <c r="BD205" s="32"/>
      <c r="BE205" s="32"/>
      <c r="BF205" s="32"/>
      <c r="BG205" s="32"/>
      <c r="BH205" s="32"/>
      <c r="BI205" s="32"/>
      <c r="BJ205" s="32"/>
    </row>
    <row r="206" ht="15.75" customHeight="1">
      <c r="A206" s="32"/>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c r="AA206" s="39"/>
      <c r="AB206" s="39"/>
      <c r="AC206" s="39"/>
      <c r="AD206" s="39"/>
      <c r="AE206" s="39"/>
      <c r="AF206" s="39"/>
      <c r="AG206" s="39"/>
      <c r="AH206" s="39"/>
      <c r="AI206" s="39"/>
      <c r="AJ206" s="39"/>
      <c r="AK206" s="39"/>
      <c r="AL206" s="39"/>
      <c r="AM206" s="39"/>
      <c r="AN206" s="39"/>
      <c r="AO206" s="39"/>
      <c r="AP206" s="39"/>
      <c r="AQ206" s="32"/>
      <c r="AR206" s="32"/>
      <c r="AS206" s="32"/>
      <c r="AT206" s="32"/>
      <c r="AU206" s="32"/>
      <c r="AV206" s="32"/>
      <c r="AW206" s="32"/>
      <c r="AX206" s="32"/>
      <c r="AY206" s="32"/>
      <c r="AZ206" s="32"/>
      <c r="BA206" s="32"/>
      <c r="BB206" s="32"/>
      <c r="BC206" s="32"/>
      <c r="BD206" s="32"/>
      <c r="BE206" s="32"/>
      <c r="BF206" s="32"/>
      <c r="BG206" s="32"/>
      <c r="BH206" s="32"/>
      <c r="BI206" s="32"/>
      <c r="BJ206" s="32"/>
    </row>
    <row r="207" ht="15.75" customHeight="1">
      <c r="A207" s="32"/>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c r="AA207" s="39"/>
      <c r="AB207" s="39"/>
      <c r="AC207" s="39"/>
      <c r="AD207" s="39"/>
      <c r="AE207" s="39"/>
      <c r="AF207" s="39"/>
      <c r="AG207" s="39"/>
      <c r="AH207" s="39"/>
      <c r="AI207" s="39"/>
      <c r="AJ207" s="39"/>
      <c r="AK207" s="39"/>
      <c r="AL207" s="39"/>
      <c r="AM207" s="39"/>
      <c r="AN207" s="39"/>
      <c r="AO207" s="39"/>
      <c r="AP207" s="39"/>
      <c r="AQ207" s="32"/>
      <c r="AR207" s="32"/>
      <c r="AS207" s="32"/>
      <c r="AT207" s="32"/>
      <c r="AU207" s="32"/>
      <c r="AV207" s="32"/>
      <c r="AW207" s="32"/>
      <c r="AX207" s="32"/>
      <c r="AY207" s="32"/>
      <c r="AZ207" s="32"/>
      <c r="BA207" s="32"/>
      <c r="BB207" s="32"/>
      <c r="BC207" s="32"/>
      <c r="BD207" s="32"/>
      <c r="BE207" s="32"/>
      <c r="BF207" s="32"/>
      <c r="BG207" s="32"/>
      <c r="BH207" s="32"/>
      <c r="BI207" s="32"/>
      <c r="BJ207" s="32"/>
    </row>
    <row r="208" ht="15.75" customHeight="1">
      <c r="A208" s="32"/>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c r="AA208" s="39"/>
      <c r="AB208" s="39"/>
      <c r="AC208" s="39"/>
      <c r="AD208" s="39"/>
      <c r="AE208" s="39"/>
      <c r="AF208" s="39"/>
      <c r="AG208" s="39"/>
      <c r="AH208" s="39"/>
      <c r="AI208" s="39"/>
      <c r="AJ208" s="39"/>
      <c r="AK208" s="39"/>
      <c r="AL208" s="39"/>
      <c r="AM208" s="39"/>
      <c r="AN208" s="39"/>
      <c r="AO208" s="39"/>
      <c r="AP208" s="39"/>
      <c r="AQ208" s="32"/>
      <c r="AR208" s="32"/>
      <c r="AS208" s="32"/>
      <c r="AT208" s="32"/>
      <c r="AU208" s="32"/>
      <c r="AV208" s="32"/>
      <c r="AW208" s="32"/>
      <c r="AX208" s="32"/>
      <c r="AY208" s="32"/>
      <c r="AZ208" s="32"/>
      <c r="BA208" s="32"/>
      <c r="BB208" s="32"/>
      <c r="BC208" s="32"/>
      <c r="BD208" s="32"/>
      <c r="BE208" s="32"/>
      <c r="BF208" s="32"/>
      <c r="BG208" s="32"/>
      <c r="BH208" s="32"/>
      <c r="BI208" s="32"/>
      <c r="BJ208" s="32"/>
    </row>
    <row r="209" ht="15.75" customHeight="1">
      <c r="A209" s="32"/>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c r="AA209" s="39"/>
      <c r="AB209" s="39"/>
      <c r="AC209" s="39"/>
      <c r="AD209" s="39"/>
      <c r="AE209" s="39"/>
      <c r="AF209" s="39"/>
      <c r="AG209" s="39"/>
      <c r="AH209" s="39"/>
      <c r="AI209" s="39"/>
      <c r="AJ209" s="39"/>
      <c r="AK209" s="39"/>
      <c r="AL209" s="39"/>
      <c r="AM209" s="39"/>
      <c r="AN209" s="39"/>
      <c r="AO209" s="39"/>
      <c r="AP209" s="39"/>
      <c r="AQ209" s="32"/>
      <c r="AR209" s="32"/>
      <c r="AS209" s="32"/>
      <c r="AT209" s="32"/>
      <c r="AU209" s="32"/>
      <c r="AV209" s="32"/>
      <c r="AW209" s="32"/>
      <c r="AX209" s="32"/>
      <c r="AY209" s="32"/>
      <c r="AZ209" s="32"/>
      <c r="BA209" s="32"/>
      <c r="BB209" s="32"/>
      <c r="BC209" s="32"/>
      <c r="BD209" s="32"/>
      <c r="BE209" s="32"/>
      <c r="BF209" s="32"/>
      <c r="BG209" s="32"/>
      <c r="BH209" s="32"/>
      <c r="BI209" s="32"/>
      <c r="BJ209" s="32"/>
    </row>
    <row r="210" ht="15.75" customHeight="1">
      <c r="A210" s="32"/>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c r="AA210" s="39"/>
      <c r="AB210" s="39"/>
      <c r="AC210" s="39"/>
      <c r="AD210" s="39"/>
      <c r="AE210" s="39"/>
      <c r="AF210" s="39"/>
      <c r="AG210" s="39"/>
      <c r="AH210" s="39"/>
      <c r="AI210" s="39"/>
      <c r="AJ210" s="39"/>
      <c r="AK210" s="39"/>
      <c r="AL210" s="39"/>
      <c r="AM210" s="39"/>
      <c r="AN210" s="39"/>
      <c r="AO210" s="39"/>
      <c r="AP210" s="39"/>
      <c r="AQ210" s="32"/>
      <c r="AR210" s="32"/>
      <c r="AS210" s="32"/>
      <c r="AT210" s="32"/>
      <c r="AU210" s="32"/>
      <c r="AV210" s="32"/>
      <c r="AW210" s="32"/>
      <c r="AX210" s="32"/>
      <c r="AY210" s="32"/>
      <c r="AZ210" s="32"/>
      <c r="BA210" s="32"/>
      <c r="BB210" s="32"/>
      <c r="BC210" s="32"/>
      <c r="BD210" s="32"/>
      <c r="BE210" s="32"/>
      <c r="BF210" s="32"/>
      <c r="BG210" s="32"/>
      <c r="BH210" s="32"/>
      <c r="BI210" s="32"/>
      <c r="BJ210" s="32"/>
    </row>
    <row r="211" ht="15.75" customHeight="1">
      <c r="A211" s="32"/>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c r="AA211" s="39"/>
      <c r="AB211" s="39"/>
      <c r="AC211" s="39"/>
      <c r="AD211" s="39"/>
      <c r="AE211" s="39"/>
      <c r="AF211" s="39"/>
      <c r="AG211" s="39"/>
      <c r="AH211" s="39"/>
      <c r="AI211" s="39"/>
      <c r="AJ211" s="39"/>
      <c r="AK211" s="39"/>
      <c r="AL211" s="39"/>
      <c r="AM211" s="39"/>
      <c r="AN211" s="39"/>
      <c r="AO211" s="39"/>
      <c r="AP211" s="39"/>
      <c r="AQ211" s="32"/>
      <c r="AR211" s="32"/>
      <c r="AS211" s="32"/>
      <c r="AT211" s="32"/>
      <c r="AU211" s="32"/>
      <c r="AV211" s="32"/>
      <c r="AW211" s="32"/>
      <c r="AX211" s="32"/>
      <c r="AY211" s="32"/>
      <c r="AZ211" s="32"/>
      <c r="BA211" s="32"/>
      <c r="BB211" s="32"/>
      <c r="BC211" s="32"/>
      <c r="BD211" s="32"/>
      <c r="BE211" s="32"/>
      <c r="BF211" s="32"/>
      <c r="BG211" s="32"/>
      <c r="BH211" s="32"/>
      <c r="BI211" s="32"/>
      <c r="BJ211" s="32"/>
    </row>
    <row r="212" ht="15.75" customHeight="1">
      <c r="A212" s="32"/>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c r="AA212" s="39"/>
      <c r="AB212" s="39"/>
      <c r="AC212" s="39"/>
      <c r="AD212" s="39"/>
      <c r="AE212" s="39"/>
      <c r="AF212" s="39"/>
      <c r="AG212" s="39"/>
      <c r="AH212" s="39"/>
      <c r="AI212" s="39"/>
      <c r="AJ212" s="39"/>
      <c r="AK212" s="39"/>
      <c r="AL212" s="39"/>
      <c r="AM212" s="39"/>
      <c r="AN212" s="39"/>
      <c r="AO212" s="39"/>
      <c r="AP212" s="39"/>
      <c r="AQ212" s="32"/>
      <c r="AR212" s="32"/>
      <c r="AS212" s="32"/>
      <c r="AT212" s="32"/>
      <c r="AU212" s="32"/>
      <c r="AV212" s="32"/>
      <c r="AW212" s="32"/>
      <c r="AX212" s="32"/>
      <c r="AY212" s="32"/>
      <c r="AZ212" s="32"/>
      <c r="BA212" s="32"/>
      <c r="BB212" s="32"/>
      <c r="BC212" s="32"/>
      <c r="BD212" s="32"/>
      <c r="BE212" s="32"/>
      <c r="BF212" s="32"/>
      <c r="BG212" s="32"/>
      <c r="BH212" s="32"/>
      <c r="BI212" s="32"/>
      <c r="BJ212" s="32"/>
    </row>
    <row r="213" ht="15.75" customHeight="1">
      <c r="A213" s="32"/>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c r="AA213" s="39"/>
      <c r="AB213" s="39"/>
      <c r="AC213" s="39"/>
      <c r="AD213" s="39"/>
      <c r="AE213" s="39"/>
      <c r="AF213" s="39"/>
      <c r="AG213" s="39"/>
      <c r="AH213" s="39"/>
      <c r="AI213" s="39"/>
      <c r="AJ213" s="39"/>
      <c r="AK213" s="39"/>
      <c r="AL213" s="39"/>
      <c r="AM213" s="39"/>
      <c r="AN213" s="39"/>
      <c r="AO213" s="39"/>
      <c r="AP213" s="39"/>
      <c r="AQ213" s="32"/>
      <c r="AR213" s="32"/>
      <c r="AS213" s="32"/>
      <c r="AT213" s="32"/>
      <c r="AU213" s="32"/>
      <c r="AV213" s="32"/>
      <c r="AW213" s="32"/>
      <c r="AX213" s="32"/>
      <c r="AY213" s="32"/>
      <c r="AZ213" s="32"/>
      <c r="BA213" s="32"/>
      <c r="BB213" s="32"/>
      <c r="BC213" s="32"/>
      <c r="BD213" s="32"/>
      <c r="BE213" s="32"/>
      <c r="BF213" s="32"/>
      <c r="BG213" s="32"/>
      <c r="BH213" s="32"/>
      <c r="BI213" s="32"/>
      <c r="BJ213" s="32"/>
    </row>
    <row r="214" ht="15.75" customHeight="1">
      <c r="A214" s="32"/>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c r="AA214" s="39"/>
      <c r="AB214" s="39"/>
      <c r="AC214" s="39"/>
      <c r="AD214" s="39"/>
      <c r="AE214" s="39"/>
      <c r="AF214" s="39"/>
      <c r="AG214" s="39"/>
      <c r="AH214" s="39"/>
      <c r="AI214" s="39"/>
      <c r="AJ214" s="39"/>
      <c r="AK214" s="39"/>
      <c r="AL214" s="39"/>
      <c r="AM214" s="39"/>
      <c r="AN214" s="39"/>
      <c r="AO214" s="39"/>
      <c r="AP214" s="39"/>
      <c r="AQ214" s="32"/>
      <c r="AR214" s="32"/>
      <c r="AS214" s="32"/>
      <c r="AT214" s="32"/>
      <c r="AU214" s="32"/>
      <c r="AV214" s="32"/>
      <c r="AW214" s="32"/>
      <c r="AX214" s="32"/>
      <c r="AY214" s="32"/>
      <c r="AZ214" s="32"/>
      <c r="BA214" s="32"/>
      <c r="BB214" s="32"/>
      <c r="BC214" s="32"/>
      <c r="BD214" s="32"/>
      <c r="BE214" s="32"/>
      <c r="BF214" s="32"/>
      <c r="BG214" s="32"/>
      <c r="BH214" s="32"/>
      <c r="BI214" s="32"/>
      <c r="BJ214" s="32"/>
    </row>
    <row r="215" ht="15.75" customHeight="1">
      <c r="A215" s="32"/>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c r="AA215" s="39"/>
      <c r="AB215" s="39"/>
      <c r="AC215" s="39"/>
      <c r="AD215" s="39"/>
      <c r="AE215" s="39"/>
      <c r="AF215" s="39"/>
      <c r="AG215" s="39"/>
      <c r="AH215" s="39"/>
      <c r="AI215" s="39"/>
      <c r="AJ215" s="39"/>
      <c r="AK215" s="39"/>
      <c r="AL215" s="39"/>
      <c r="AM215" s="39"/>
      <c r="AN215" s="39"/>
      <c r="AO215" s="39"/>
      <c r="AP215" s="39"/>
      <c r="AQ215" s="32"/>
      <c r="AR215" s="32"/>
      <c r="AS215" s="32"/>
      <c r="AT215" s="32"/>
      <c r="AU215" s="32"/>
      <c r="AV215" s="32"/>
      <c r="AW215" s="32"/>
      <c r="AX215" s="32"/>
      <c r="AY215" s="32"/>
      <c r="AZ215" s="32"/>
      <c r="BA215" s="32"/>
      <c r="BB215" s="32"/>
      <c r="BC215" s="32"/>
      <c r="BD215" s="32"/>
      <c r="BE215" s="32"/>
      <c r="BF215" s="32"/>
      <c r="BG215" s="32"/>
      <c r="BH215" s="32"/>
      <c r="BI215" s="32"/>
      <c r="BJ215" s="32"/>
    </row>
    <row r="216" ht="15.75" customHeight="1">
      <c r="A216" s="32"/>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c r="AA216" s="39"/>
      <c r="AB216" s="39"/>
      <c r="AC216" s="39"/>
      <c r="AD216" s="39"/>
      <c r="AE216" s="39"/>
      <c r="AF216" s="39"/>
      <c r="AG216" s="39"/>
      <c r="AH216" s="39"/>
      <c r="AI216" s="39"/>
      <c r="AJ216" s="39"/>
      <c r="AK216" s="39"/>
      <c r="AL216" s="39"/>
      <c r="AM216" s="39"/>
      <c r="AN216" s="39"/>
      <c r="AO216" s="39"/>
      <c r="AP216" s="39"/>
      <c r="AQ216" s="32"/>
      <c r="AR216" s="32"/>
      <c r="AS216" s="32"/>
      <c r="AT216" s="32"/>
      <c r="AU216" s="32"/>
      <c r="AV216" s="32"/>
      <c r="AW216" s="32"/>
      <c r="AX216" s="32"/>
      <c r="AY216" s="32"/>
      <c r="AZ216" s="32"/>
      <c r="BA216" s="32"/>
      <c r="BB216" s="32"/>
      <c r="BC216" s="32"/>
      <c r="BD216" s="32"/>
      <c r="BE216" s="32"/>
      <c r="BF216" s="32"/>
      <c r="BG216" s="32"/>
      <c r="BH216" s="32"/>
      <c r="BI216" s="32"/>
      <c r="BJ216" s="32"/>
    </row>
    <row r="217" ht="15.75" customHeight="1">
      <c r="A217" s="32"/>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c r="AA217" s="39"/>
      <c r="AB217" s="39"/>
      <c r="AC217" s="39"/>
      <c r="AD217" s="39"/>
      <c r="AE217" s="39"/>
      <c r="AF217" s="39"/>
      <c r="AG217" s="39"/>
      <c r="AH217" s="39"/>
      <c r="AI217" s="39"/>
      <c r="AJ217" s="39"/>
      <c r="AK217" s="39"/>
      <c r="AL217" s="39"/>
      <c r="AM217" s="39"/>
      <c r="AN217" s="39"/>
      <c r="AO217" s="39"/>
      <c r="AP217" s="39"/>
      <c r="AQ217" s="32"/>
      <c r="AR217" s="32"/>
      <c r="AS217" s="32"/>
      <c r="AT217" s="32"/>
      <c r="AU217" s="32"/>
      <c r="AV217" s="32"/>
      <c r="AW217" s="32"/>
      <c r="AX217" s="32"/>
      <c r="AY217" s="32"/>
      <c r="AZ217" s="32"/>
      <c r="BA217" s="32"/>
      <c r="BB217" s="32"/>
      <c r="BC217" s="32"/>
      <c r="BD217" s="32"/>
      <c r="BE217" s="32"/>
      <c r="BF217" s="32"/>
      <c r="BG217" s="32"/>
      <c r="BH217" s="32"/>
      <c r="BI217" s="32"/>
      <c r="BJ217" s="32"/>
    </row>
    <row r="218" ht="15.75" customHeight="1">
      <c r="A218" s="32"/>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c r="AA218" s="39"/>
      <c r="AB218" s="39"/>
      <c r="AC218" s="39"/>
      <c r="AD218" s="39"/>
      <c r="AE218" s="39"/>
      <c r="AF218" s="39"/>
      <c r="AG218" s="39"/>
      <c r="AH218" s="39"/>
      <c r="AI218" s="39"/>
      <c r="AJ218" s="39"/>
      <c r="AK218" s="39"/>
      <c r="AL218" s="39"/>
      <c r="AM218" s="39"/>
      <c r="AN218" s="39"/>
      <c r="AO218" s="39"/>
      <c r="AP218" s="39"/>
      <c r="AQ218" s="32"/>
      <c r="AR218" s="32"/>
      <c r="AS218" s="32"/>
      <c r="AT218" s="32"/>
      <c r="AU218" s="32"/>
      <c r="AV218" s="32"/>
      <c r="AW218" s="32"/>
      <c r="AX218" s="32"/>
      <c r="AY218" s="32"/>
      <c r="AZ218" s="32"/>
      <c r="BA218" s="32"/>
      <c r="BB218" s="32"/>
      <c r="BC218" s="32"/>
      <c r="BD218" s="32"/>
      <c r="BE218" s="32"/>
      <c r="BF218" s="32"/>
      <c r="BG218" s="32"/>
      <c r="BH218" s="32"/>
      <c r="BI218" s="32"/>
      <c r="BJ218" s="32"/>
    </row>
    <row r="219" ht="15.75" customHeight="1">
      <c r="A219" s="32"/>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c r="AA219" s="39"/>
      <c r="AB219" s="39"/>
      <c r="AC219" s="39"/>
      <c r="AD219" s="39"/>
      <c r="AE219" s="39"/>
      <c r="AF219" s="39"/>
      <c r="AG219" s="39"/>
      <c r="AH219" s="39"/>
      <c r="AI219" s="39"/>
      <c r="AJ219" s="39"/>
      <c r="AK219" s="39"/>
      <c r="AL219" s="39"/>
      <c r="AM219" s="39"/>
      <c r="AN219" s="39"/>
      <c r="AO219" s="39"/>
      <c r="AP219" s="39"/>
      <c r="AQ219" s="32"/>
      <c r="AR219" s="32"/>
      <c r="AS219" s="32"/>
      <c r="AT219" s="32"/>
      <c r="AU219" s="32"/>
      <c r="AV219" s="32"/>
      <c r="AW219" s="32"/>
      <c r="AX219" s="32"/>
      <c r="AY219" s="32"/>
      <c r="AZ219" s="32"/>
      <c r="BA219" s="32"/>
      <c r="BB219" s="32"/>
      <c r="BC219" s="32"/>
      <c r="BD219" s="32"/>
      <c r="BE219" s="32"/>
      <c r="BF219" s="32"/>
      <c r="BG219" s="32"/>
      <c r="BH219" s="32"/>
      <c r="BI219" s="32"/>
      <c r="BJ219" s="32"/>
    </row>
    <row r="220" ht="15.75" customHeight="1">
      <c r="A220" s="32"/>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c r="AA220" s="39"/>
      <c r="AB220" s="39"/>
      <c r="AC220" s="39"/>
      <c r="AD220" s="39"/>
      <c r="AE220" s="39"/>
      <c r="AF220" s="39"/>
      <c r="AG220" s="39"/>
      <c r="AH220" s="39"/>
      <c r="AI220" s="39"/>
      <c r="AJ220" s="39"/>
      <c r="AK220" s="39"/>
      <c r="AL220" s="39"/>
      <c r="AM220" s="39"/>
      <c r="AN220" s="39"/>
      <c r="AO220" s="39"/>
      <c r="AP220" s="39"/>
      <c r="AQ220" s="32"/>
      <c r="AR220" s="32"/>
      <c r="AS220" s="32"/>
      <c r="AT220" s="32"/>
      <c r="AU220" s="32"/>
      <c r="AV220" s="32"/>
      <c r="AW220" s="32"/>
      <c r="AX220" s="32"/>
      <c r="AY220" s="32"/>
      <c r="AZ220" s="32"/>
      <c r="BA220" s="32"/>
      <c r="BB220" s="32"/>
      <c r="BC220" s="32"/>
      <c r="BD220" s="32"/>
      <c r="BE220" s="32"/>
      <c r="BF220" s="32"/>
      <c r="BG220" s="32"/>
      <c r="BH220" s="32"/>
      <c r="BI220" s="32"/>
      <c r="BJ220" s="32"/>
    </row>
    <row r="221" ht="15.75" customHeight="1">
      <c r="A221" s="32"/>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c r="AA221" s="39"/>
      <c r="AB221" s="39"/>
      <c r="AC221" s="39"/>
      <c r="AD221" s="39"/>
      <c r="AE221" s="39"/>
      <c r="AF221" s="39"/>
      <c r="AG221" s="39"/>
      <c r="AH221" s="39"/>
      <c r="AI221" s="39"/>
      <c r="AJ221" s="39"/>
      <c r="AK221" s="39"/>
      <c r="AL221" s="39"/>
      <c r="AM221" s="39"/>
      <c r="AN221" s="39"/>
      <c r="AO221" s="39"/>
      <c r="AP221" s="39"/>
      <c r="AQ221" s="32"/>
      <c r="AR221" s="32"/>
      <c r="AS221" s="32"/>
      <c r="AT221" s="32"/>
      <c r="AU221" s="32"/>
      <c r="AV221" s="32"/>
      <c r="AW221" s="32"/>
      <c r="AX221" s="32"/>
      <c r="AY221" s="32"/>
      <c r="AZ221" s="32"/>
      <c r="BA221" s="32"/>
      <c r="BB221" s="32"/>
      <c r="BC221" s="32"/>
      <c r="BD221" s="32"/>
      <c r="BE221" s="32"/>
      <c r="BF221" s="32"/>
      <c r="BG221" s="32"/>
      <c r="BH221" s="32"/>
      <c r="BI221" s="32"/>
      <c r="BJ221" s="32"/>
    </row>
    <row r="222" ht="15.75" customHeight="1">
      <c r="A222" s="32"/>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c r="AA222" s="39"/>
      <c r="AB222" s="39"/>
      <c r="AC222" s="39"/>
      <c r="AD222" s="39"/>
      <c r="AE222" s="39"/>
      <c r="AF222" s="39"/>
      <c r="AG222" s="39"/>
      <c r="AH222" s="39"/>
      <c r="AI222" s="39"/>
      <c r="AJ222" s="39"/>
      <c r="AK222" s="39"/>
      <c r="AL222" s="39"/>
      <c r="AM222" s="39"/>
      <c r="AN222" s="39"/>
      <c r="AO222" s="39"/>
      <c r="AP222" s="39"/>
      <c r="AQ222" s="32"/>
      <c r="AR222" s="32"/>
      <c r="AS222" s="32"/>
      <c r="AT222" s="32"/>
      <c r="AU222" s="32"/>
      <c r="AV222" s="32"/>
      <c r="AW222" s="32"/>
      <c r="AX222" s="32"/>
      <c r="AY222" s="32"/>
      <c r="AZ222" s="32"/>
      <c r="BA222" s="32"/>
      <c r="BB222" s="32"/>
      <c r="BC222" s="32"/>
      <c r="BD222" s="32"/>
      <c r="BE222" s="32"/>
      <c r="BF222" s="32"/>
      <c r="BG222" s="32"/>
      <c r="BH222" s="32"/>
      <c r="BI222" s="32"/>
      <c r="BJ222" s="32"/>
    </row>
    <row r="223" ht="15.75" customHeight="1">
      <c r="A223" s="32"/>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c r="AA223" s="39"/>
      <c r="AB223" s="39"/>
      <c r="AC223" s="39"/>
      <c r="AD223" s="39"/>
      <c r="AE223" s="39"/>
      <c r="AF223" s="39"/>
      <c r="AG223" s="39"/>
      <c r="AH223" s="39"/>
      <c r="AI223" s="39"/>
      <c r="AJ223" s="39"/>
      <c r="AK223" s="39"/>
      <c r="AL223" s="39"/>
      <c r="AM223" s="39"/>
      <c r="AN223" s="39"/>
      <c r="AO223" s="39"/>
      <c r="AP223" s="39"/>
      <c r="AQ223" s="32"/>
      <c r="AR223" s="32"/>
      <c r="AS223" s="32"/>
      <c r="AT223" s="32"/>
      <c r="AU223" s="32"/>
      <c r="AV223" s="32"/>
      <c r="AW223" s="32"/>
      <c r="AX223" s="32"/>
      <c r="AY223" s="32"/>
      <c r="AZ223" s="32"/>
      <c r="BA223" s="32"/>
      <c r="BB223" s="32"/>
      <c r="BC223" s="32"/>
      <c r="BD223" s="32"/>
      <c r="BE223" s="32"/>
      <c r="BF223" s="32"/>
      <c r="BG223" s="32"/>
      <c r="BH223" s="32"/>
      <c r="BI223" s="32"/>
      <c r="BJ223" s="32"/>
    </row>
    <row r="224" ht="15.75" customHeight="1">
      <c r="A224" s="32"/>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c r="AA224" s="39"/>
      <c r="AB224" s="39"/>
      <c r="AC224" s="39"/>
      <c r="AD224" s="39"/>
      <c r="AE224" s="39"/>
      <c r="AF224" s="39"/>
      <c r="AG224" s="39"/>
      <c r="AH224" s="39"/>
      <c r="AI224" s="39"/>
      <c r="AJ224" s="39"/>
      <c r="AK224" s="39"/>
      <c r="AL224" s="39"/>
      <c r="AM224" s="39"/>
      <c r="AN224" s="39"/>
      <c r="AO224" s="39"/>
      <c r="AP224" s="39"/>
      <c r="AQ224" s="32"/>
      <c r="AR224" s="32"/>
      <c r="AS224" s="32"/>
      <c r="AT224" s="32"/>
      <c r="AU224" s="32"/>
      <c r="AV224" s="32"/>
      <c r="AW224" s="32"/>
      <c r="AX224" s="32"/>
      <c r="AY224" s="32"/>
      <c r="AZ224" s="32"/>
      <c r="BA224" s="32"/>
      <c r="BB224" s="32"/>
      <c r="BC224" s="32"/>
      <c r="BD224" s="32"/>
      <c r="BE224" s="32"/>
      <c r="BF224" s="32"/>
      <c r="BG224" s="32"/>
      <c r="BH224" s="32"/>
      <c r="BI224" s="32"/>
      <c r="BJ224" s="32"/>
    </row>
    <row r="225" ht="15.75" customHeight="1">
      <c r="A225" s="32"/>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c r="AA225" s="39"/>
      <c r="AB225" s="39"/>
      <c r="AC225" s="39"/>
      <c r="AD225" s="39"/>
      <c r="AE225" s="39"/>
      <c r="AF225" s="39"/>
      <c r="AG225" s="39"/>
      <c r="AH225" s="39"/>
      <c r="AI225" s="39"/>
      <c r="AJ225" s="39"/>
      <c r="AK225" s="39"/>
      <c r="AL225" s="39"/>
      <c r="AM225" s="39"/>
      <c r="AN225" s="39"/>
      <c r="AO225" s="39"/>
      <c r="AP225" s="39"/>
      <c r="AQ225" s="32"/>
      <c r="AR225" s="32"/>
      <c r="AS225" s="32"/>
      <c r="AT225" s="32"/>
      <c r="AU225" s="32"/>
      <c r="AV225" s="32"/>
      <c r="AW225" s="32"/>
      <c r="AX225" s="32"/>
      <c r="AY225" s="32"/>
      <c r="AZ225" s="32"/>
      <c r="BA225" s="32"/>
      <c r="BB225" s="32"/>
      <c r="BC225" s="32"/>
      <c r="BD225" s="32"/>
      <c r="BE225" s="32"/>
      <c r="BF225" s="32"/>
      <c r="BG225" s="32"/>
      <c r="BH225" s="32"/>
      <c r="BI225" s="32"/>
      <c r="BJ225" s="32"/>
    </row>
    <row r="226" ht="15.75" customHeight="1">
      <c r="A226" s="32"/>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c r="AA226" s="39"/>
      <c r="AB226" s="39"/>
      <c r="AC226" s="39"/>
      <c r="AD226" s="39"/>
      <c r="AE226" s="39"/>
      <c r="AF226" s="39"/>
      <c r="AG226" s="39"/>
      <c r="AH226" s="39"/>
      <c r="AI226" s="39"/>
      <c r="AJ226" s="39"/>
      <c r="AK226" s="39"/>
      <c r="AL226" s="39"/>
      <c r="AM226" s="39"/>
      <c r="AN226" s="39"/>
      <c r="AO226" s="39"/>
      <c r="AP226" s="39"/>
      <c r="AQ226" s="32"/>
      <c r="AR226" s="32"/>
      <c r="AS226" s="32"/>
      <c r="AT226" s="32"/>
      <c r="AU226" s="32"/>
      <c r="AV226" s="32"/>
      <c r="AW226" s="32"/>
      <c r="AX226" s="32"/>
      <c r="AY226" s="32"/>
      <c r="AZ226" s="32"/>
      <c r="BA226" s="32"/>
      <c r="BB226" s="32"/>
      <c r="BC226" s="32"/>
      <c r="BD226" s="32"/>
      <c r="BE226" s="32"/>
      <c r="BF226" s="32"/>
      <c r="BG226" s="32"/>
      <c r="BH226" s="32"/>
      <c r="BI226" s="32"/>
      <c r="BJ226" s="32"/>
    </row>
    <row r="227" ht="15.75" customHeight="1">
      <c r="A227" s="32"/>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c r="AA227" s="39"/>
      <c r="AB227" s="39"/>
      <c r="AC227" s="39"/>
      <c r="AD227" s="39"/>
      <c r="AE227" s="39"/>
      <c r="AF227" s="39"/>
      <c r="AG227" s="39"/>
      <c r="AH227" s="39"/>
      <c r="AI227" s="39"/>
      <c r="AJ227" s="39"/>
      <c r="AK227" s="39"/>
      <c r="AL227" s="39"/>
      <c r="AM227" s="39"/>
      <c r="AN227" s="39"/>
      <c r="AO227" s="39"/>
      <c r="AP227" s="39"/>
      <c r="AQ227" s="32"/>
      <c r="AR227" s="32"/>
      <c r="AS227" s="32"/>
      <c r="AT227" s="32"/>
      <c r="AU227" s="32"/>
      <c r="AV227" s="32"/>
      <c r="AW227" s="32"/>
      <c r="AX227" s="32"/>
      <c r="AY227" s="32"/>
      <c r="AZ227" s="32"/>
      <c r="BA227" s="32"/>
      <c r="BB227" s="32"/>
      <c r="BC227" s="32"/>
      <c r="BD227" s="32"/>
      <c r="BE227" s="32"/>
      <c r="BF227" s="32"/>
      <c r="BG227" s="32"/>
      <c r="BH227" s="32"/>
      <c r="BI227" s="32"/>
      <c r="BJ227" s="32"/>
    </row>
    <row r="228" ht="15.75" customHeight="1">
      <c r="A228" s="32"/>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c r="AA228" s="39"/>
      <c r="AB228" s="39"/>
      <c r="AC228" s="39"/>
      <c r="AD228" s="39"/>
      <c r="AE228" s="39"/>
      <c r="AF228" s="39"/>
      <c r="AG228" s="39"/>
      <c r="AH228" s="39"/>
      <c r="AI228" s="39"/>
      <c r="AJ228" s="39"/>
      <c r="AK228" s="39"/>
      <c r="AL228" s="39"/>
      <c r="AM228" s="39"/>
      <c r="AN228" s="39"/>
      <c r="AO228" s="39"/>
      <c r="AP228" s="39"/>
      <c r="AQ228" s="32"/>
      <c r="AR228" s="32"/>
      <c r="AS228" s="32"/>
      <c r="AT228" s="32"/>
      <c r="AU228" s="32"/>
      <c r="AV228" s="32"/>
      <c r="AW228" s="32"/>
      <c r="AX228" s="32"/>
      <c r="AY228" s="32"/>
      <c r="AZ228" s="32"/>
      <c r="BA228" s="32"/>
      <c r="BB228" s="32"/>
      <c r="BC228" s="32"/>
      <c r="BD228" s="32"/>
      <c r="BE228" s="32"/>
      <c r="BF228" s="32"/>
      <c r="BG228" s="32"/>
      <c r="BH228" s="32"/>
      <c r="BI228" s="32"/>
      <c r="BJ228" s="32"/>
    </row>
    <row r="229" ht="15.75" customHeight="1">
      <c r="A229" s="32"/>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c r="AA229" s="39"/>
      <c r="AB229" s="39"/>
      <c r="AC229" s="39"/>
      <c r="AD229" s="39"/>
      <c r="AE229" s="39"/>
      <c r="AF229" s="39"/>
      <c r="AG229" s="39"/>
      <c r="AH229" s="39"/>
      <c r="AI229" s="39"/>
      <c r="AJ229" s="39"/>
      <c r="AK229" s="39"/>
      <c r="AL229" s="39"/>
      <c r="AM229" s="39"/>
      <c r="AN229" s="39"/>
      <c r="AO229" s="39"/>
      <c r="AP229" s="39"/>
      <c r="AQ229" s="32"/>
      <c r="AR229" s="32"/>
      <c r="AS229" s="32"/>
      <c r="AT229" s="32"/>
      <c r="AU229" s="32"/>
      <c r="AV229" s="32"/>
      <c r="AW229" s="32"/>
      <c r="AX229" s="32"/>
      <c r="AY229" s="32"/>
      <c r="AZ229" s="32"/>
      <c r="BA229" s="32"/>
      <c r="BB229" s="32"/>
      <c r="BC229" s="32"/>
      <c r="BD229" s="32"/>
      <c r="BE229" s="32"/>
      <c r="BF229" s="32"/>
      <c r="BG229" s="32"/>
      <c r="BH229" s="32"/>
      <c r="BI229" s="32"/>
      <c r="BJ229" s="32"/>
    </row>
    <row r="230" ht="15.75" customHeight="1">
      <c r="A230" s="32"/>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c r="AA230" s="39"/>
      <c r="AB230" s="39"/>
      <c r="AC230" s="39"/>
      <c r="AD230" s="39"/>
      <c r="AE230" s="39"/>
      <c r="AF230" s="39"/>
      <c r="AG230" s="39"/>
      <c r="AH230" s="39"/>
      <c r="AI230" s="39"/>
      <c r="AJ230" s="39"/>
      <c r="AK230" s="39"/>
      <c r="AL230" s="39"/>
      <c r="AM230" s="39"/>
      <c r="AN230" s="39"/>
      <c r="AO230" s="39"/>
      <c r="AP230" s="39"/>
      <c r="AQ230" s="32"/>
      <c r="AR230" s="32"/>
      <c r="AS230" s="32"/>
      <c r="AT230" s="32"/>
      <c r="AU230" s="32"/>
      <c r="AV230" s="32"/>
      <c r="AW230" s="32"/>
      <c r="AX230" s="32"/>
      <c r="AY230" s="32"/>
      <c r="AZ230" s="32"/>
      <c r="BA230" s="32"/>
      <c r="BB230" s="32"/>
      <c r="BC230" s="32"/>
      <c r="BD230" s="32"/>
      <c r="BE230" s="32"/>
      <c r="BF230" s="32"/>
      <c r="BG230" s="32"/>
      <c r="BH230" s="32"/>
      <c r="BI230" s="32"/>
      <c r="BJ230" s="32"/>
    </row>
    <row r="231" ht="15.75" customHeight="1">
      <c r="A231" s="32"/>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c r="AA231" s="39"/>
      <c r="AB231" s="39"/>
      <c r="AC231" s="39"/>
      <c r="AD231" s="39"/>
      <c r="AE231" s="39"/>
      <c r="AF231" s="39"/>
      <c r="AG231" s="39"/>
      <c r="AH231" s="39"/>
      <c r="AI231" s="39"/>
      <c r="AJ231" s="39"/>
      <c r="AK231" s="39"/>
      <c r="AL231" s="39"/>
      <c r="AM231" s="39"/>
      <c r="AN231" s="39"/>
      <c r="AO231" s="39"/>
      <c r="AP231" s="39"/>
      <c r="AQ231" s="32"/>
      <c r="AR231" s="32"/>
      <c r="AS231" s="32"/>
      <c r="AT231" s="32"/>
      <c r="AU231" s="32"/>
      <c r="AV231" s="32"/>
      <c r="AW231" s="32"/>
      <c r="AX231" s="32"/>
      <c r="AY231" s="32"/>
      <c r="AZ231" s="32"/>
      <c r="BA231" s="32"/>
      <c r="BB231" s="32"/>
      <c r="BC231" s="32"/>
      <c r="BD231" s="32"/>
      <c r="BE231" s="32"/>
      <c r="BF231" s="32"/>
      <c r="BG231" s="32"/>
      <c r="BH231" s="32"/>
      <c r="BI231" s="32"/>
      <c r="BJ231" s="32"/>
    </row>
    <row r="232" ht="15.75" customHeight="1">
      <c r="A232" s="32"/>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c r="AA232" s="39"/>
      <c r="AB232" s="39"/>
      <c r="AC232" s="39"/>
      <c r="AD232" s="39"/>
      <c r="AE232" s="39"/>
      <c r="AF232" s="39"/>
      <c r="AG232" s="39"/>
      <c r="AH232" s="39"/>
      <c r="AI232" s="39"/>
      <c r="AJ232" s="39"/>
      <c r="AK232" s="39"/>
      <c r="AL232" s="39"/>
      <c r="AM232" s="39"/>
      <c r="AN232" s="39"/>
      <c r="AO232" s="39"/>
      <c r="AP232" s="39"/>
      <c r="AQ232" s="32"/>
      <c r="AR232" s="32"/>
      <c r="AS232" s="32"/>
      <c r="AT232" s="32"/>
      <c r="AU232" s="32"/>
      <c r="AV232" s="32"/>
      <c r="AW232" s="32"/>
      <c r="AX232" s="32"/>
      <c r="AY232" s="32"/>
      <c r="AZ232" s="32"/>
      <c r="BA232" s="32"/>
      <c r="BB232" s="32"/>
      <c r="BC232" s="32"/>
      <c r="BD232" s="32"/>
      <c r="BE232" s="32"/>
      <c r="BF232" s="32"/>
      <c r="BG232" s="32"/>
      <c r="BH232" s="32"/>
      <c r="BI232" s="32"/>
      <c r="BJ232" s="32"/>
    </row>
    <row r="233" ht="15.75" customHeight="1">
      <c r="A233" s="32"/>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c r="AA233" s="39"/>
      <c r="AB233" s="39"/>
      <c r="AC233" s="39"/>
      <c r="AD233" s="39"/>
      <c r="AE233" s="39"/>
      <c r="AF233" s="39"/>
      <c r="AG233" s="39"/>
      <c r="AH233" s="39"/>
      <c r="AI233" s="39"/>
      <c r="AJ233" s="39"/>
      <c r="AK233" s="39"/>
      <c r="AL233" s="39"/>
      <c r="AM233" s="39"/>
      <c r="AN233" s="39"/>
      <c r="AO233" s="39"/>
      <c r="AP233" s="39"/>
      <c r="AQ233" s="32"/>
      <c r="AR233" s="32"/>
      <c r="AS233" s="32"/>
      <c r="AT233" s="32"/>
      <c r="AU233" s="32"/>
      <c r="AV233" s="32"/>
      <c r="AW233" s="32"/>
      <c r="AX233" s="32"/>
      <c r="AY233" s="32"/>
      <c r="AZ233" s="32"/>
      <c r="BA233" s="32"/>
      <c r="BB233" s="32"/>
      <c r="BC233" s="32"/>
      <c r="BD233" s="32"/>
      <c r="BE233" s="32"/>
      <c r="BF233" s="32"/>
      <c r="BG233" s="32"/>
      <c r="BH233" s="32"/>
      <c r="BI233" s="32"/>
      <c r="BJ233" s="32"/>
    </row>
    <row r="234" ht="15.75" customHeight="1">
      <c r="A234" s="32"/>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c r="AA234" s="39"/>
      <c r="AB234" s="39"/>
      <c r="AC234" s="39"/>
      <c r="AD234" s="39"/>
      <c r="AE234" s="39"/>
      <c r="AF234" s="39"/>
      <c r="AG234" s="39"/>
      <c r="AH234" s="39"/>
      <c r="AI234" s="39"/>
      <c r="AJ234" s="39"/>
      <c r="AK234" s="39"/>
      <c r="AL234" s="39"/>
      <c r="AM234" s="39"/>
      <c r="AN234" s="39"/>
      <c r="AO234" s="39"/>
      <c r="AP234" s="39"/>
      <c r="AQ234" s="32"/>
      <c r="AR234" s="32"/>
      <c r="AS234" s="32"/>
      <c r="AT234" s="32"/>
      <c r="AU234" s="32"/>
      <c r="AV234" s="32"/>
      <c r="AW234" s="32"/>
      <c r="AX234" s="32"/>
      <c r="AY234" s="32"/>
      <c r="AZ234" s="32"/>
      <c r="BA234" s="32"/>
      <c r="BB234" s="32"/>
      <c r="BC234" s="32"/>
      <c r="BD234" s="32"/>
      <c r="BE234" s="32"/>
      <c r="BF234" s="32"/>
      <c r="BG234" s="32"/>
      <c r="BH234" s="32"/>
      <c r="BI234" s="32"/>
      <c r="BJ234" s="32"/>
    </row>
    <row r="235" ht="15.75" customHeight="1">
      <c r="A235" s="32"/>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c r="AA235" s="39"/>
      <c r="AB235" s="39"/>
      <c r="AC235" s="39"/>
      <c r="AD235" s="39"/>
      <c r="AE235" s="39"/>
      <c r="AF235" s="39"/>
      <c r="AG235" s="39"/>
      <c r="AH235" s="39"/>
      <c r="AI235" s="39"/>
      <c r="AJ235" s="39"/>
      <c r="AK235" s="39"/>
      <c r="AL235" s="39"/>
      <c r="AM235" s="39"/>
      <c r="AN235" s="39"/>
      <c r="AO235" s="39"/>
      <c r="AP235" s="39"/>
      <c r="AQ235" s="32"/>
      <c r="AR235" s="32"/>
      <c r="AS235" s="32"/>
      <c r="AT235" s="32"/>
      <c r="AU235" s="32"/>
      <c r="AV235" s="32"/>
      <c r="AW235" s="32"/>
      <c r="AX235" s="32"/>
      <c r="AY235" s="32"/>
      <c r="AZ235" s="32"/>
      <c r="BA235" s="32"/>
      <c r="BB235" s="32"/>
      <c r="BC235" s="32"/>
      <c r="BD235" s="32"/>
      <c r="BE235" s="32"/>
      <c r="BF235" s="32"/>
      <c r="BG235" s="32"/>
      <c r="BH235" s="32"/>
      <c r="BI235" s="32"/>
      <c r="BJ235" s="32"/>
    </row>
    <row r="236" ht="15.75" customHeight="1">
      <c r="A236" s="32"/>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c r="AA236" s="39"/>
      <c r="AB236" s="39"/>
      <c r="AC236" s="39"/>
      <c r="AD236" s="39"/>
      <c r="AE236" s="39"/>
      <c r="AF236" s="39"/>
      <c r="AG236" s="39"/>
      <c r="AH236" s="39"/>
      <c r="AI236" s="39"/>
      <c r="AJ236" s="39"/>
      <c r="AK236" s="39"/>
      <c r="AL236" s="39"/>
      <c r="AM236" s="39"/>
      <c r="AN236" s="39"/>
      <c r="AO236" s="39"/>
      <c r="AP236" s="39"/>
      <c r="AQ236" s="32"/>
      <c r="AR236" s="32"/>
      <c r="AS236" s="32"/>
      <c r="AT236" s="32"/>
      <c r="AU236" s="32"/>
      <c r="AV236" s="32"/>
      <c r="AW236" s="32"/>
      <c r="AX236" s="32"/>
      <c r="AY236" s="32"/>
      <c r="AZ236" s="32"/>
      <c r="BA236" s="32"/>
      <c r="BB236" s="32"/>
      <c r="BC236" s="32"/>
      <c r="BD236" s="32"/>
      <c r="BE236" s="32"/>
      <c r="BF236" s="32"/>
      <c r="BG236" s="32"/>
      <c r="BH236" s="32"/>
      <c r="BI236" s="32"/>
      <c r="BJ236" s="32"/>
    </row>
    <row r="237" ht="15.75" customHeight="1">
      <c r="A237" s="32"/>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c r="AA237" s="39"/>
      <c r="AB237" s="39"/>
      <c r="AC237" s="39"/>
      <c r="AD237" s="39"/>
      <c r="AE237" s="39"/>
      <c r="AF237" s="39"/>
      <c r="AG237" s="39"/>
      <c r="AH237" s="39"/>
      <c r="AI237" s="39"/>
      <c r="AJ237" s="39"/>
      <c r="AK237" s="39"/>
      <c r="AL237" s="39"/>
      <c r="AM237" s="39"/>
      <c r="AN237" s="39"/>
      <c r="AO237" s="39"/>
      <c r="AP237" s="39"/>
      <c r="AQ237" s="32"/>
      <c r="AR237" s="32"/>
      <c r="AS237" s="32"/>
      <c r="AT237" s="32"/>
      <c r="AU237" s="32"/>
      <c r="AV237" s="32"/>
      <c r="AW237" s="32"/>
      <c r="AX237" s="32"/>
      <c r="AY237" s="32"/>
      <c r="AZ237" s="32"/>
      <c r="BA237" s="32"/>
      <c r="BB237" s="32"/>
      <c r="BC237" s="32"/>
      <c r="BD237" s="32"/>
      <c r="BE237" s="32"/>
      <c r="BF237" s="32"/>
      <c r="BG237" s="32"/>
      <c r="BH237" s="32"/>
      <c r="BI237" s="32"/>
      <c r="BJ237" s="32"/>
    </row>
    <row r="238" ht="15.75" customHeight="1">
      <c r="A238" s="32"/>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c r="AA238" s="39"/>
      <c r="AB238" s="39"/>
      <c r="AC238" s="39"/>
      <c r="AD238" s="39"/>
      <c r="AE238" s="39"/>
      <c r="AF238" s="39"/>
      <c r="AG238" s="39"/>
      <c r="AH238" s="39"/>
      <c r="AI238" s="39"/>
      <c r="AJ238" s="39"/>
      <c r="AK238" s="39"/>
      <c r="AL238" s="39"/>
      <c r="AM238" s="39"/>
      <c r="AN238" s="39"/>
      <c r="AO238" s="39"/>
      <c r="AP238" s="39"/>
      <c r="AQ238" s="32"/>
      <c r="AR238" s="32"/>
      <c r="AS238" s="32"/>
      <c r="AT238" s="32"/>
      <c r="AU238" s="32"/>
      <c r="AV238" s="32"/>
      <c r="AW238" s="32"/>
      <c r="AX238" s="32"/>
      <c r="AY238" s="32"/>
      <c r="AZ238" s="32"/>
      <c r="BA238" s="32"/>
      <c r="BB238" s="32"/>
      <c r="BC238" s="32"/>
      <c r="BD238" s="32"/>
      <c r="BE238" s="32"/>
      <c r="BF238" s="32"/>
      <c r="BG238" s="32"/>
      <c r="BH238" s="32"/>
      <c r="BI238" s="32"/>
      <c r="BJ238" s="32"/>
    </row>
    <row r="239" ht="15.75" customHeight="1">
      <c r="A239" s="32"/>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c r="AA239" s="39"/>
      <c r="AB239" s="39"/>
      <c r="AC239" s="39"/>
      <c r="AD239" s="39"/>
      <c r="AE239" s="39"/>
      <c r="AF239" s="39"/>
      <c r="AG239" s="39"/>
      <c r="AH239" s="39"/>
      <c r="AI239" s="39"/>
      <c r="AJ239" s="39"/>
      <c r="AK239" s="39"/>
      <c r="AL239" s="39"/>
      <c r="AM239" s="39"/>
      <c r="AN239" s="39"/>
      <c r="AO239" s="39"/>
      <c r="AP239" s="39"/>
      <c r="AQ239" s="32"/>
      <c r="AR239" s="32"/>
      <c r="AS239" s="32"/>
      <c r="AT239" s="32"/>
      <c r="AU239" s="32"/>
      <c r="AV239" s="32"/>
      <c r="AW239" s="32"/>
      <c r="AX239" s="32"/>
      <c r="AY239" s="32"/>
      <c r="AZ239" s="32"/>
      <c r="BA239" s="32"/>
      <c r="BB239" s="32"/>
      <c r="BC239" s="32"/>
      <c r="BD239" s="32"/>
      <c r="BE239" s="32"/>
      <c r="BF239" s="32"/>
      <c r="BG239" s="32"/>
      <c r="BH239" s="32"/>
      <c r="BI239" s="32"/>
      <c r="BJ239" s="32"/>
    </row>
    <row r="240" ht="15.75" customHeight="1">
      <c r="A240" s="32"/>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c r="AA240" s="39"/>
      <c r="AB240" s="39"/>
      <c r="AC240" s="39"/>
      <c r="AD240" s="39"/>
      <c r="AE240" s="39"/>
      <c r="AF240" s="39"/>
      <c r="AG240" s="39"/>
      <c r="AH240" s="39"/>
      <c r="AI240" s="39"/>
      <c r="AJ240" s="39"/>
      <c r="AK240" s="39"/>
      <c r="AL240" s="39"/>
      <c r="AM240" s="39"/>
      <c r="AN240" s="39"/>
      <c r="AO240" s="39"/>
      <c r="AP240" s="39"/>
      <c r="AQ240" s="32"/>
      <c r="AR240" s="32"/>
      <c r="AS240" s="32"/>
      <c r="AT240" s="32"/>
      <c r="AU240" s="32"/>
      <c r="AV240" s="32"/>
      <c r="AW240" s="32"/>
      <c r="AX240" s="32"/>
      <c r="AY240" s="32"/>
      <c r="AZ240" s="32"/>
      <c r="BA240" s="32"/>
      <c r="BB240" s="32"/>
      <c r="BC240" s="32"/>
      <c r="BD240" s="32"/>
      <c r="BE240" s="32"/>
      <c r="BF240" s="32"/>
      <c r="BG240" s="32"/>
      <c r="BH240" s="32"/>
      <c r="BI240" s="32"/>
      <c r="BJ240" s="32"/>
    </row>
    <row r="241" ht="15.75" customHeight="1">
      <c r="A241" s="32"/>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c r="AA241" s="39"/>
      <c r="AB241" s="39"/>
      <c r="AC241" s="39"/>
      <c r="AD241" s="39"/>
      <c r="AE241" s="39"/>
      <c r="AF241" s="39"/>
      <c r="AG241" s="39"/>
      <c r="AH241" s="39"/>
      <c r="AI241" s="39"/>
      <c r="AJ241" s="39"/>
      <c r="AK241" s="39"/>
      <c r="AL241" s="39"/>
      <c r="AM241" s="39"/>
      <c r="AN241" s="39"/>
      <c r="AO241" s="39"/>
      <c r="AP241" s="39"/>
      <c r="AQ241" s="32"/>
      <c r="AR241" s="32"/>
      <c r="AS241" s="32"/>
      <c r="AT241" s="32"/>
      <c r="AU241" s="32"/>
      <c r="AV241" s="32"/>
      <c r="AW241" s="32"/>
      <c r="AX241" s="32"/>
      <c r="AY241" s="32"/>
      <c r="AZ241" s="32"/>
      <c r="BA241" s="32"/>
      <c r="BB241" s="32"/>
      <c r="BC241" s="32"/>
      <c r="BD241" s="32"/>
      <c r="BE241" s="32"/>
      <c r="BF241" s="32"/>
      <c r="BG241" s="32"/>
      <c r="BH241" s="32"/>
      <c r="BI241" s="32"/>
      <c r="BJ241" s="32"/>
    </row>
    <row r="242" ht="15.75" customHeight="1">
      <c r="A242" s="32"/>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c r="AA242" s="39"/>
      <c r="AB242" s="39"/>
      <c r="AC242" s="39"/>
      <c r="AD242" s="39"/>
      <c r="AE242" s="39"/>
      <c r="AF242" s="39"/>
      <c r="AG242" s="39"/>
      <c r="AH242" s="39"/>
      <c r="AI242" s="39"/>
      <c r="AJ242" s="39"/>
      <c r="AK242" s="39"/>
      <c r="AL242" s="39"/>
      <c r="AM242" s="39"/>
      <c r="AN242" s="39"/>
      <c r="AO242" s="39"/>
      <c r="AP242" s="39"/>
      <c r="AQ242" s="32"/>
      <c r="AR242" s="32"/>
      <c r="AS242" s="32"/>
      <c r="AT242" s="32"/>
      <c r="AU242" s="32"/>
      <c r="AV242" s="32"/>
      <c r="AW242" s="32"/>
      <c r="AX242" s="32"/>
      <c r="AY242" s="32"/>
      <c r="AZ242" s="32"/>
      <c r="BA242" s="32"/>
      <c r="BB242" s="32"/>
      <c r="BC242" s="32"/>
      <c r="BD242" s="32"/>
      <c r="BE242" s="32"/>
      <c r="BF242" s="32"/>
      <c r="BG242" s="32"/>
      <c r="BH242" s="32"/>
      <c r="BI242" s="32"/>
      <c r="BJ242" s="32"/>
    </row>
    <row r="243" ht="15.75" customHeight="1">
      <c r="A243" s="32"/>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c r="AA243" s="39"/>
      <c r="AB243" s="39"/>
      <c r="AC243" s="39"/>
      <c r="AD243" s="39"/>
      <c r="AE243" s="39"/>
      <c r="AF243" s="39"/>
      <c r="AG243" s="39"/>
      <c r="AH243" s="39"/>
      <c r="AI243" s="39"/>
      <c r="AJ243" s="39"/>
      <c r="AK243" s="39"/>
      <c r="AL243" s="39"/>
      <c r="AM243" s="39"/>
      <c r="AN243" s="39"/>
      <c r="AO243" s="39"/>
      <c r="AP243" s="39"/>
      <c r="AQ243" s="32"/>
      <c r="AR243" s="32"/>
      <c r="AS243" s="32"/>
      <c r="AT243" s="32"/>
      <c r="AU243" s="32"/>
      <c r="AV243" s="32"/>
      <c r="AW243" s="32"/>
      <c r="AX243" s="32"/>
      <c r="AY243" s="32"/>
      <c r="AZ243" s="32"/>
      <c r="BA243" s="32"/>
      <c r="BB243" s="32"/>
      <c r="BC243" s="32"/>
      <c r="BD243" s="32"/>
      <c r="BE243" s="32"/>
      <c r="BF243" s="32"/>
      <c r="BG243" s="32"/>
      <c r="BH243" s="32"/>
      <c r="BI243" s="32"/>
      <c r="BJ243" s="32"/>
    </row>
    <row r="244" ht="15.75" customHeight="1">
      <c r="A244" s="32"/>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c r="AA244" s="39"/>
      <c r="AB244" s="39"/>
      <c r="AC244" s="39"/>
      <c r="AD244" s="39"/>
      <c r="AE244" s="39"/>
      <c r="AF244" s="39"/>
      <c r="AG244" s="39"/>
      <c r="AH244" s="39"/>
      <c r="AI244" s="39"/>
      <c r="AJ244" s="39"/>
      <c r="AK244" s="39"/>
      <c r="AL244" s="39"/>
      <c r="AM244" s="39"/>
      <c r="AN244" s="39"/>
      <c r="AO244" s="39"/>
      <c r="AP244" s="39"/>
      <c r="AQ244" s="32"/>
      <c r="AR244" s="32"/>
      <c r="AS244" s="32"/>
      <c r="AT244" s="32"/>
      <c r="AU244" s="32"/>
      <c r="AV244" s="32"/>
      <c r="AW244" s="32"/>
      <c r="AX244" s="32"/>
      <c r="AY244" s="32"/>
      <c r="AZ244" s="32"/>
      <c r="BA244" s="32"/>
      <c r="BB244" s="32"/>
      <c r="BC244" s="32"/>
      <c r="BD244" s="32"/>
      <c r="BE244" s="32"/>
      <c r="BF244" s="32"/>
      <c r="BG244" s="32"/>
      <c r="BH244" s="32"/>
      <c r="BI244" s="32"/>
      <c r="BJ244" s="32"/>
    </row>
    <row r="245" ht="15.75" customHeight="1">
      <c r="A245" s="32"/>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c r="AA245" s="39"/>
      <c r="AB245" s="39"/>
      <c r="AC245" s="39"/>
      <c r="AD245" s="39"/>
      <c r="AE245" s="39"/>
      <c r="AF245" s="39"/>
      <c r="AG245" s="39"/>
      <c r="AH245" s="39"/>
      <c r="AI245" s="39"/>
      <c r="AJ245" s="39"/>
      <c r="AK245" s="39"/>
      <c r="AL245" s="39"/>
      <c r="AM245" s="39"/>
      <c r="AN245" s="39"/>
      <c r="AO245" s="39"/>
      <c r="AP245" s="39"/>
      <c r="AQ245" s="32"/>
      <c r="AR245" s="32"/>
      <c r="AS245" s="32"/>
      <c r="AT245" s="32"/>
      <c r="AU245" s="32"/>
      <c r="AV245" s="32"/>
      <c r="AW245" s="32"/>
      <c r="AX245" s="32"/>
      <c r="AY245" s="32"/>
      <c r="AZ245" s="32"/>
      <c r="BA245" s="32"/>
      <c r="BB245" s="32"/>
      <c r="BC245" s="32"/>
      <c r="BD245" s="32"/>
      <c r="BE245" s="32"/>
      <c r="BF245" s="32"/>
      <c r="BG245" s="32"/>
      <c r="BH245" s="32"/>
      <c r="BI245" s="32"/>
      <c r="BJ245" s="32"/>
    </row>
    <row r="246" ht="15.75" customHeight="1">
      <c r="A246" s="32"/>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c r="AA246" s="39"/>
      <c r="AB246" s="39"/>
      <c r="AC246" s="39"/>
      <c r="AD246" s="39"/>
      <c r="AE246" s="39"/>
      <c r="AF246" s="39"/>
      <c r="AG246" s="39"/>
      <c r="AH246" s="39"/>
      <c r="AI246" s="39"/>
      <c r="AJ246" s="39"/>
      <c r="AK246" s="39"/>
      <c r="AL246" s="39"/>
      <c r="AM246" s="39"/>
      <c r="AN246" s="39"/>
      <c r="AO246" s="39"/>
      <c r="AP246" s="39"/>
      <c r="AQ246" s="32"/>
      <c r="AR246" s="32"/>
      <c r="AS246" s="32"/>
      <c r="AT246" s="32"/>
      <c r="AU246" s="32"/>
      <c r="AV246" s="32"/>
      <c r="AW246" s="32"/>
      <c r="AX246" s="32"/>
      <c r="AY246" s="32"/>
      <c r="AZ246" s="32"/>
      <c r="BA246" s="32"/>
      <c r="BB246" s="32"/>
      <c r="BC246" s="32"/>
      <c r="BD246" s="32"/>
      <c r="BE246" s="32"/>
      <c r="BF246" s="32"/>
      <c r="BG246" s="32"/>
      <c r="BH246" s="32"/>
      <c r="BI246" s="32"/>
      <c r="BJ246" s="32"/>
    </row>
    <row r="247" ht="15.75" customHeight="1">
      <c r="A247" s="32"/>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c r="AA247" s="39"/>
      <c r="AB247" s="39"/>
      <c r="AC247" s="39"/>
      <c r="AD247" s="39"/>
      <c r="AE247" s="39"/>
      <c r="AF247" s="39"/>
      <c r="AG247" s="39"/>
      <c r="AH247" s="39"/>
      <c r="AI247" s="39"/>
      <c r="AJ247" s="39"/>
      <c r="AK247" s="39"/>
      <c r="AL247" s="39"/>
      <c r="AM247" s="39"/>
      <c r="AN247" s="39"/>
      <c r="AO247" s="39"/>
      <c r="AP247" s="39"/>
      <c r="AQ247" s="32"/>
      <c r="AR247" s="32"/>
      <c r="AS247" s="32"/>
      <c r="AT247" s="32"/>
      <c r="AU247" s="32"/>
      <c r="AV247" s="32"/>
      <c r="AW247" s="32"/>
      <c r="AX247" s="32"/>
      <c r="AY247" s="32"/>
      <c r="AZ247" s="32"/>
      <c r="BA247" s="32"/>
      <c r="BB247" s="32"/>
      <c r="BC247" s="32"/>
      <c r="BD247" s="32"/>
      <c r="BE247" s="32"/>
      <c r="BF247" s="32"/>
      <c r="BG247" s="32"/>
      <c r="BH247" s="32"/>
      <c r="BI247" s="32"/>
      <c r="BJ247" s="32"/>
    </row>
    <row r="248" ht="15.75" customHeight="1">
      <c r="A248" s="32"/>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c r="AA248" s="39"/>
      <c r="AB248" s="39"/>
      <c r="AC248" s="39"/>
      <c r="AD248" s="39"/>
      <c r="AE248" s="39"/>
      <c r="AF248" s="39"/>
      <c r="AG248" s="39"/>
      <c r="AH248" s="39"/>
      <c r="AI248" s="39"/>
      <c r="AJ248" s="39"/>
      <c r="AK248" s="39"/>
      <c r="AL248" s="39"/>
      <c r="AM248" s="39"/>
      <c r="AN248" s="39"/>
      <c r="AO248" s="39"/>
      <c r="AP248" s="39"/>
      <c r="AQ248" s="32"/>
      <c r="AR248" s="32"/>
      <c r="AS248" s="32"/>
      <c r="AT248" s="32"/>
      <c r="AU248" s="32"/>
      <c r="AV248" s="32"/>
      <c r="AW248" s="32"/>
      <c r="AX248" s="32"/>
      <c r="AY248" s="32"/>
      <c r="AZ248" s="32"/>
      <c r="BA248" s="32"/>
      <c r="BB248" s="32"/>
      <c r="BC248" s="32"/>
      <c r="BD248" s="32"/>
      <c r="BE248" s="32"/>
      <c r="BF248" s="32"/>
      <c r="BG248" s="32"/>
      <c r="BH248" s="32"/>
      <c r="BI248" s="32"/>
      <c r="BJ248" s="32"/>
    </row>
    <row r="249" ht="15.75" customHeight="1">
      <c r="A249" s="32"/>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c r="AA249" s="39"/>
      <c r="AB249" s="39"/>
      <c r="AC249" s="39"/>
      <c r="AD249" s="39"/>
      <c r="AE249" s="39"/>
      <c r="AF249" s="39"/>
      <c r="AG249" s="39"/>
      <c r="AH249" s="39"/>
      <c r="AI249" s="39"/>
      <c r="AJ249" s="39"/>
      <c r="AK249" s="39"/>
      <c r="AL249" s="39"/>
      <c r="AM249" s="39"/>
      <c r="AN249" s="39"/>
      <c r="AO249" s="39"/>
      <c r="AP249" s="39"/>
      <c r="AQ249" s="32"/>
      <c r="AR249" s="32"/>
      <c r="AS249" s="32"/>
      <c r="AT249" s="32"/>
      <c r="AU249" s="32"/>
      <c r="AV249" s="32"/>
      <c r="AW249" s="32"/>
      <c r="AX249" s="32"/>
      <c r="AY249" s="32"/>
      <c r="AZ249" s="32"/>
      <c r="BA249" s="32"/>
      <c r="BB249" s="32"/>
      <c r="BC249" s="32"/>
      <c r="BD249" s="32"/>
      <c r="BE249" s="32"/>
      <c r="BF249" s="32"/>
      <c r="BG249" s="32"/>
      <c r="BH249" s="32"/>
      <c r="BI249" s="32"/>
      <c r="BJ249" s="32"/>
    </row>
    <row r="250" ht="15.75" customHeight="1">
      <c r="A250" s="32"/>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c r="AA250" s="39"/>
      <c r="AB250" s="39"/>
      <c r="AC250" s="39"/>
      <c r="AD250" s="39"/>
      <c r="AE250" s="39"/>
      <c r="AF250" s="39"/>
      <c r="AG250" s="39"/>
      <c r="AH250" s="39"/>
      <c r="AI250" s="39"/>
      <c r="AJ250" s="39"/>
      <c r="AK250" s="39"/>
      <c r="AL250" s="39"/>
      <c r="AM250" s="39"/>
      <c r="AN250" s="39"/>
      <c r="AO250" s="39"/>
      <c r="AP250" s="39"/>
      <c r="AQ250" s="32"/>
      <c r="AR250" s="32"/>
      <c r="AS250" s="32"/>
      <c r="AT250" s="32"/>
      <c r="AU250" s="32"/>
      <c r="AV250" s="32"/>
      <c r="AW250" s="32"/>
      <c r="AX250" s="32"/>
      <c r="AY250" s="32"/>
      <c r="AZ250" s="32"/>
      <c r="BA250" s="32"/>
      <c r="BB250" s="32"/>
      <c r="BC250" s="32"/>
      <c r="BD250" s="32"/>
      <c r="BE250" s="32"/>
      <c r="BF250" s="32"/>
      <c r="BG250" s="32"/>
      <c r="BH250" s="32"/>
      <c r="BI250" s="32"/>
      <c r="BJ250" s="32"/>
    </row>
    <row r="251" ht="15.75" customHeight="1">
      <c r="A251" s="32"/>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c r="AA251" s="39"/>
      <c r="AB251" s="39"/>
      <c r="AC251" s="39"/>
      <c r="AD251" s="39"/>
      <c r="AE251" s="39"/>
      <c r="AF251" s="39"/>
      <c r="AG251" s="39"/>
      <c r="AH251" s="39"/>
      <c r="AI251" s="39"/>
      <c r="AJ251" s="39"/>
      <c r="AK251" s="39"/>
      <c r="AL251" s="39"/>
      <c r="AM251" s="39"/>
      <c r="AN251" s="39"/>
      <c r="AO251" s="39"/>
      <c r="AP251" s="39"/>
      <c r="AQ251" s="32"/>
      <c r="AR251" s="32"/>
      <c r="AS251" s="32"/>
      <c r="AT251" s="32"/>
      <c r="AU251" s="32"/>
      <c r="AV251" s="32"/>
      <c r="AW251" s="32"/>
      <c r="AX251" s="32"/>
      <c r="AY251" s="32"/>
      <c r="AZ251" s="32"/>
      <c r="BA251" s="32"/>
      <c r="BB251" s="32"/>
      <c r="BC251" s="32"/>
      <c r="BD251" s="32"/>
      <c r="BE251" s="32"/>
      <c r="BF251" s="32"/>
      <c r="BG251" s="32"/>
      <c r="BH251" s="32"/>
      <c r="BI251" s="32"/>
      <c r="BJ251" s="32"/>
    </row>
    <row r="252" ht="15.75" customHeight="1">
      <c r="A252" s="32"/>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c r="AA252" s="39"/>
      <c r="AB252" s="39"/>
      <c r="AC252" s="39"/>
      <c r="AD252" s="39"/>
      <c r="AE252" s="39"/>
      <c r="AF252" s="39"/>
      <c r="AG252" s="39"/>
      <c r="AH252" s="39"/>
      <c r="AI252" s="39"/>
      <c r="AJ252" s="39"/>
      <c r="AK252" s="39"/>
      <c r="AL252" s="39"/>
      <c r="AM252" s="39"/>
      <c r="AN252" s="39"/>
      <c r="AO252" s="39"/>
      <c r="AP252" s="39"/>
      <c r="AQ252" s="32"/>
      <c r="AR252" s="32"/>
      <c r="AS252" s="32"/>
      <c r="AT252" s="32"/>
      <c r="AU252" s="32"/>
      <c r="AV252" s="32"/>
      <c r="AW252" s="32"/>
      <c r="AX252" s="32"/>
      <c r="AY252" s="32"/>
      <c r="AZ252" s="32"/>
      <c r="BA252" s="32"/>
      <c r="BB252" s="32"/>
      <c r="BC252" s="32"/>
      <c r="BD252" s="32"/>
      <c r="BE252" s="32"/>
      <c r="BF252" s="32"/>
      <c r="BG252" s="32"/>
      <c r="BH252" s="32"/>
      <c r="BI252" s="32"/>
      <c r="BJ252" s="32"/>
    </row>
    <row r="253" ht="15.75" customHeight="1">
      <c r="A253" s="32"/>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c r="AA253" s="39"/>
      <c r="AB253" s="39"/>
      <c r="AC253" s="39"/>
      <c r="AD253" s="39"/>
      <c r="AE253" s="39"/>
      <c r="AF253" s="39"/>
      <c r="AG253" s="39"/>
      <c r="AH253" s="39"/>
      <c r="AI253" s="39"/>
      <c r="AJ253" s="39"/>
      <c r="AK253" s="39"/>
      <c r="AL253" s="39"/>
      <c r="AM253" s="39"/>
      <c r="AN253" s="39"/>
      <c r="AO253" s="39"/>
      <c r="AP253" s="39"/>
      <c r="AQ253" s="32"/>
      <c r="AR253" s="32"/>
      <c r="AS253" s="32"/>
      <c r="AT253" s="32"/>
      <c r="AU253" s="32"/>
      <c r="AV253" s="32"/>
      <c r="AW253" s="32"/>
      <c r="AX253" s="32"/>
      <c r="AY253" s="32"/>
      <c r="AZ253" s="32"/>
      <c r="BA253" s="32"/>
      <c r="BB253" s="32"/>
      <c r="BC253" s="32"/>
      <c r="BD253" s="32"/>
      <c r="BE253" s="32"/>
      <c r="BF253" s="32"/>
      <c r="BG253" s="32"/>
      <c r="BH253" s="32"/>
      <c r="BI253" s="32"/>
      <c r="BJ253" s="32"/>
    </row>
    <row r="254" ht="15.75" customHeight="1">
      <c r="A254" s="32"/>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c r="AA254" s="39"/>
      <c r="AB254" s="39"/>
      <c r="AC254" s="39"/>
      <c r="AD254" s="39"/>
      <c r="AE254" s="39"/>
      <c r="AF254" s="39"/>
      <c r="AG254" s="39"/>
      <c r="AH254" s="39"/>
      <c r="AI254" s="39"/>
      <c r="AJ254" s="39"/>
      <c r="AK254" s="39"/>
      <c r="AL254" s="39"/>
      <c r="AM254" s="39"/>
      <c r="AN254" s="39"/>
      <c r="AO254" s="39"/>
      <c r="AP254" s="39"/>
      <c r="AQ254" s="32"/>
      <c r="AR254" s="32"/>
      <c r="AS254" s="32"/>
      <c r="AT254" s="32"/>
      <c r="AU254" s="32"/>
      <c r="AV254" s="32"/>
      <c r="AW254" s="32"/>
      <c r="AX254" s="32"/>
      <c r="AY254" s="32"/>
      <c r="AZ254" s="32"/>
      <c r="BA254" s="32"/>
      <c r="BB254" s="32"/>
      <c r="BC254" s="32"/>
      <c r="BD254" s="32"/>
      <c r="BE254" s="32"/>
      <c r="BF254" s="32"/>
      <c r="BG254" s="32"/>
      <c r="BH254" s="32"/>
      <c r="BI254" s="32"/>
      <c r="BJ254" s="32"/>
    </row>
    <row r="255" ht="15.75" customHeight="1">
      <c r="A255" s="32"/>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c r="AA255" s="39"/>
      <c r="AB255" s="39"/>
      <c r="AC255" s="39"/>
      <c r="AD255" s="39"/>
      <c r="AE255" s="39"/>
      <c r="AF255" s="39"/>
      <c r="AG255" s="39"/>
      <c r="AH255" s="39"/>
      <c r="AI255" s="39"/>
      <c r="AJ255" s="39"/>
      <c r="AK255" s="39"/>
      <c r="AL255" s="39"/>
      <c r="AM255" s="39"/>
      <c r="AN255" s="39"/>
      <c r="AO255" s="39"/>
      <c r="AP255" s="39"/>
      <c r="AQ255" s="32"/>
      <c r="AR255" s="32"/>
      <c r="AS255" s="32"/>
      <c r="AT255" s="32"/>
      <c r="AU255" s="32"/>
      <c r="AV255" s="32"/>
      <c r="AW255" s="32"/>
      <c r="AX255" s="32"/>
      <c r="AY255" s="32"/>
      <c r="AZ255" s="32"/>
      <c r="BA255" s="32"/>
      <c r="BB255" s="32"/>
      <c r="BC255" s="32"/>
      <c r="BD255" s="32"/>
      <c r="BE255" s="32"/>
      <c r="BF255" s="32"/>
      <c r="BG255" s="32"/>
      <c r="BH255" s="32"/>
      <c r="BI255" s="32"/>
      <c r="BJ255" s="32"/>
    </row>
    <row r="256" ht="15.75" customHeight="1">
      <c r="A256" s="32"/>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c r="AA256" s="39"/>
      <c r="AB256" s="39"/>
      <c r="AC256" s="39"/>
      <c r="AD256" s="39"/>
      <c r="AE256" s="39"/>
      <c r="AF256" s="39"/>
      <c r="AG256" s="39"/>
      <c r="AH256" s="39"/>
      <c r="AI256" s="39"/>
      <c r="AJ256" s="39"/>
      <c r="AK256" s="39"/>
      <c r="AL256" s="39"/>
      <c r="AM256" s="39"/>
      <c r="AN256" s="39"/>
      <c r="AO256" s="39"/>
      <c r="AP256" s="39"/>
      <c r="AQ256" s="32"/>
      <c r="AR256" s="32"/>
      <c r="AS256" s="32"/>
      <c r="AT256" s="32"/>
      <c r="AU256" s="32"/>
      <c r="AV256" s="32"/>
      <c r="AW256" s="32"/>
      <c r="AX256" s="32"/>
      <c r="AY256" s="32"/>
      <c r="AZ256" s="32"/>
      <c r="BA256" s="32"/>
      <c r="BB256" s="32"/>
      <c r="BC256" s="32"/>
      <c r="BD256" s="32"/>
      <c r="BE256" s="32"/>
      <c r="BF256" s="32"/>
      <c r="BG256" s="32"/>
      <c r="BH256" s="32"/>
      <c r="BI256" s="32"/>
      <c r="BJ256" s="32"/>
    </row>
    <row r="257" ht="15.75" customHeight="1">
      <c r="A257" s="32"/>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c r="AA257" s="39"/>
      <c r="AB257" s="39"/>
      <c r="AC257" s="39"/>
      <c r="AD257" s="39"/>
      <c r="AE257" s="39"/>
      <c r="AF257" s="39"/>
      <c r="AG257" s="39"/>
      <c r="AH257" s="39"/>
      <c r="AI257" s="39"/>
      <c r="AJ257" s="39"/>
      <c r="AK257" s="39"/>
      <c r="AL257" s="39"/>
      <c r="AM257" s="39"/>
      <c r="AN257" s="39"/>
      <c r="AO257" s="39"/>
      <c r="AP257" s="39"/>
      <c r="AQ257" s="32"/>
      <c r="AR257" s="32"/>
      <c r="AS257" s="32"/>
      <c r="AT257" s="32"/>
      <c r="AU257" s="32"/>
      <c r="AV257" s="32"/>
      <c r="AW257" s="32"/>
      <c r="AX257" s="32"/>
      <c r="AY257" s="32"/>
      <c r="AZ257" s="32"/>
      <c r="BA257" s="32"/>
      <c r="BB257" s="32"/>
      <c r="BC257" s="32"/>
      <c r="BD257" s="32"/>
      <c r="BE257" s="32"/>
      <c r="BF257" s="32"/>
      <c r="BG257" s="32"/>
      <c r="BH257" s="32"/>
      <c r="BI257" s="32"/>
      <c r="BJ257" s="32"/>
    </row>
    <row r="258" ht="15.75" customHeight="1">
      <c r="A258" s="32"/>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c r="AA258" s="39"/>
      <c r="AB258" s="39"/>
      <c r="AC258" s="39"/>
      <c r="AD258" s="39"/>
      <c r="AE258" s="39"/>
      <c r="AF258" s="39"/>
      <c r="AG258" s="39"/>
      <c r="AH258" s="39"/>
      <c r="AI258" s="39"/>
      <c r="AJ258" s="39"/>
      <c r="AK258" s="39"/>
      <c r="AL258" s="39"/>
      <c r="AM258" s="39"/>
      <c r="AN258" s="39"/>
      <c r="AO258" s="39"/>
      <c r="AP258" s="39"/>
      <c r="AQ258" s="32"/>
      <c r="AR258" s="32"/>
      <c r="AS258" s="32"/>
      <c r="AT258" s="32"/>
      <c r="AU258" s="32"/>
      <c r="AV258" s="32"/>
      <c r="AW258" s="32"/>
      <c r="AX258" s="32"/>
      <c r="AY258" s="32"/>
      <c r="AZ258" s="32"/>
      <c r="BA258" s="32"/>
      <c r="BB258" s="32"/>
      <c r="BC258" s="32"/>
      <c r="BD258" s="32"/>
      <c r="BE258" s="32"/>
      <c r="BF258" s="32"/>
      <c r="BG258" s="32"/>
      <c r="BH258" s="32"/>
      <c r="BI258" s="32"/>
      <c r="BJ258" s="32"/>
    </row>
    <row r="259" ht="15.75" customHeight="1">
      <c r="A259" s="32"/>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c r="AA259" s="39"/>
      <c r="AB259" s="39"/>
      <c r="AC259" s="39"/>
      <c r="AD259" s="39"/>
      <c r="AE259" s="39"/>
      <c r="AF259" s="39"/>
      <c r="AG259" s="39"/>
      <c r="AH259" s="39"/>
      <c r="AI259" s="39"/>
      <c r="AJ259" s="39"/>
      <c r="AK259" s="39"/>
      <c r="AL259" s="39"/>
      <c r="AM259" s="39"/>
      <c r="AN259" s="39"/>
      <c r="AO259" s="39"/>
      <c r="AP259" s="39"/>
      <c r="AQ259" s="32"/>
      <c r="AR259" s="32"/>
      <c r="AS259" s="32"/>
      <c r="AT259" s="32"/>
      <c r="AU259" s="32"/>
      <c r="AV259" s="32"/>
      <c r="AW259" s="32"/>
      <c r="AX259" s="32"/>
      <c r="AY259" s="32"/>
      <c r="AZ259" s="32"/>
      <c r="BA259" s="32"/>
      <c r="BB259" s="32"/>
      <c r="BC259" s="32"/>
      <c r="BD259" s="32"/>
      <c r="BE259" s="32"/>
      <c r="BF259" s="32"/>
      <c r="BG259" s="32"/>
      <c r="BH259" s="32"/>
      <c r="BI259" s="32"/>
      <c r="BJ259" s="32"/>
    </row>
    <row r="260" ht="15.75" customHeight="1">
      <c r="A260" s="32"/>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c r="AA260" s="39"/>
      <c r="AB260" s="39"/>
      <c r="AC260" s="39"/>
      <c r="AD260" s="39"/>
      <c r="AE260" s="39"/>
      <c r="AF260" s="39"/>
      <c r="AG260" s="39"/>
      <c r="AH260" s="39"/>
      <c r="AI260" s="39"/>
      <c r="AJ260" s="39"/>
      <c r="AK260" s="39"/>
      <c r="AL260" s="39"/>
      <c r="AM260" s="39"/>
      <c r="AN260" s="39"/>
      <c r="AO260" s="39"/>
      <c r="AP260" s="39"/>
      <c r="AQ260" s="32"/>
      <c r="AR260" s="32"/>
      <c r="AS260" s="32"/>
      <c r="AT260" s="32"/>
      <c r="AU260" s="32"/>
      <c r="AV260" s="32"/>
      <c r="AW260" s="32"/>
      <c r="AX260" s="32"/>
      <c r="AY260" s="32"/>
      <c r="AZ260" s="32"/>
      <c r="BA260" s="32"/>
      <c r="BB260" s="32"/>
      <c r="BC260" s="32"/>
      <c r="BD260" s="32"/>
      <c r="BE260" s="32"/>
      <c r="BF260" s="32"/>
      <c r="BG260" s="32"/>
      <c r="BH260" s="32"/>
      <c r="BI260" s="32"/>
      <c r="BJ260" s="32"/>
    </row>
    <row r="261" ht="15.75" customHeight="1">
      <c r="A261" s="32"/>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c r="AA261" s="39"/>
      <c r="AB261" s="39"/>
      <c r="AC261" s="39"/>
      <c r="AD261" s="39"/>
      <c r="AE261" s="39"/>
      <c r="AF261" s="39"/>
      <c r="AG261" s="39"/>
      <c r="AH261" s="39"/>
      <c r="AI261" s="39"/>
      <c r="AJ261" s="39"/>
      <c r="AK261" s="39"/>
      <c r="AL261" s="39"/>
      <c r="AM261" s="39"/>
      <c r="AN261" s="39"/>
      <c r="AO261" s="39"/>
      <c r="AP261" s="39"/>
      <c r="AQ261" s="32"/>
      <c r="AR261" s="32"/>
      <c r="AS261" s="32"/>
      <c r="AT261" s="32"/>
      <c r="AU261" s="32"/>
      <c r="AV261" s="32"/>
      <c r="AW261" s="32"/>
      <c r="AX261" s="32"/>
      <c r="AY261" s="32"/>
      <c r="AZ261" s="32"/>
      <c r="BA261" s="32"/>
      <c r="BB261" s="32"/>
      <c r="BC261" s="32"/>
      <c r="BD261" s="32"/>
      <c r="BE261" s="32"/>
      <c r="BF261" s="32"/>
      <c r="BG261" s="32"/>
      <c r="BH261" s="32"/>
      <c r="BI261" s="32"/>
      <c r="BJ261" s="32"/>
    </row>
    <row r="262" ht="15.75" customHeight="1">
      <c r="A262" s="32"/>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c r="AA262" s="39"/>
      <c r="AB262" s="39"/>
      <c r="AC262" s="39"/>
      <c r="AD262" s="39"/>
      <c r="AE262" s="39"/>
      <c r="AF262" s="39"/>
      <c r="AG262" s="39"/>
      <c r="AH262" s="39"/>
      <c r="AI262" s="39"/>
      <c r="AJ262" s="39"/>
      <c r="AK262" s="39"/>
      <c r="AL262" s="39"/>
      <c r="AM262" s="39"/>
      <c r="AN262" s="39"/>
      <c r="AO262" s="39"/>
      <c r="AP262" s="39"/>
      <c r="AQ262" s="32"/>
      <c r="AR262" s="32"/>
      <c r="AS262" s="32"/>
      <c r="AT262" s="32"/>
      <c r="AU262" s="32"/>
      <c r="AV262" s="32"/>
      <c r="AW262" s="32"/>
      <c r="AX262" s="32"/>
      <c r="AY262" s="32"/>
      <c r="AZ262" s="32"/>
      <c r="BA262" s="32"/>
      <c r="BB262" s="32"/>
      <c r="BC262" s="32"/>
      <c r="BD262" s="32"/>
      <c r="BE262" s="32"/>
      <c r="BF262" s="32"/>
      <c r="BG262" s="32"/>
      <c r="BH262" s="32"/>
      <c r="BI262" s="32"/>
      <c r="BJ262" s="32"/>
    </row>
    <row r="263" ht="15.75" customHeight="1">
      <c r="A263" s="32"/>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c r="AA263" s="39"/>
      <c r="AB263" s="39"/>
      <c r="AC263" s="39"/>
      <c r="AD263" s="39"/>
      <c r="AE263" s="39"/>
      <c r="AF263" s="39"/>
      <c r="AG263" s="39"/>
      <c r="AH263" s="39"/>
      <c r="AI263" s="39"/>
      <c r="AJ263" s="39"/>
      <c r="AK263" s="39"/>
      <c r="AL263" s="39"/>
      <c r="AM263" s="39"/>
      <c r="AN263" s="39"/>
      <c r="AO263" s="39"/>
      <c r="AP263" s="39"/>
      <c r="AQ263" s="32"/>
      <c r="AR263" s="32"/>
      <c r="AS263" s="32"/>
      <c r="AT263" s="32"/>
      <c r="AU263" s="32"/>
      <c r="AV263" s="32"/>
      <c r="AW263" s="32"/>
      <c r="AX263" s="32"/>
      <c r="AY263" s="32"/>
      <c r="AZ263" s="32"/>
      <c r="BA263" s="32"/>
      <c r="BB263" s="32"/>
      <c r="BC263" s="32"/>
      <c r="BD263" s="32"/>
      <c r="BE263" s="32"/>
      <c r="BF263" s="32"/>
      <c r="BG263" s="32"/>
      <c r="BH263" s="32"/>
      <c r="BI263" s="32"/>
      <c r="BJ263" s="32"/>
    </row>
    <row r="264" ht="15.75" customHeight="1">
      <c r="A264" s="32"/>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c r="AA264" s="39"/>
      <c r="AB264" s="39"/>
      <c r="AC264" s="39"/>
      <c r="AD264" s="39"/>
      <c r="AE264" s="39"/>
      <c r="AF264" s="39"/>
      <c r="AG264" s="39"/>
      <c r="AH264" s="39"/>
      <c r="AI264" s="39"/>
      <c r="AJ264" s="39"/>
      <c r="AK264" s="39"/>
      <c r="AL264" s="39"/>
      <c r="AM264" s="39"/>
      <c r="AN264" s="39"/>
      <c r="AO264" s="39"/>
      <c r="AP264" s="39"/>
      <c r="AQ264" s="32"/>
      <c r="AR264" s="32"/>
      <c r="AS264" s="32"/>
      <c r="AT264" s="32"/>
      <c r="AU264" s="32"/>
      <c r="AV264" s="32"/>
      <c r="AW264" s="32"/>
      <c r="AX264" s="32"/>
      <c r="AY264" s="32"/>
      <c r="AZ264" s="32"/>
      <c r="BA264" s="32"/>
      <c r="BB264" s="32"/>
      <c r="BC264" s="32"/>
      <c r="BD264" s="32"/>
      <c r="BE264" s="32"/>
      <c r="BF264" s="32"/>
      <c r="BG264" s="32"/>
      <c r="BH264" s="32"/>
      <c r="BI264" s="32"/>
      <c r="BJ264" s="32"/>
    </row>
    <row r="265" ht="15.75" customHeight="1">
      <c r="A265" s="32"/>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c r="AA265" s="39"/>
      <c r="AB265" s="39"/>
      <c r="AC265" s="39"/>
      <c r="AD265" s="39"/>
      <c r="AE265" s="39"/>
      <c r="AF265" s="39"/>
      <c r="AG265" s="39"/>
      <c r="AH265" s="39"/>
      <c r="AI265" s="39"/>
      <c r="AJ265" s="39"/>
      <c r="AK265" s="39"/>
      <c r="AL265" s="39"/>
      <c r="AM265" s="39"/>
      <c r="AN265" s="39"/>
      <c r="AO265" s="39"/>
      <c r="AP265" s="39"/>
      <c r="AQ265" s="32"/>
      <c r="AR265" s="32"/>
      <c r="AS265" s="32"/>
      <c r="AT265" s="32"/>
      <c r="AU265" s="32"/>
      <c r="AV265" s="32"/>
      <c r="AW265" s="32"/>
      <c r="AX265" s="32"/>
      <c r="AY265" s="32"/>
      <c r="AZ265" s="32"/>
      <c r="BA265" s="32"/>
      <c r="BB265" s="32"/>
      <c r="BC265" s="32"/>
      <c r="BD265" s="32"/>
      <c r="BE265" s="32"/>
      <c r="BF265" s="32"/>
      <c r="BG265" s="32"/>
      <c r="BH265" s="32"/>
      <c r="BI265" s="32"/>
      <c r="BJ265" s="32"/>
    </row>
    <row r="266" ht="15.75" customHeight="1">
      <c r="A266" s="32"/>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c r="AA266" s="39"/>
      <c r="AB266" s="39"/>
      <c r="AC266" s="39"/>
      <c r="AD266" s="39"/>
      <c r="AE266" s="39"/>
      <c r="AF266" s="39"/>
      <c r="AG266" s="39"/>
      <c r="AH266" s="39"/>
      <c r="AI266" s="39"/>
      <c r="AJ266" s="39"/>
      <c r="AK266" s="39"/>
      <c r="AL266" s="39"/>
      <c r="AM266" s="39"/>
      <c r="AN266" s="39"/>
      <c r="AO266" s="39"/>
      <c r="AP266" s="39"/>
      <c r="AQ266" s="32"/>
      <c r="AR266" s="32"/>
      <c r="AS266" s="32"/>
      <c r="AT266" s="32"/>
      <c r="AU266" s="32"/>
      <c r="AV266" s="32"/>
      <c r="AW266" s="32"/>
      <c r="AX266" s="32"/>
      <c r="AY266" s="32"/>
      <c r="AZ266" s="32"/>
      <c r="BA266" s="32"/>
      <c r="BB266" s="32"/>
      <c r="BC266" s="32"/>
      <c r="BD266" s="32"/>
      <c r="BE266" s="32"/>
      <c r="BF266" s="32"/>
      <c r="BG266" s="32"/>
      <c r="BH266" s="32"/>
      <c r="BI266" s="32"/>
      <c r="BJ266" s="32"/>
    </row>
    <row r="267" ht="15.75" customHeight="1">
      <c r="A267" s="32"/>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c r="AA267" s="39"/>
      <c r="AB267" s="39"/>
      <c r="AC267" s="39"/>
      <c r="AD267" s="39"/>
      <c r="AE267" s="39"/>
      <c r="AF267" s="39"/>
      <c r="AG267" s="39"/>
      <c r="AH267" s="39"/>
      <c r="AI267" s="39"/>
      <c r="AJ267" s="39"/>
      <c r="AK267" s="39"/>
      <c r="AL267" s="39"/>
      <c r="AM267" s="39"/>
      <c r="AN267" s="39"/>
      <c r="AO267" s="39"/>
      <c r="AP267" s="39"/>
      <c r="AQ267" s="32"/>
      <c r="AR267" s="32"/>
      <c r="AS267" s="32"/>
      <c r="AT267" s="32"/>
      <c r="AU267" s="32"/>
      <c r="AV267" s="32"/>
      <c r="AW267" s="32"/>
      <c r="AX267" s="32"/>
      <c r="AY267" s="32"/>
      <c r="AZ267" s="32"/>
      <c r="BA267" s="32"/>
      <c r="BB267" s="32"/>
      <c r="BC267" s="32"/>
      <c r="BD267" s="32"/>
      <c r="BE267" s="32"/>
      <c r="BF267" s="32"/>
      <c r="BG267" s="32"/>
      <c r="BH267" s="32"/>
      <c r="BI267" s="32"/>
      <c r="BJ267" s="32"/>
    </row>
    <row r="268" ht="15.75" customHeight="1">
      <c r="A268" s="32"/>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c r="AA268" s="39"/>
      <c r="AB268" s="39"/>
      <c r="AC268" s="39"/>
      <c r="AD268" s="39"/>
      <c r="AE268" s="39"/>
      <c r="AF268" s="39"/>
      <c r="AG268" s="39"/>
      <c r="AH268" s="39"/>
      <c r="AI268" s="39"/>
      <c r="AJ268" s="39"/>
      <c r="AK268" s="39"/>
      <c r="AL268" s="39"/>
      <c r="AM268" s="39"/>
      <c r="AN268" s="39"/>
      <c r="AO268" s="39"/>
      <c r="AP268" s="39"/>
      <c r="AQ268" s="32"/>
      <c r="AR268" s="32"/>
      <c r="AS268" s="32"/>
      <c r="AT268" s="32"/>
      <c r="AU268" s="32"/>
      <c r="AV268" s="32"/>
      <c r="AW268" s="32"/>
      <c r="AX268" s="32"/>
      <c r="AY268" s="32"/>
      <c r="AZ268" s="32"/>
      <c r="BA268" s="32"/>
      <c r="BB268" s="32"/>
      <c r="BC268" s="32"/>
      <c r="BD268" s="32"/>
      <c r="BE268" s="32"/>
      <c r="BF268" s="32"/>
      <c r="BG268" s="32"/>
      <c r="BH268" s="32"/>
      <c r="BI268" s="32"/>
      <c r="BJ268" s="32"/>
    </row>
    <row r="269" ht="15.75" customHeight="1">
      <c r="A269" s="32"/>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c r="AA269" s="39"/>
      <c r="AB269" s="39"/>
      <c r="AC269" s="39"/>
      <c r="AD269" s="39"/>
      <c r="AE269" s="39"/>
      <c r="AF269" s="39"/>
      <c r="AG269" s="39"/>
      <c r="AH269" s="39"/>
      <c r="AI269" s="39"/>
      <c r="AJ269" s="39"/>
      <c r="AK269" s="39"/>
      <c r="AL269" s="39"/>
      <c r="AM269" s="39"/>
      <c r="AN269" s="39"/>
      <c r="AO269" s="39"/>
      <c r="AP269" s="39"/>
      <c r="AQ269" s="32"/>
      <c r="AR269" s="32"/>
      <c r="AS269" s="32"/>
      <c r="AT269" s="32"/>
      <c r="AU269" s="32"/>
      <c r="AV269" s="32"/>
      <c r="AW269" s="32"/>
      <c r="AX269" s="32"/>
      <c r="AY269" s="32"/>
      <c r="AZ269" s="32"/>
      <c r="BA269" s="32"/>
      <c r="BB269" s="32"/>
      <c r="BC269" s="32"/>
      <c r="BD269" s="32"/>
      <c r="BE269" s="32"/>
      <c r="BF269" s="32"/>
      <c r="BG269" s="32"/>
      <c r="BH269" s="32"/>
      <c r="BI269" s="32"/>
      <c r="BJ269" s="32"/>
    </row>
    <row r="270" ht="15.75" customHeight="1">
      <c r="A270" s="32"/>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c r="AA270" s="39"/>
      <c r="AB270" s="39"/>
      <c r="AC270" s="39"/>
      <c r="AD270" s="39"/>
      <c r="AE270" s="39"/>
      <c r="AF270" s="39"/>
      <c r="AG270" s="39"/>
      <c r="AH270" s="39"/>
      <c r="AI270" s="39"/>
      <c r="AJ270" s="39"/>
      <c r="AK270" s="39"/>
      <c r="AL270" s="39"/>
      <c r="AM270" s="39"/>
      <c r="AN270" s="39"/>
      <c r="AO270" s="39"/>
      <c r="AP270" s="39"/>
      <c r="AQ270" s="32"/>
      <c r="AR270" s="32"/>
      <c r="AS270" s="32"/>
      <c r="AT270" s="32"/>
      <c r="AU270" s="32"/>
      <c r="AV270" s="32"/>
      <c r="AW270" s="32"/>
      <c r="AX270" s="32"/>
      <c r="AY270" s="32"/>
      <c r="AZ270" s="32"/>
      <c r="BA270" s="32"/>
      <c r="BB270" s="32"/>
      <c r="BC270" s="32"/>
      <c r="BD270" s="32"/>
      <c r="BE270" s="32"/>
      <c r="BF270" s="32"/>
      <c r="BG270" s="32"/>
      <c r="BH270" s="32"/>
      <c r="BI270" s="32"/>
      <c r="BJ270" s="32"/>
    </row>
    <row r="271" ht="15.75" customHeight="1">
      <c r="A271" s="32"/>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c r="AA271" s="39"/>
      <c r="AB271" s="39"/>
      <c r="AC271" s="39"/>
      <c r="AD271" s="39"/>
      <c r="AE271" s="39"/>
      <c r="AF271" s="39"/>
      <c r="AG271" s="39"/>
      <c r="AH271" s="39"/>
      <c r="AI271" s="39"/>
      <c r="AJ271" s="39"/>
      <c r="AK271" s="39"/>
      <c r="AL271" s="39"/>
      <c r="AM271" s="39"/>
      <c r="AN271" s="39"/>
      <c r="AO271" s="39"/>
      <c r="AP271" s="39"/>
      <c r="AQ271" s="32"/>
      <c r="AR271" s="32"/>
      <c r="AS271" s="32"/>
      <c r="AT271" s="32"/>
      <c r="AU271" s="32"/>
      <c r="AV271" s="32"/>
      <c r="AW271" s="32"/>
      <c r="AX271" s="32"/>
      <c r="AY271" s="32"/>
      <c r="AZ271" s="32"/>
      <c r="BA271" s="32"/>
      <c r="BB271" s="32"/>
      <c r="BC271" s="32"/>
      <c r="BD271" s="32"/>
      <c r="BE271" s="32"/>
      <c r="BF271" s="32"/>
      <c r="BG271" s="32"/>
      <c r="BH271" s="32"/>
      <c r="BI271" s="32"/>
      <c r="BJ271" s="32"/>
    </row>
    <row r="272" ht="15.75" customHeight="1">
      <c r="A272" s="32"/>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c r="AA272" s="39"/>
      <c r="AB272" s="39"/>
      <c r="AC272" s="39"/>
      <c r="AD272" s="39"/>
      <c r="AE272" s="39"/>
      <c r="AF272" s="39"/>
      <c r="AG272" s="39"/>
      <c r="AH272" s="39"/>
      <c r="AI272" s="39"/>
      <c r="AJ272" s="39"/>
      <c r="AK272" s="39"/>
      <c r="AL272" s="39"/>
      <c r="AM272" s="39"/>
      <c r="AN272" s="39"/>
      <c r="AO272" s="39"/>
      <c r="AP272" s="39"/>
      <c r="AQ272" s="32"/>
      <c r="AR272" s="32"/>
      <c r="AS272" s="32"/>
      <c r="AT272" s="32"/>
      <c r="AU272" s="32"/>
      <c r="AV272" s="32"/>
      <c r="AW272" s="32"/>
      <c r="AX272" s="32"/>
      <c r="AY272" s="32"/>
      <c r="AZ272" s="32"/>
      <c r="BA272" s="32"/>
      <c r="BB272" s="32"/>
      <c r="BC272" s="32"/>
      <c r="BD272" s="32"/>
      <c r="BE272" s="32"/>
      <c r="BF272" s="32"/>
      <c r="BG272" s="32"/>
      <c r="BH272" s="32"/>
      <c r="BI272" s="32"/>
      <c r="BJ272" s="32"/>
    </row>
    <row r="273" ht="15.75" customHeight="1">
      <c r="A273" s="32"/>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c r="AA273" s="39"/>
      <c r="AB273" s="39"/>
      <c r="AC273" s="39"/>
      <c r="AD273" s="39"/>
      <c r="AE273" s="39"/>
      <c r="AF273" s="39"/>
      <c r="AG273" s="39"/>
      <c r="AH273" s="39"/>
      <c r="AI273" s="39"/>
      <c r="AJ273" s="39"/>
      <c r="AK273" s="39"/>
      <c r="AL273" s="39"/>
      <c r="AM273" s="39"/>
      <c r="AN273" s="39"/>
      <c r="AO273" s="39"/>
      <c r="AP273" s="39"/>
      <c r="AQ273" s="32"/>
      <c r="AR273" s="32"/>
      <c r="AS273" s="32"/>
      <c r="AT273" s="32"/>
      <c r="AU273" s="32"/>
      <c r="AV273" s="32"/>
      <c r="AW273" s="32"/>
      <c r="AX273" s="32"/>
      <c r="AY273" s="32"/>
      <c r="AZ273" s="32"/>
      <c r="BA273" s="32"/>
      <c r="BB273" s="32"/>
      <c r="BC273" s="32"/>
      <c r="BD273" s="32"/>
      <c r="BE273" s="32"/>
      <c r="BF273" s="32"/>
      <c r="BG273" s="32"/>
      <c r="BH273" s="32"/>
      <c r="BI273" s="32"/>
      <c r="BJ273" s="32"/>
    </row>
    <row r="274" ht="15.75" customHeight="1">
      <c r="A274" s="32"/>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c r="AA274" s="39"/>
      <c r="AB274" s="39"/>
      <c r="AC274" s="39"/>
      <c r="AD274" s="39"/>
      <c r="AE274" s="39"/>
      <c r="AF274" s="39"/>
      <c r="AG274" s="39"/>
      <c r="AH274" s="39"/>
      <c r="AI274" s="39"/>
      <c r="AJ274" s="39"/>
      <c r="AK274" s="39"/>
      <c r="AL274" s="39"/>
      <c r="AM274" s="39"/>
      <c r="AN274" s="39"/>
      <c r="AO274" s="39"/>
      <c r="AP274" s="39"/>
      <c r="AQ274" s="32"/>
      <c r="AR274" s="32"/>
      <c r="AS274" s="32"/>
      <c r="AT274" s="32"/>
      <c r="AU274" s="32"/>
      <c r="AV274" s="32"/>
      <c r="AW274" s="32"/>
      <c r="AX274" s="32"/>
      <c r="AY274" s="32"/>
      <c r="AZ274" s="32"/>
      <c r="BA274" s="32"/>
      <c r="BB274" s="32"/>
      <c r="BC274" s="32"/>
      <c r="BD274" s="32"/>
      <c r="BE274" s="32"/>
      <c r="BF274" s="32"/>
      <c r="BG274" s="32"/>
      <c r="BH274" s="32"/>
      <c r="BI274" s="32"/>
      <c r="BJ274" s="32"/>
    </row>
    <row r="275" ht="15.75" customHeight="1">
      <c r="A275" s="32"/>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c r="AA275" s="39"/>
      <c r="AB275" s="39"/>
      <c r="AC275" s="39"/>
      <c r="AD275" s="39"/>
      <c r="AE275" s="39"/>
      <c r="AF275" s="39"/>
      <c r="AG275" s="39"/>
      <c r="AH275" s="39"/>
      <c r="AI275" s="39"/>
      <c r="AJ275" s="39"/>
      <c r="AK275" s="39"/>
      <c r="AL275" s="39"/>
      <c r="AM275" s="39"/>
      <c r="AN275" s="39"/>
      <c r="AO275" s="39"/>
      <c r="AP275" s="39"/>
      <c r="AQ275" s="32"/>
      <c r="AR275" s="32"/>
      <c r="AS275" s="32"/>
      <c r="AT275" s="32"/>
      <c r="AU275" s="32"/>
      <c r="AV275" s="32"/>
      <c r="AW275" s="32"/>
      <c r="AX275" s="32"/>
      <c r="AY275" s="32"/>
      <c r="AZ275" s="32"/>
      <c r="BA275" s="32"/>
      <c r="BB275" s="32"/>
      <c r="BC275" s="32"/>
      <c r="BD275" s="32"/>
      <c r="BE275" s="32"/>
      <c r="BF275" s="32"/>
      <c r="BG275" s="32"/>
      <c r="BH275" s="32"/>
      <c r="BI275" s="32"/>
      <c r="BJ275" s="32"/>
    </row>
    <row r="276" ht="15.75" customHeight="1">
      <c r="A276" s="32"/>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c r="AA276" s="39"/>
      <c r="AB276" s="39"/>
      <c r="AC276" s="39"/>
      <c r="AD276" s="39"/>
      <c r="AE276" s="39"/>
      <c r="AF276" s="39"/>
      <c r="AG276" s="39"/>
      <c r="AH276" s="39"/>
      <c r="AI276" s="39"/>
      <c r="AJ276" s="39"/>
      <c r="AK276" s="39"/>
      <c r="AL276" s="39"/>
      <c r="AM276" s="39"/>
      <c r="AN276" s="39"/>
      <c r="AO276" s="39"/>
      <c r="AP276" s="39"/>
      <c r="AQ276" s="32"/>
      <c r="AR276" s="32"/>
      <c r="AS276" s="32"/>
      <c r="AT276" s="32"/>
      <c r="AU276" s="32"/>
      <c r="AV276" s="32"/>
      <c r="AW276" s="32"/>
      <c r="AX276" s="32"/>
      <c r="AY276" s="32"/>
      <c r="AZ276" s="32"/>
      <c r="BA276" s="32"/>
      <c r="BB276" s="32"/>
      <c r="BC276" s="32"/>
      <c r="BD276" s="32"/>
      <c r="BE276" s="32"/>
      <c r="BF276" s="32"/>
      <c r="BG276" s="32"/>
      <c r="BH276" s="32"/>
      <c r="BI276" s="32"/>
      <c r="BJ276" s="32"/>
    </row>
    <row r="277" ht="15.75" customHeight="1">
      <c r="A277" s="32"/>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c r="AA277" s="39"/>
      <c r="AB277" s="39"/>
      <c r="AC277" s="39"/>
      <c r="AD277" s="39"/>
      <c r="AE277" s="39"/>
      <c r="AF277" s="39"/>
      <c r="AG277" s="39"/>
      <c r="AH277" s="39"/>
      <c r="AI277" s="39"/>
      <c r="AJ277" s="39"/>
      <c r="AK277" s="39"/>
      <c r="AL277" s="39"/>
      <c r="AM277" s="39"/>
      <c r="AN277" s="39"/>
      <c r="AO277" s="39"/>
      <c r="AP277" s="39"/>
      <c r="AQ277" s="32"/>
      <c r="AR277" s="32"/>
      <c r="AS277" s="32"/>
      <c r="AT277" s="32"/>
      <c r="AU277" s="32"/>
      <c r="AV277" s="32"/>
      <c r="AW277" s="32"/>
      <c r="AX277" s="32"/>
      <c r="AY277" s="32"/>
      <c r="AZ277" s="32"/>
      <c r="BA277" s="32"/>
      <c r="BB277" s="32"/>
      <c r="BC277" s="32"/>
      <c r="BD277" s="32"/>
      <c r="BE277" s="32"/>
      <c r="BF277" s="32"/>
      <c r="BG277" s="32"/>
      <c r="BH277" s="32"/>
      <c r="BI277" s="32"/>
      <c r="BJ277" s="32"/>
    </row>
    <row r="278" ht="15.75" customHeight="1">
      <c r="A278" s="32"/>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c r="AA278" s="39"/>
      <c r="AB278" s="39"/>
      <c r="AC278" s="39"/>
      <c r="AD278" s="39"/>
      <c r="AE278" s="39"/>
      <c r="AF278" s="39"/>
      <c r="AG278" s="39"/>
      <c r="AH278" s="39"/>
      <c r="AI278" s="39"/>
      <c r="AJ278" s="39"/>
      <c r="AK278" s="39"/>
      <c r="AL278" s="39"/>
      <c r="AM278" s="39"/>
      <c r="AN278" s="39"/>
      <c r="AO278" s="39"/>
      <c r="AP278" s="39"/>
      <c r="AQ278" s="32"/>
      <c r="AR278" s="32"/>
      <c r="AS278" s="32"/>
      <c r="AT278" s="32"/>
      <c r="AU278" s="32"/>
      <c r="AV278" s="32"/>
      <c r="AW278" s="32"/>
      <c r="AX278" s="32"/>
      <c r="AY278" s="32"/>
      <c r="AZ278" s="32"/>
      <c r="BA278" s="32"/>
      <c r="BB278" s="32"/>
      <c r="BC278" s="32"/>
      <c r="BD278" s="32"/>
      <c r="BE278" s="32"/>
      <c r="BF278" s="32"/>
      <c r="BG278" s="32"/>
      <c r="BH278" s="32"/>
      <c r="BI278" s="32"/>
      <c r="BJ278" s="32"/>
    </row>
    <row r="279" ht="15.75" customHeight="1">
      <c r="A279" s="32"/>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c r="AA279" s="39"/>
      <c r="AB279" s="39"/>
      <c r="AC279" s="39"/>
      <c r="AD279" s="39"/>
      <c r="AE279" s="39"/>
      <c r="AF279" s="39"/>
      <c r="AG279" s="39"/>
      <c r="AH279" s="39"/>
      <c r="AI279" s="39"/>
      <c r="AJ279" s="39"/>
      <c r="AK279" s="39"/>
      <c r="AL279" s="39"/>
      <c r="AM279" s="39"/>
      <c r="AN279" s="39"/>
      <c r="AO279" s="39"/>
      <c r="AP279" s="39"/>
      <c r="AQ279" s="32"/>
      <c r="AR279" s="32"/>
      <c r="AS279" s="32"/>
      <c r="AT279" s="32"/>
      <c r="AU279" s="32"/>
      <c r="AV279" s="32"/>
      <c r="AW279" s="32"/>
      <c r="AX279" s="32"/>
      <c r="AY279" s="32"/>
      <c r="AZ279" s="32"/>
      <c r="BA279" s="32"/>
      <c r="BB279" s="32"/>
      <c r="BC279" s="32"/>
      <c r="BD279" s="32"/>
      <c r="BE279" s="32"/>
      <c r="BF279" s="32"/>
      <c r="BG279" s="32"/>
      <c r="BH279" s="32"/>
      <c r="BI279" s="32"/>
      <c r="BJ279" s="32"/>
    </row>
    <row r="280" ht="15.75" customHeight="1">
      <c r="A280" s="32"/>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c r="AA280" s="39"/>
      <c r="AB280" s="39"/>
      <c r="AC280" s="39"/>
      <c r="AD280" s="39"/>
      <c r="AE280" s="39"/>
      <c r="AF280" s="39"/>
      <c r="AG280" s="39"/>
      <c r="AH280" s="39"/>
      <c r="AI280" s="39"/>
      <c r="AJ280" s="39"/>
      <c r="AK280" s="39"/>
      <c r="AL280" s="39"/>
      <c r="AM280" s="39"/>
      <c r="AN280" s="39"/>
      <c r="AO280" s="39"/>
      <c r="AP280" s="39"/>
      <c r="AQ280" s="32"/>
      <c r="AR280" s="32"/>
      <c r="AS280" s="32"/>
      <c r="AT280" s="32"/>
      <c r="AU280" s="32"/>
      <c r="AV280" s="32"/>
      <c r="AW280" s="32"/>
      <c r="AX280" s="32"/>
      <c r="AY280" s="32"/>
      <c r="AZ280" s="32"/>
      <c r="BA280" s="32"/>
      <c r="BB280" s="32"/>
      <c r="BC280" s="32"/>
      <c r="BD280" s="32"/>
      <c r="BE280" s="32"/>
      <c r="BF280" s="32"/>
      <c r="BG280" s="32"/>
      <c r="BH280" s="32"/>
      <c r="BI280" s="32"/>
      <c r="BJ280" s="32"/>
    </row>
    <row r="281" ht="15.75" customHeight="1">
      <c r="A281" s="32"/>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c r="AA281" s="39"/>
      <c r="AB281" s="39"/>
      <c r="AC281" s="39"/>
      <c r="AD281" s="39"/>
      <c r="AE281" s="39"/>
      <c r="AF281" s="39"/>
      <c r="AG281" s="39"/>
      <c r="AH281" s="39"/>
      <c r="AI281" s="39"/>
      <c r="AJ281" s="39"/>
      <c r="AK281" s="39"/>
      <c r="AL281" s="39"/>
      <c r="AM281" s="39"/>
      <c r="AN281" s="39"/>
      <c r="AO281" s="39"/>
      <c r="AP281" s="39"/>
      <c r="AQ281" s="32"/>
      <c r="AR281" s="32"/>
      <c r="AS281" s="32"/>
      <c r="AT281" s="32"/>
      <c r="AU281" s="32"/>
      <c r="AV281" s="32"/>
      <c r="AW281" s="32"/>
      <c r="AX281" s="32"/>
      <c r="AY281" s="32"/>
      <c r="AZ281" s="32"/>
      <c r="BA281" s="32"/>
      <c r="BB281" s="32"/>
      <c r="BC281" s="32"/>
      <c r="BD281" s="32"/>
      <c r="BE281" s="32"/>
      <c r="BF281" s="32"/>
      <c r="BG281" s="32"/>
      <c r="BH281" s="32"/>
      <c r="BI281" s="32"/>
      <c r="BJ281" s="32"/>
    </row>
    <row r="282" ht="15.75" customHeight="1">
      <c r="A282" s="32"/>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c r="AA282" s="39"/>
      <c r="AB282" s="39"/>
      <c r="AC282" s="39"/>
      <c r="AD282" s="39"/>
      <c r="AE282" s="39"/>
      <c r="AF282" s="39"/>
      <c r="AG282" s="39"/>
      <c r="AH282" s="39"/>
      <c r="AI282" s="39"/>
      <c r="AJ282" s="39"/>
      <c r="AK282" s="39"/>
      <c r="AL282" s="39"/>
      <c r="AM282" s="39"/>
      <c r="AN282" s="39"/>
      <c r="AO282" s="39"/>
      <c r="AP282" s="39"/>
      <c r="AQ282" s="32"/>
      <c r="AR282" s="32"/>
      <c r="AS282" s="32"/>
      <c r="AT282" s="32"/>
      <c r="AU282" s="32"/>
      <c r="AV282" s="32"/>
      <c r="AW282" s="32"/>
      <c r="AX282" s="32"/>
      <c r="AY282" s="32"/>
      <c r="AZ282" s="32"/>
      <c r="BA282" s="32"/>
      <c r="BB282" s="32"/>
      <c r="BC282" s="32"/>
      <c r="BD282" s="32"/>
      <c r="BE282" s="32"/>
      <c r="BF282" s="32"/>
      <c r="BG282" s="32"/>
      <c r="BH282" s="32"/>
      <c r="BI282" s="32"/>
      <c r="BJ282" s="32"/>
    </row>
    <row r="283" ht="15.75" customHeight="1">
      <c r="A283" s="32"/>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c r="AA283" s="39"/>
      <c r="AB283" s="39"/>
      <c r="AC283" s="39"/>
      <c r="AD283" s="39"/>
      <c r="AE283" s="39"/>
      <c r="AF283" s="39"/>
      <c r="AG283" s="39"/>
      <c r="AH283" s="39"/>
      <c r="AI283" s="39"/>
      <c r="AJ283" s="39"/>
      <c r="AK283" s="39"/>
      <c r="AL283" s="39"/>
      <c r="AM283" s="39"/>
      <c r="AN283" s="39"/>
      <c r="AO283" s="39"/>
      <c r="AP283" s="39"/>
      <c r="AQ283" s="32"/>
      <c r="AR283" s="32"/>
      <c r="AS283" s="32"/>
      <c r="AT283" s="32"/>
      <c r="AU283" s="32"/>
      <c r="AV283" s="32"/>
      <c r="AW283" s="32"/>
      <c r="AX283" s="32"/>
      <c r="AY283" s="32"/>
      <c r="AZ283" s="32"/>
      <c r="BA283" s="32"/>
      <c r="BB283" s="32"/>
      <c r="BC283" s="32"/>
      <c r="BD283" s="32"/>
      <c r="BE283" s="32"/>
      <c r="BF283" s="32"/>
      <c r="BG283" s="32"/>
      <c r="BH283" s="32"/>
      <c r="BI283" s="32"/>
      <c r="BJ283" s="32"/>
    </row>
    <row r="284" ht="15.75" customHeight="1">
      <c r="A284" s="32"/>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c r="AA284" s="39"/>
      <c r="AB284" s="39"/>
      <c r="AC284" s="39"/>
      <c r="AD284" s="39"/>
      <c r="AE284" s="39"/>
      <c r="AF284" s="39"/>
      <c r="AG284" s="39"/>
      <c r="AH284" s="39"/>
      <c r="AI284" s="39"/>
      <c r="AJ284" s="39"/>
      <c r="AK284" s="39"/>
      <c r="AL284" s="39"/>
      <c r="AM284" s="39"/>
      <c r="AN284" s="39"/>
      <c r="AO284" s="39"/>
      <c r="AP284" s="39"/>
      <c r="AQ284" s="32"/>
      <c r="AR284" s="32"/>
      <c r="AS284" s="32"/>
      <c r="AT284" s="32"/>
      <c r="AU284" s="32"/>
      <c r="AV284" s="32"/>
      <c r="AW284" s="32"/>
      <c r="AX284" s="32"/>
      <c r="AY284" s="32"/>
      <c r="AZ284" s="32"/>
      <c r="BA284" s="32"/>
      <c r="BB284" s="32"/>
      <c r="BC284" s="32"/>
      <c r="BD284" s="32"/>
      <c r="BE284" s="32"/>
      <c r="BF284" s="32"/>
      <c r="BG284" s="32"/>
      <c r="BH284" s="32"/>
      <c r="BI284" s="32"/>
      <c r="BJ284" s="32"/>
    </row>
    <row r="285" ht="15.75" customHeight="1">
      <c r="A285" s="32"/>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c r="AA285" s="39"/>
      <c r="AB285" s="39"/>
      <c r="AC285" s="39"/>
      <c r="AD285" s="39"/>
      <c r="AE285" s="39"/>
      <c r="AF285" s="39"/>
      <c r="AG285" s="39"/>
      <c r="AH285" s="39"/>
      <c r="AI285" s="39"/>
      <c r="AJ285" s="39"/>
      <c r="AK285" s="39"/>
      <c r="AL285" s="39"/>
      <c r="AM285" s="39"/>
      <c r="AN285" s="39"/>
      <c r="AO285" s="39"/>
      <c r="AP285" s="39"/>
      <c r="AQ285" s="32"/>
      <c r="AR285" s="32"/>
      <c r="AS285" s="32"/>
      <c r="AT285" s="32"/>
      <c r="AU285" s="32"/>
      <c r="AV285" s="32"/>
      <c r="AW285" s="32"/>
      <c r="AX285" s="32"/>
      <c r="AY285" s="32"/>
      <c r="AZ285" s="32"/>
      <c r="BA285" s="32"/>
      <c r="BB285" s="32"/>
      <c r="BC285" s="32"/>
      <c r="BD285" s="32"/>
      <c r="BE285" s="32"/>
      <c r="BF285" s="32"/>
      <c r="BG285" s="32"/>
      <c r="BH285" s="32"/>
      <c r="BI285" s="32"/>
      <c r="BJ285" s="32"/>
    </row>
    <row r="286" ht="15.75" customHeight="1">
      <c r="A286" s="32"/>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c r="AA286" s="39"/>
      <c r="AB286" s="39"/>
      <c r="AC286" s="39"/>
      <c r="AD286" s="39"/>
      <c r="AE286" s="39"/>
      <c r="AF286" s="39"/>
      <c r="AG286" s="39"/>
      <c r="AH286" s="39"/>
      <c r="AI286" s="39"/>
      <c r="AJ286" s="39"/>
      <c r="AK286" s="39"/>
      <c r="AL286" s="39"/>
      <c r="AM286" s="39"/>
      <c r="AN286" s="39"/>
      <c r="AO286" s="39"/>
      <c r="AP286" s="39"/>
      <c r="AQ286" s="32"/>
      <c r="AR286" s="32"/>
      <c r="AS286" s="32"/>
      <c r="AT286" s="32"/>
      <c r="AU286" s="32"/>
      <c r="AV286" s="32"/>
      <c r="AW286" s="32"/>
      <c r="AX286" s="32"/>
      <c r="AY286" s="32"/>
      <c r="AZ286" s="32"/>
      <c r="BA286" s="32"/>
      <c r="BB286" s="32"/>
      <c r="BC286" s="32"/>
      <c r="BD286" s="32"/>
      <c r="BE286" s="32"/>
      <c r="BF286" s="32"/>
      <c r="BG286" s="32"/>
      <c r="BH286" s="32"/>
      <c r="BI286" s="32"/>
      <c r="BJ286" s="32"/>
    </row>
    <row r="287" ht="15.75" customHeight="1">
      <c r="A287" s="32"/>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c r="AA287" s="39"/>
      <c r="AB287" s="39"/>
      <c r="AC287" s="39"/>
      <c r="AD287" s="39"/>
      <c r="AE287" s="39"/>
      <c r="AF287" s="39"/>
      <c r="AG287" s="39"/>
      <c r="AH287" s="39"/>
      <c r="AI287" s="39"/>
      <c r="AJ287" s="39"/>
      <c r="AK287" s="39"/>
      <c r="AL287" s="39"/>
      <c r="AM287" s="39"/>
      <c r="AN287" s="39"/>
      <c r="AO287" s="39"/>
      <c r="AP287" s="39"/>
      <c r="AQ287" s="32"/>
      <c r="AR287" s="32"/>
      <c r="AS287" s="32"/>
      <c r="AT287" s="32"/>
      <c r="AU287" s="32"/>
      <c r="AV287" s="32"/>
      <c r="AW287" s="32"/>
      <c r="AX287" s="32"/>
      <c r="AY287" s="32"/>
      <c r="AZ287" s="32"/>
      <c r="BA287" s="32"/>
      <c r="BB287" s="32"/>
      <c r="BC287" s="32"/>
      <c r="BD287" s="32"/>
      <c r="BE287" s="32"/>
      <c r="BF287" s="32"/>
      <c r="BG287" s="32"/>
      <c r="BH287" s="32"/>
      <c r="BI287" s="32"/>
      <c r="BJ287" s="32"/>
    </row>
    <row r="288" ht="15.75" customHeight="1">
      <c r="A288" s="32"/>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c r="AA288" s="39"/>
      <c r="AB288" s="39"/>
      <c r="AC288" s="39"/>
      <c r="AD288" s="39"/>
      <c r="AE288" s="39"/>
      <c r="AF288" s="39"/>
      <c r="AG288" s="39"/>
      <c r="AH288" s="39"/>
      <c r="AI288" s="39"/>
      <c r="AJ288" s="39"/>
      <c r="AK288" s="39"/>
      <c r="AL288" s="39"/>
      <c r="AM288" s="39"/>
      <c r="AN288" s="39"/>
      <c r="AO288" s="39"/>
      <c r="AP288" s="39"/>
      <c r="AQ288" s="32"/>
      <c r="AR288" s="32"/>
      <c r="AS288" s="32"/>
      <c r="AT288" s="32"/>
      <c r="AU288" s="32"/>
      <c r="AV288" s="32"/>
      <c r="AW288" s="32"/>
      <c r="AX288" s="32"/>
      <c r="AY288" s="32"/>
      <c r="AZ288" s="32"/>
      <c r="BA288" s="32"/>
      <c r="BB288" s="32"/>
      <c r="BC288" s="32"/>
      <c r="BD288" s="32"/>
      <c r="BE288" s="32"/>
      <c r="BF288" s="32"/>
      <c r="BG288" s="32"/>
      <c r="BH288" s="32"/>
      <c r="BI288" s="32"/>
      <c r="BJ288" s="32"/>
    </row>
    <row r="289" ht="15.75" customHeight="1">
      <c r="A289" s="32"/>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c r="AA289" s="39"/>
      <c r="AB289" s="39"/>
      <c r="AC289" s="39"/>
      <c r="AD289" s="39"/>
      <c r="AE289" s="39"/>
      <c r="AF289" s="39"/>
      <c r="AG289" s="39"/>
      <c r="AH289" s="39"/>
      <c r="AI289" s="39"/>
      <c r="AJ289" s="39"/>
      <c r="AK289" s="39"/>
      <c r="AL289" s="39"/>
      <c r="AM289" s="39"/>
      <c r="AN289" s="39"/>
      <c r="AO289" s="39"/>
      <c r="AP289" s="39"/>
      <c r="AQ289" s="32"/>
      <c r="AR289" s="32"/>
      <c r="AS289" s="32"/>
      <c r="AT289" s="32"/>
      <c r="AU289" s="32"/>
      <c r="AV289" s="32"/>
      <c r="AW289" s="32"/>
      <c r="AX289" s="32"/>
      <c r="AY289" s="32"/>
      <c r="AZ289" s="32"/>
      <c r="BA289" s="32"/>
      <c r="BB289" s="32"/>
      <c r="BC289" s="32"/>
      <c r="BD289" s="32"/>
      <c r="BE289" s="32"/>
      <c r="BF289" s="32"/>
      <c r="BG289" s="32"/>
      <c r="BH289" s="32"/>
      <c r="BI289" s="32"/>
      <c r="BJ289" s="32"/>
    </row>
    <row r="290" ht="15.75" customHeight="1">
      <c r="A290" s="32"/>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c r="AA290" s="39"/>
      <c r="AB290" s="39"/>
      <c r="AC290" s="39"/>
      <c r="AD290" s="39"/>
      <c r="AE290" s="39"/>
      <c r="AF290" s="39"/>
      <c r="AG290" s="39"/>
      <c r="AH290" s="39"/>
      <c r="AI290" s="39"/>
      <c r="AJ290" s="39"/>
      <c r="AK290" s="39"/>
      <c r="AL290" s="39"/>
      <c r="AM290" s="39"/>
      <c r="AN290" s="39"/>
      <c r="AO290" s="39"/>
      <c r="AP290" s="39"/>
      <c r="AQ290" s="32"/>
      <c r="AR290" s="32"/>
      <c r="AS290" s="32"/>
      <c r="AT290" s="32"/>
      <c r="AU290" s="32"/>
      <c r="AV290" s="32"/>
      <c r="AW290" s="32"/>
      <c r="AX290" s="32"/>
      <c r="AY290" s="32"/>
      <c r="AZ290" s="32"/>
      <c r="BA290" s="32"/>
      <c r="BB290" s="32"/>
      <c r="BC290" s="32"/>
      <c r="BD290" s="32"/>
      <c r="BE290" s="32"/>
      <c r="BF290" s="32"/>
      <c r="BG290" s="32"/>
      <c r="BH290" s="32"/>
      <c r="BI290" s="32"/>
      <c r="BJ290" s="32"/>
    </row>
    <row r="291" ht="15.75" customHeight="1">
      <c r="A291" s="32"/>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c r="AA291" s="39"/>
      <c r="AB291" s="39"/>
      <c r="AC291" s="39"/>
      <c r="AD291" s="39"/>
      <c r="AE291" s="39"/>
      <c r="AF291" s="39"/>
      <c r="AG291" s="39"/>
      <c r="AH291" s="39"/>
      <c r="AI291" s="39"/>
      <c r="AJ291" s="39"/>
      <c r="AK291" s="39"/>
      <c r="AL291" s="39"/>
      <c r="AM291" s="39"/>
      <c r="AN291" s="39"/>
      <c r="AO291" s="39"/>
      <c r="AP291" s="39"/>
      <c r="AQ291" s="32"/>
      <c r="AR291" s="32"/>
      <c r="AS291" s="32"/>
      <c r="AT291" s="32"/>
      <c r="AU291" s="32"/>
      <c r="AV291" s="32"/>
      <c r="AW291" s="32"/>
      <c r="AX291" s="32"/>
      <c r="AY291" s="32"/>
      <c r="AZ291" s="32"/>
      <c r="BA291" s="32"/>
      <c r="BB291" s="32"/>
      <c r="BC291" s="32"/>
      <c r="BD291" s="32"/>
      <c r="BE291" s="32"/>
      <c r="BF291" s="32"/>
      <c r="BG291" s="32"/>
      <c r="BH291" s="32"/>
      <c r="BI291" s="32"/>
      <c r="BJ291" s="32"/>
    </row>
    <row r="292" ht="15.75" customHeight="1">
      <c r="A292" s="32"/>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c r="AA292" s="39"/>
      <c r="AB292" s="39"/>
      <c r="AC292" s="39"/>
      <c r="AD292" s="39"/>
      <c r="AE292" s="39"/>
      <c r="AF292" s="39"/>
      <c r="AG292" s="39"/>
      <c r="AH292" s="39"/>
      <c r="AI292" s="39"/>
      <c r="AJ292" s="39"/>
      <c r="AK292" s="39"/>
      <c r="AL292" s="39"/>
      <c r="AM292" s="39"/>
      <c r="AN292" s="39"/>
      <c r="AO292" s="39"/>
      <c r="AP292" s="39"/>
      <c r="AQ292" s="32"/>
      <c r="AR292" s="32"/>
      <c r="AS292" s="32"/>
      <c r="AT292" s="32"/>
      <c r="AU292" s="32"/>
      <c r="AV292" s="32"/>
      <c r="AW292" s="32"/>
      <c r="AX292" s="32"/>
      <c r="AY292" s="32"/>
      <c r="AZ292" s="32"/>
      <c r="BA292" s="32"/>
      <c r="BB292" s="32"/>
      <c r="BC292" s="32"/>
      <c r="BD292" s="32"/>
      <c r="BE292" s="32"/>
      <c r="BF292" s="32"/>
      <c r="BG292" s="32"/>
      <c r="BH292" s="32"/>
      <c r="BI292" s="32"/>
      <c r="BJ292" s="32"/>
    </row>
    <row r="293" ht="15.75" customHeight="1">
      <c r="A293" s="32"/>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c r="AA293" s="39"/>
      <c r="AB293" s="39"/>
      <c r="AC293" s="39"/>
      <c r="AD293" s="39"/>
      <c r="AE293" s="39"/>
      <c r="AF293" s="39"/>
      <c r="AG293" s="39"/>
      <c r="AH293" s="39"/>
      <c r="AI293" s="39"/>
      <c r="AJ293" s="39"/>
      <c r="AK293" s="39"/>
      <c r="AL293" s="39"/>
      <c r="AM293" s="39"/>
      <c r="AN293" s="39"/>
      <c r="AO293" s="39"/>
      <c r="AP293" s="39"/>
      <c r="AQ293" s="32"/>
      <c r="AR293" s="32"/>
      <c r="AS293" s="32"/>
      <c r="AT293" s="32"/>
      <c r="AU293" s="32"/>
      <c r="AV293" s="32"/>
      <c r="AW293" s="32"/>
      <c r="AX293" s="32"/>
      <c r="AY293" s="32"/>
      <c r="AZ293" s="32"/>
      <c r="BA293" s="32"/>
      <c r="BB293" s="32"/>
      <c r="BC293" s="32"/>
      <c r="BD293" s="32"/>
      <c r="BE293" s="32"/>
      <c r="BF293" s="32"/>
      <c r="BG293" s="32"/>
      <c r="BH293" s="32"/>
      <c r="BI293" s="32"/>
      <c r="BJ293" s="32"/>
    </row>
    <row r="294" ht="15.75" customHeight="1">
      <c r="A294" s="32"/>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c r="AA294" s="39"/>
      <c r="AB294" s="39"/>
      <c r="AC294" s="39"/>
      <c r="AD294" s="39"/>
      <c r="AE294" s="39"/>
      <c r="AF294" s="39"/>
      <c r="AG294" s="39"/>
      <c r="AH294" s="39"/>
      <c r="AI294" s="39"/>
      <c r="AJ294" s="39"/>
      <c r="AK294" s="39"/>
      <c r="AL294" s="39"/>
      <c r="AM294" s="39"/>
      <c r="AN294" s="39"/>
      <c r="AO294" s="39"/>
      <c r="AP294" s="39"/>
      <c r="AQ294" s="32"/>
      <c r="AR294" s="32"/>
      <c r="AS294" s="32"/>
      <c r="AT294" s="32"/>
      <c r="AU294" s="32"/>
      <c r="AV294" s="32"/>
      <c r="AW294" s="32"/>
      <c r="AX294" s="32"/>
      <c r="AY294" s="32"/>
      <c r="AZ294" s="32"/>
      <c r="BA294" s="32"/>
      <c r="BB294" s="32"/>
      <c r="BC294" s="32"/>
      <c r="BD294" s="32"/>
      <c r="BE294" s="32"/>
      <c r="BF294" s="32"/>
      <c r="BG294" s="32"/>
      <c r="BH294" s="32"/>
      <c r="BI294" s="32"/>
      <c r="BJ294" s="32"/>
    </row>
    <row r="295" ht="15.75" customHeight="1">
      <c r="A295" s="32"/>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c r="AA295" s="39"/>
      <c r="AB295" s="39"/>
      <c r="AC295" s="39"/>
      <c r="AD295" s="39"/>
      <c r="AE295" s="39"/>
      <c r="AF295" s="39"/>
      <c r="AG295" s="39"/>
      <c r="AH295" s="39"/>
      <c r="AI295" s="39"/>
      <c r="AJ295" s="39"/>
      <c r="AK295" s="39"/>
      <c r="AL295" s="39"/>
      <c r="AM295" s="39"/>
      <c r="AN295" s="39"/>
      <c r="AO295" s="39"/>
      <c r="AP295" s="39"/>
      <c r="AQ295" s="32"/>
      <c r="AR295" s="32"/>
      <c r="AS295" s="32"/>
      <c r="AT295" s="32"/>
      <c r="AU295" s="32"/>
      <c r="AV295" s="32"/>
      <c r="AW295" s="32"/>
      <c r="AX295" s="32"/>
      <c r="AY295" s="32"/>
      <c r="AZ295" s="32"/>
      <c r="BA295" s="32"/>
      <c r="BB295" s="32"/>
      <c r="BC295" s="32"/>
      <c r="BD295" s="32"/>
      <c r="BE295" s="32"/>
      <c r="BF295" s="32"/>
      <c r="BG295" s="32"/>
      <c r="BH295" s="32"/>
      <c r="BI295" s="32"/>
      <c r="BJ295" s="32"/>
    </row>
    <row r="296" ht="15.75" customHeight="1">
      <c r="A296" s="32"/>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c r="AA296" s="39"/>
      <c r="AB296" s="39"/>
      <c r="AC296" s="39"/>
      <c r="AD296" s="39"/>
      <c r="AE296" s="39"/>
      <c r="AF296" s="39"/>
      <c r="AG296" s="39"/>
      <c r="AH296" s="39"/>
      <c r="AI296" s="39"/>
      <c r="AJ296" s="39"/>
      <c r="AK296" s="39"/>
      <c r="AL296" s="39"/>
      <c r="AM296" s="39"/>
      <c r="AN296" s="39"/>
      <c r="AO296" s="39"/>
      <c r="AP296" s="39"/>
      <c r="AQ296" s="32"/>
      <c r="AR296" s="32"/>
      <c r="AS296" s="32"/>
      <c r="AT296" s="32"/>
      <c r="AU296" s="32"/>
      <c r="AV296" s="32"/>
      <c r="AW296" s="32"/>
      <c r="AX296" s="32"/>
      <c r="AY296" s="32"/>
      <c r="AZ296" s="32"/>
      <c r="BA296" s="32"/>
      <c r="BB296" s="32"/>
      <c r="BC296" s="32"/>
      <c r="BD296" s="32"/>
      <c r="BE296" s="32"/>
      <c r="BF296" s="32"/>
      <c r="BG296" s="32"/>
      <c r="BH296" s="32"/>
      <c r="BI296" s="32"/>
      <c r="BJ296" s="32"/>
    </row>
    <row r="297" ht="15.75" customHeight="1">
      <c r="A297" s="32"/>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c r="AA297" s="39"/>
      <c r="AB297" s="39"/>
      <c r="AC297" s="39"/>
      <c r="AD297" s="39"/>
      <c r="AE297" s="39"/>
      <c r="AF297" s="39"/>
      <c r="AG297" s="39"/>
      <c r="AH297" s="39"/>
      <c r="AI297" s="39"/>
      <c r="AJ297" s="39"/>
      <c r="AK297" s="39"/>
      <c r="AL297" s="39"/>
      <c r="AM297" s="39"/>
      <c r="AN297" s="39"/>
      <c r="AO297" s="39"/>
      <c r="AP297" s="39"/>
      <c r="AQ297" s="32"/>
      <c r="AR297" s="32"/>
      <c r="AS297" s="32"/>
      <c r="AT297" s="32"/>
      <c r="AU297" s="32"/>
      <c r="AV297" s="32"/>
      <c r="AW297" s="32"/>
      <c r="AX297" s="32"/>
      <c r="AY297" s="32"/>
      <c r="AZ297" s="32"/>
      <c r="BA297" s="32"/>
      <c r="BB297" s="32"/>
      <c r="BC297" s="32"/>
      <c r="BD297" s="32"/>
      <c r="BE297" s="32"/>
      <c r="BF297" s="32"/>
      <c r="BG297" s="32"/>
      <c r="BH297" s="32"/>
      <c r="BI297" s="32"/>
      <c r="BJ297" s="32"/>
    </row>
    <row r="298" ht="15.75" customHeight="1">
      <c r="A298" s="32"/>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c r="AA298" s="39"/>
      <c r="AB298" s="39"/>
      <c r="AC298" s="39"/>
      <c r="AD298" s="39"/>
      <c r="AE298" s="39"/>
      <c r="AF298" s="39"/>
      <c r="AG298" s="39"/>
      <c r="AH298" s="39"/>
      <c r="AI298" s="39"/>
      <c r="AJ298" s="39"/>
      <c r="AK298" s="39"/>
      <c r="AL298" s="39"/>
      <c r="AM298" s="39"/>
      <c r="AN298" s="39"/>
      <c r="AO298" s="39"/>
      <c r="AP298" s="39"/>
      <c r="AQ298" s="32"/>
      <c r="AR298" s="32"/>
      <c r="AS298" s="32"/>
      <c r="AT298" s="32"/>
      <c r="AU298" s="32"/>
      <c r="AV298" s="32"/>
      <c r="AW298" s="32"/>
      <c r="AX298" s="32"/>
      <c r="AY298" s="32"/>
      <c r="AZ298" s="32"/>
      <c r="BA298" s="32"/>
      <c r="BB298" s="32"/>
      <c r="BC298" s="32"/>
      <c r="BD298" s="32"/>
      <c r="BE298" s="32"/>
      <c r="BF298" s="32"/>
      <c r="BG298" s="32"/>
      <c r="BH298" s="32"/>
      <c r="BI298" s="32"/>
      <c r="BJ298" s="32"/>
    </row>
    <row r="299" ht="15.75" customHeight="1">
      <c r="A299" s="32"/>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c r="AA299" s="39"/>
      <c r="AB299" s="39"/>
      <c r="AC299" s="39"/>
      <c r="AD299" s="39"/>
      <c r="AE299" s="39"/>
      <c r="AF299" s="39"/>
      <c r="AG299" s="39"/>
      <c r="AH299" s="39"/>
      <c r="AI299" s="39"/>
      <c r="AJ299" s="39"/>
      <c r="AK299" s="39"/>
      <c r="AL299" s="39"/>
      <c r="AM299" s="39"/>
      <c r="AN299" s="39"/>
      <c r="AO299" s="39"/>
      <c r="AP299" s="39"/>
      <c r="AQ299" s="32"/>
      <c r="AR299" s="32"/>
      <c r="AS299" s="32"/>
      <c r="AT299" s="32"/>
      <c r="AU299" s="32"/>
      <c r="AV299" s="32"/>
      <c r="AW299" s="32"/>
      <c r="AX299" s="32"/>
      <c r="AY299" s="32"/>
      <c r="AZ299" s="32"/>
      <c r="BA299" s="32"/>
      <c r="BB299" s="32"/>
      <c r="BC299" s="32"/>
      <c r="BD299" s="32"/>
      <c r="BE299" s="32"/>
      <c r="BF299" s="32"/>
      <c r="BG299" s="32"/>
      <c r="BH299" s="32"/>
      <c r="BI299" s="32"/>
      <c r="BJ299" s="32"/>
    </row>
    <row r="300" ht="15.75" customHeight="1">
      <c r="A300" s="32"/>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c r="AA300" s="39"/>
      <c r="AB300" s="39"/>
      <c r="AC300" s="39"/>
      <c r="AD300" s="39"/>
      <c r="AE300" s="39"/>
      <c r="AF300" s="39"/>
      <c r="AG300" s="39"/>
      <c r="AH300" s="39"/>
      <c r="AI300" s="39"/>
      <c r="AJ300" s="39"/>
      <c r="AK300" s="39"/>
      <c r="AL300" s="39"/>
      <c r="AM300" s="39"/>
      <c r="AN300" s="39"/>
      <c r="AO300" s="39"/>
      <c r="AP300" s="39"/>
      <c r="AQ300" s="32"/>
      <c r="AR300" s="32"/>
      <c r="AS300" s="32"/>
      <c r="AT300" s="32"/>
      <c r="AU300" s="32"/>
      <c r="AV300" s="32"/>
      <c r="AW300" s="32"/>
      <c r="AX300" s="32"/>
      <c r="AY300" s="32"/>
      <c r="AZ300" s="32"/>
      <c r="BA300" s="32"/>
      <c r="BB300" s="32"/>
      <c r="BC300" s="32"/>
      <c r="BD300" s="32"/>
      <c r="BE300" s="32"/>
      <c r="BF300" s="32"/>
      <c r="BG300" s="32"/>
      <c r="BH300" s="32"/>
      <c r="BI300" s="32"/>
      <c r="BJ300" s="32"/>
    </row>
    <row r="301" ht="15.75" customHeight="1">
      <c r="A301" s="32"/>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c r="AA301" s="39"/>
      <c r="AB301" s="39"/>
      <c r="AC301" s="39"/>
      <c r="AD301" s="39"/>
      <c r="AE301" s="39"/>
      <c r="AF301" s="39"/>
      <c r="AG301" s="39"/>
      <c r="AH301" s="39"/>
      <c r="AI301" s="39"/>
      <c r="AJ301" s="39"/>
      <c r="AK301" s="39"/>
      <c r="AL301" s="39"/>
      <c r="AM301" s="39"/>
      <c r="AN301" s="39"/>
      <c r="AO301" s="39"/>
      <c r="AP301" s="39"/>
      <c r="AQ301" s="32"/>
      <c r="AR301" s="32"/>
      <c r="AS301" s="32"/>
      <c r="AT301" s="32"/>
      <c r="AU301" s="32"/>
      <c r="AV301" s="32"/>
      <c r="AW301" s="32"/>
      <c r="AX301" s="32"/>
      <c r="AY301" s="32"/>
      <c r="AZ301" s="32"/>
      <c r="BA301" s="32"/>
      <c r="BB301" s="32"/>
      <c r="BC301" s="32"/>
      <c r="BD301" s="32"/>
      <c r="BE301" s="32"/>
      <c r="BF301" s="32"/>
      <c r="BG301" s="32"/>
      <c r="BH301" s="32"/>
      <c r="BI301" s="32"/>
      <c r="BJ301" s="32"/>
    </row>
    <row r="302" ht="15.75" customHeight="1">
      <c r="A302" s="32"/>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c r="AA302" s="39"/>
      <c r="AB302" s="39"/>
      <c r="AC302" s="39"/>
      <c r="AD302" s="39"/>
      <c r="AE302" s="39"/>
      <c r="AF302" s="39"/>
      <c r="AG302" s="39"/>
      <c r="AH302" s="39"/>
      <c r="AI302" s="39"/>
      <c r="AJ302" s="39"/>
      <c r="AK302" s="39"/>
      <c r="AL302" s="39"/>
      <c r="AM302" s="39"/>
      <c r="AN302" s="39"/>
      <c r="AO302" s="39"/>
      <c r="AP302" s="39"/>
      <c r="AQ302" s="32"/>
      <c r="AR302" s="32"/>
      <c r="AS302" s="32"/>
      <c r="AT302" s="32"/>
      <c r="AU302" s="32"/>
      <c r="AV302" s="32"/>
      <c r="AW302" s="32"/>
      <c r="AX302" s="32"/>
      <c r="AY302" s="32"/>
      <c r="AZ302" s="32"/>
      <c r="BA302" s="32"/>
      <c r="BB302" s="32"/>
      <c r="BC302" s="32"/>
      <c r="BD302" s="32"/>
      <c r="BE302" s="32"/>
      <c r="BF302" s="32"/>
      <c r="BG302" s="32"/>
      <c r="BH302" s="32"/>
      <c r="BI302" s="32"/>
      <c r="BJ302" s="32"/>
    </row>
    <row r="303" ht="15.75" customHeight="1">
      <c r="A303" s="32"/>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c r="AA303" s="39"/>
      <c r="AB303" s="39"/>
      <c r="AC303" s="39"/>
      <c r="AD303" s="39"/>
      <c r="AE303" s="39"/>
      <c r="AF303" s="39"/>
      <c r="AG303" s="39"/>
      <c r="AH303" s="39"/>
      <c r="AI303" s="39"/>
      <c r="AJ303" s="39"/>
      <c r="AK303" s="39"/>
      <c r="AL303" s="39"/>
      <c r="AM303" s="39"/>
      <c r="AN303" s="39"/>
      <c r="AO303" s="39"/>
      <c r="AP303" s="39"/>
      <c r="AQ303" s="32"/>
      <c r="AR303" s="32"/>
      <c r="AS303" s="32"/>
      <c r="AT303" s="32"/>
      <c r="AU303" s="32"/>
      <c r="AV303" s="32"/>
      <c r="AW303" s="32"/>
      <c r="AX303" s="32"/>
      <c r="AY303" s="32"/>
      <c r="AZ303" s="32"/>
      <c r="BA303" s="32"/>
      <c r="BB303" s="32"/>
      <c r="BC303" s="32"/>
      <c r="BD303" s="32"/>
      <c r="BE303" s="32"/>
      <c r="BF303" s="32"/>
      <c r="BG303" s="32"/>
      <c r="BH303" s="32"/>
      <c r="BI303" s="32"/>
      <c r="BJ303" s="32"/>
    </row>
    <row r="304" ht="15.75" customHeight="1">
      <c r="A304" s="32"/>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c r="AA304" s="39"/>
      <c r="AB304" s="39"/>
      <c r="AC304" s="39"/>
      <c r="AD304" s="39"/>
      <c r="AE304" s="39"/>
      <c r="AF304" s="39"/>
      <c r="AG304" s="39"/>
      <c r="AH304" s="39"/>
      <c r="AI304" s="39"/>
      <c r="AJ304" s="39"/>
      <c r="AK304" s="39"/>
      <c r="AL304" s="39"/>
      <c r="AM304" s="39"/>
      <c r="AN304" s="39"/>
      <c r="AO304" s="39"/>
      <c r="AP304" s="39"/>
      <c r="AQ304" s="32"/>
      <c r="AR304" s="32"/>
      <c r="AS304" s="32"/>
      <c r="AT304" s="32"/>
      <c r="AU304" s="32"/>
      <c r="AV304" s="32"/>
      <c r="AW304" s="32"/>
      <c r="AX304" s="32"/>
      <c r="AY304" s="32"/>
      <c r="AZ304" s="32"/>
      <c r="BA304" s="32"/>
      <c r="BB304" s="32"/>
      <c r="BC304" s="32"/>
      <c r="BD304" s="32"/>
      <c r="BE304" s="32"/>
      <c r="BF304" s="32"/>
      <c r="BG304" s="32"/>
      <c r="BH304" s="32"/>
      <c r="BI304" s="32"/>
      <c r="BJ304" s="32"/>
    </row>
    <row r="305" ht="15.75" customHeight="1">
      <c r="A305" s="32"/>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c r="AA305" s="39"/>
      <c r="AB305" s="39"/>
      <c r="AC305" s="39"/>
      <c r="AD305" s="39"/>
      <c r="AE305" s="39"/>
      <c r="AF305" s="39"/>
      <c r="AG305" s="39"/>
      <c r="AH305" s="39"/>
      <c r="AI305" s="39"/>
      <c r="AJ305" s="39"/>
      <c r="AK305" s="39"/>
      <c r="AL305" s="39"/>
      <c r="AM305" s="39"/>
      <c r="AN305" s="39"/>
      <c r="AO305" s="39"/>
      <c r="AP305" s="39"/>
      <c r="AQ305" s="32"/>
      <c r="AR305" s="32"/>
      <c r="AS305" s="32"/>
      <c r="AT305" s="32"/>
      <c r="AU305" s="32"/>
      <c r="AV305" s="32"/>
      <c r="AW305" s="32"/>
      <c r="AX305" s="32"/>
      <c r="AY305" s="32"/>
      <c r="AZ305" s="32"/>
      <c r="BA305" s="32"/>
      <c r="BB305" s="32"/>
      <c r="BC305" s="32"/>
      <c r="BD305" s="32"/>
      <c r="BE305" s="32"/>
      <c r="BF305" s="32"/>
      <c r="BG305" s="32"/>
      <c r="BH305" s="32"/>
      <c r="BI305" s="32"/>
      <c r="BJ305" s="32"/>
    </row>
    <row r="306" ht="15.75" customHeight="1">
      <c r="A306" s="32"/>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c r="AA306" s="39"/>
      <c r="AB306" s="39"/>
      <c r="AC306" s="39"/>
      <c r="AD306" s="39"/>
      <c r="AE306" s="39"/>
      <c r="AF306" s="39"/>
      <c r="AG306" s="39"/>
      <c r="AH306" s="39"/>
      <c r="AI306" s="39"/>
      <c r="AJ306" s="39"/>
      <c r="AK306" s="39"/>
      <c r="AL306" s="39"/>
      <c r="AM306" s="39"/>
      <c r="AN306" s="39"/>
      <c r="AO306" s="39"/>
      <c r="AP306" s="39"/>
      <c r="AQ306" s="32"/>
      <c r="AR306" s="32"/>
      <c r="AS306" s="32"/>
      <c r="AT306" s="32"/>
      <c r="AU306" s="32"/>
      <c r="AV306" s="32"/>
      <c r="AW306" s="32"/>
      <c r="AX306" s="32"/>
      <c r="AY306" s="32"/>
      <c r="AZ306" s="32"/>
      <c r="BA306" s="32"/>
      <c r="BB306" s="32"/>
      <c r="BC306" s="32"/>
      <c r="BD306" s="32"/>
      <c r="BE306" s="32"/>
      <c r="BF306" s="32"/>
      <c r="BG306" s="32"/>
      <c r="BH306" s="32"/>
      <c r="BI306" s="32"/>
      <c r="BJ306" s="32"/>
    </row>
    <row r="307" ht="15.75" customHeight="1">
      <c r="A307" s="32"/>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c r="AA307" s="39"/>
      <c r="AB307" s="39"/>
      <c r="AC307" s="39"/>
      <c r="AD307" s="39"/>
      <c r="AE307" s="39"/>
      <c r="AF307" s="39"/>
      <c r="AG307" s="39"/>
      <c r="AH307" s="39"/>
      <c r="AI307" s="39"/>
      <c r="AJ307" s="39"/>
      <c r="AK307" s="39"/>
      <c r="AL307" s="39"/>
      <c r="AM307" s="39"/>
      <c r="AN307" s="39"/>
      <c r="AO307" s="39"/>
      <c r="AP307" s="39"/>
      <c r="AQ307" s="32"/>
      <c r="AR307" s="32"/>
      <c r="AS307" s="32"/>
      <c r="AT307" s="32"/>
      <c r="AU307" s="32"/>
      <c r="AV307" s="32"/>
      <c r="AW307" s="32"/>
      <c r="AX307" s="32"/>
      <c r="AY307" s="32"/>
      <c r="AZ307" s="32"/>
      <c r="BA307" s="32"/>
      <c r="BB307" s="32"/>
      <c r="BC307" s="32"/>
      <c r="BD307" s="32"/>
      <c r="BE307" s="32"/>
      <c r="BF307" s="32"/>
      <c r="BG307" s="32"/>
      <c r="BH307" s="32"/>
      <c r="BI307" s="32"/>
      <c r="BJ307" s="32"/>
    </row>
    <row r="308" ht="15.75" customHeight="1">
      <c r="A308" s="32"/>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c r="AA308" s="39"/>
      <c r="AB308" s="39"/>
      <c r="AC308" s="39"/>
      <c r="AD308" s="39"/>
      <c r="AE308" s="39"/>
      <c r="AF308" s="39"/>
      <c r="AG308" s="39"/>
      <c r="AH308" s="39"/>
      <c r="AI308" s="39"/>
      <c r="AJ308" s="39"/>
      <c r="AK308" s="39"/>
      <c r="AL308" s="39"/>
      <c r="AM308" s="39"/>
      <c r="AN308" s="39"/>
      <c r="AO308" s="39"/>
      <c r="AP308" s="39"/>
      <c r="AQ308" s="32"/>
      <c r="AR308" s="32"/>
      <c r="AS308" s="32"/>
      <c r="AT308" s="32"/>
      <c r="AU308" s="32"/>
      <c r="AV308" s="32"/>
      <c r="AW308" s="32"/>
      <c r="AX308" s="32"/>
      <c r="AY308" s="32"/>
      <c r="AZ308" s="32"/>
      <c r="BA308" s="32"/>
      <c r="BB308" s="32"/>
      <c r="BC308" s="32"/>
      <c r="BD308" s="32"/>
      <c r="BE308" s="32"/>
      <c r="BF308" s="32"/>
      <c r="BG308" s="32"/>
      <c r="BH308" s="32"/>
      <c r="BI308" s="32"/>
      <c r="BJ308" s="32"/>
    </row>
    <row r="309" ht="15.75" customHeight="1">
      <c r="A309" s="32"/>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c r="AA309" s="39"/>
      <c r="AB309" s="39"/>
      <c r="AC309" s="39"/>
      <c r="AD309" s="39"/>
      <c r="AE309" s="39"/>
      <c r="AF309" s="39"/>
      <c r="AG309" s="39"/>
      <c r="AH309" s="39"/>
      <c r="AI309" s="39"/>
      <c r="AJ309" s="39"/>
      <c r="AK309" s="39"/>
      <c r="AL309" s="39"/>
      <c r="AM309" s="39"/>
      <c r="AN309" s="39"/>
      <c r="AO309" s="39"/>
      <c r="AP309" s="39"/>
      <c r="AQ309" s="32"/>
      <c r="AR309" s="32"/>
      <c r="AS309" s="32"/>
      <c r="AT309" s="32"/>
      <c r="AU309" s="32"/>
      <c r="AV309" s="32"/>
      <c r="AW309" s="32"/>
      <c r="AX309" s="32"/>
      <c r="AY309" s="32"/>
      <c r="AZ309" s="32"/>
      <c r="BA309" s="32"/>
      <c r="BB309" s="32"/>
      <c r="BC309" s="32"/>
      <c r="BD309" s="32"/>
      <c r="BE309" s="32"/>
      <c r="BF309" s="32"/>
      <c r="BG309" s="32"/>
      <c r="BH309" s="32"/>
      <c r="BI309" s="32"/>
      <c r="BJ309" s="32"/>
    </row>
    <row r="310" ht="15.75" customHeight="1">
      <c r="A310" s="32"/>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c r="AA310" s="39"/>
      <c r="AB310" s="39"/>
      <c r="AC310" s="39"/>
      <c r="AD310" s="39"/>
      <c r="AE310" s="39"/>
      <c r="AF310" s="39"/>
      <c r="AG310" s="39"/>
      <c r="AH310" s="39"/>
      <c r="AI310" s="39"/>
      <c r="AJ310" s="39"/>
      <c r="AK310" s="39"/>
      <c r="AL310" s="39"/>
      <c r="AM310" s="39"/>
      <c r="AN310" s="39"/>
      <c r="AO310" s="39"/>
      <c r="AP310" s="39"/>
      <c r="AQ310" s="32"/>
      <c r="AR310" s="32"/>
      <c r="AS310" s="32"/>
      <c r="AT310" s="32"/>
      <c r="AU310" s="32"/>
      <c r="AV310" s="32"/>
      <c r="AW310" s="32"/>
      <c r="AX310" s="32"/>
      <c r="AY310" s="32"/>
      <c r="AZ310" s="32"/>
      <c r="BA310" s="32"/>
      <c r="BB310" s="32"/>
      <c r="BC310" s="32"/>
      <c r="BD310" s="32"/>
      <c r="BE310" s="32"/>
      <c r="BF310" s="32"/>
      <c r="BG310" s="32"/>
      <c r="BH310" s="32"/>
      <c r="BI310" s="32"/>
      <c r="BJ310" s="32"/>
    </row>
    <row r="311" ht="15.75" customHeight="1">
      <c r="A311" s="32"/>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c r="AA311" s="39"/>
      <c r="AB311" s="39"/>
      <c r="AC311" s="39"/>
      <c r="AD311" s="39"/>
      <c r="AE311" s="39"/>
      <c r="AF311" s="39"/>
      <c r="AG311" s="39"/>
      <c r="AH311" s="39"/>
      <c r="AI311" s="39"/>
      <c r="AJ311" s="39"/>
      <c r="AK311" s="39"/>
      <c r="AL311" s="39"/>
      <c r="AM311" s="39"/>
      <c r="AN311" s="39"/>
      <c r="AO311" s="39"/>
      <c r="AP311" s="39"/>
      <c r="AQ311" s="32"/>
      <c r="AR311" s="32"/>
      <c r="AS311" s="32"/>
      <c r="AT311" s="32"/>
      <c r="AU311" s="32"/>
      <c r="AV311" s="32"/>
      <c r="AW311" s="32"/>
      <c r="AX311" s="32"/>
      <c r="AY311" s="32"/>
      <c r="AZ311" s="32"/>
      <c r="BA311" s="32"/>
      <c r="BB311" s="32"/>
      <c r="BC311" s="32"/>
      <c r="BD311" s="32"/>
      <c r="BE311" s="32"/>
      <c r="BF311" s="32"/>
      <c r="BG311" s="32"/>
      <c r="BH311" s="32"/>
      <c r="BI311" s="32"/>
      <c r="BJ311" s="32"/>
    </row>
    <row r="312" ht="15.75" customHeight="1">
      <c r="A312" s="32"/>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c r="AA312" s="39"/>
      <c r="AB312" s="39"/>
      <c r="AC312" s="39"/>
      <c r="AD312" s="39"/>
      <c r="AE312" s="39"/>
      <c r="AF312" s="39"/>
      <c r="AG312" s="39"/>
      <c r="AH312" s="39"/>
      <c r="AI312" s="39"/>
      <c r="AJ312" s="39"/>
      <c r="AK312" s="39"/>
      <c r="AL312" s="39"/>
      <c r="AM312" s="39"/>
      <c r="AN312" s="39"/>
      <c r="AO312" s="39"/>
      <c r="AP312" s="39"/>
      <c r="AQ312" s="32"/>
      <c r="AR312" s="32"/>
      <c r="AS312" s="32"/>
      <c r="AT312" s="32"/>
      <c r="AU312" s="32"/>
      <c r="AV312" s="32"/>
      <c r="AW312" s="32"/>
      <c r="AX312" s="32"/>
      <c r="AY312" s="32"/>
      <c r="AZ312" s="32"/>
      <c r="BA312" s="32"/>
      <c r="BB312" s="32"/>
      <c r="BC312" s="32"/>
      <c r="BD312" s="32"/>
      <c r="BE312" s="32"/>
      <c r="BF312" s="32"/>
      <c r="BG312" s="32"/>
      <c r="BH312" s="32"/>
      <c r="BI312" s="32"/>
      <c r="BJ312" s="32"/>
    </row>
    <row r="313" ht="15.75" customHeight="1">
      <c r="A313" s="32"/>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c r="AA313" s="39"/>
      <c r="AB313" s="39"/>
      <c r="AC313" s="39"/>
      <c r="AD313" s="39"/>
      <c r="AE313" s="39"/>
      <c r="AF313" s="39"/>
      <c r="AG313" s="39"/>
      <c r="AH313" s="39"/>
      <c r="AI313" s="39"/>
      <c r="AJ313" s="39"/>
      <c r="AK313" s="39"/>
      <c r="AL313" s="39"/>
      <c r="AM313" s="39"/>
      <c r="AN313" s="39"/>
      <c r="AO313" s="39"/>
      <c r="AP313" s="39"/>
      <c r="AQ313" s="32"/>
      <c r="AR313" s="32"/>
      <c r="AS313" s="32"/>
      <c r="AT313" s="32"/>
      <c r="AU313" s="32"/>
      <c r="AV313" s="32"/>
      <c r="AW313" s="32"/>
      <c r="AX313" s="32"/>
      <c r="AY313" s="32"/>
      <c r="AZ313" s="32"/>
      <c r="BA313" s="32"/>
      <c r="BB313" s="32"/>
      <c r="BC313" s="32"/>
      <c r="BD313" s="32"/>
      <c r="BE313" s="32"/>
      <c r="BF313" s="32"/>
      <c r="BG313" s="32"/>
      <c r="BH313" s="32"/>
      <c r="BI313" s="32"/>
      <c r="BJ313" s="32"/>
    </row>
    <row r="314" ht="15.75" customHeight="1">
      <c r="A314" s="32"/>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c r="AA314" s="39"/>
      <c r="AB314" s="39"/>
      <c r="AC314" s="39"/>
      <c r="AD314" s="39"/>
      <c r="AE314" s="39"/>
      <c r="AF314" s="39"/>
      <c r="AG314" s="39"/>
      <c r="AH314" s="39"/>
      <c r="AI314" s="39"/>
      <c r="AJ314" s="39"/>
      <c r="AK314" s="39"/>
      <c r="AL314" s="39"/>
      <c r="AM314" s="39"/>
      <c r="AN314" s="39"/>
      <c r="AO314" s="39"/>
      <c r="AP314" s="39"/>
      <c r="AQ314" s="32"/>
      <c r="AR314" s="32"/>
      <c r="AS314" s="32"/>
      <c r="AT314" s="32"/>
      <c r="AU314" s="32"/>
      <c r="AV314" s="32"/>
      <c r="AW314" s="32"/>
      <c r="AX314" s="32"/>
      <c r="AY314" s="32"/>
      <c r="AZ314" s="32"/>
      <c r="BA314" s="32"/>
      <c r="BB314" s="32"/>
      <c r="BC314" s="32"/>
      <c r="BD314" s="32"/>
      <c r="BE314" s="32"/>
      <c r="BF314" s="32"/>
      <c r="BG314" s="32"/>
      <c r="BH314" s="32"/>
      <c r="BI314" s="32"/>
      <c r="BJ314" s="32"/>
    </row>
    <row r="315" ht="15.75" customHeight="1">
      <c r="A315" s="32"/>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c r="AA315" s="39"/>
      <c r="AB315" s="39"/>
      <c r="AC315" s="39"/>
      <c r="AD315" s="39"/>
      <c r="AE315" s="39"/>
      <c r="AF315" s="39"/>
      <c r="AG315" s="39"/>
      <c r="AH315" s="39"/>
      <c r="AI315" s="39"/>
      <c r="AJ315" s="39"/>
      <c r="AK315" s="39"/>
      <c r="AL315" s="39"/>
      <c r="AM315" s="39"/>
      <c r="AN315" s="39"/>
      <c r="AO315" s="39"/>
      <c r="AP315" s="39"/>
      <c r="AQ315" s="32"/>
      <c r="AR315" s="32"/>
      <c r="AS315" s="32"/>
      <c r="AT315" s="32"/>
      <c r="AU315" s="32"/>
      <c r="AV315" s="32"/>
      <c r="AW315" s="32"/>
      <c r="AX315" s="32"/>
      <c r="AY315" s="32"/>
      <c r="AZ315" s="32"/>
      <c r="BA315" s="32"/>
      <c r="BB315" s="32"/>
      <c r="BC315" s="32"/>
      <c r="BD315" s="32"/>
      <c r="BE315" s="32"/>
      <c r="BF315" s="32"/>
      <c r="BG315" s="32"/>
      <c r="BH315" s="32"/>
      <c r="BI315" s="32"/>
      <c r="BJ315" s="32"/>
    </row>
    <row r="316" ht="15.75" customHeight="1">
      <c r="A316" s="32"/>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c r="AA316" s="39"/>
      <c r="AB316" s="39"/>
      <c r="AC316" s="39"/>
      <c r="AD316" s="39"/>
      <c r="AE316" s="39"/>
      <c r="AF316" s="39"/>
      <c r="AG316" s="39"/>
      <c r="AH316" s="39"/>
      <c r="AI316" s="39"/>
      <c r="AJ316" s="39"/>
      <c r="AK316" s="39"/>
      <c r="AL316" s="39"/>
      <c r="AM316" s="39"/>
      <c r="AN316" s="39"/>
      <c r="AO316" s="39"/>
      <c r="AP316" s="39"/>
      <c r="AQ316" s="32"/>
      <c r="AR316" s="32"/>
      <c r="AS316" s="32"/>
      <c r="AT316" s="32"/>
      <c r="AU316" s="32"/>
      <c r="AV316" s="32"/>
      <c r="AW316" s="32"/>
      <c r="AX316" s="32"/>
      <c r="AY316" s="32"/>
      <c r="AZ316" s="32"/>
      <c r="BA316" s="32"/>
      <c r="BB316" s="32"/>
      <c r="BC316" s="32"/>
      <c r="BD316" s="32"/>
      <c r="BE316" s="32"/>
      <c r="BF316" s="32"/>
      <c r="BG316" s="32"/>
      <c r="BH316" s="32"/>
      <c r="BI316" s="32"/>
      <c r="BJ316" s="32"/>
    </row>
    <row r="317" ht="15.75" customHeight="1">
      <c r="A317" s="32"/>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c r="AA317" s="39"/>
      <c r="AB317" s="39"/>
      <c r="AC317" s="39"/>
      <c r="AD317" s="39"/>
      <c r="AE317" s="39"/>
      <c r="AF317" s="39"/>
      <c r="AG317" s="39"/>
      <c r="AH317" s="39"/>
      <c r="AI317" s="39"/>
      <c r="AJ317" s="39"/>
      <c r="AK317" s="39"/>
      <c r="AL317" s="39"/>
      <c r="AM317" s="39"/>
      <c r="AN317" s="39"/>
      <c r="AO317" s="39"/>
      <c r="AP317" s="39"/>
      <c r="AQ317" s="32"/>
      <c r="AR317" s="32"/>
      <c r="AS317" s="32"/>
      <c r="AT317" s="32"/>
      <c r="AU317" s="32"/>
      <c r="AV317" s="32"/>
      <c r="AW317" s="32"/>
      <c r="AX317" s="32"/>
      <c r="AY317" s="32"/>
      <c r="AZ317" s="32"/>
      <c r="BA317" s="32"/>
      <c r="BB317" s="32"/>
      <c r="BC317" s="32"/>
      <c r="BD317" s="32"/>
      <c r="BE317" s="32"/>
      <c r="BF317" s="32"/>
      <c r="BG317" s="32"/>
      <c r="BH317" s="32"/>
      <c r="BI317" s="32"/>
      <c r="BJ317" s="32"/>
    </row>
    <row r="318" ht="15.75" customHeight="1">
      <c r="A318" s="32"/>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c r="AA318" s="39"/>
      <c r="AB318" s="39"/>
      <c r="AC318" s="39"/>
      <c r="AD318" s="39"/>
      <c r="AE318" s="39"/>
      <c r="AF318" s="39"/>
      <c r="AG318" s="39"/>
      <c r="AH318" s="39"/>
      <c r="AI318" s="39"/>
      <c r="AJ318" s="39"/>
      <c r="AK318" s="39"/>
      <c r="AL318" s="39"/>
      <c r="AM318" s="39"/>
      <c r="AN318" s="39"/>
      <c r="AO318" s="39"/>
      <c r="AP318" s="39"/>
      <c r="AQ318" s="32"/>
      <c r="AR318" s="32"/>
      <c r="AS318" s="32"/>
      <c r="AT318" s="32"/>
      <c r="AU318" s="32"/>
      <c r="AV318" s="32"/>
      <c r="AW318" s="32"/>
      <c r="AX318" s="32"/>
      <c r="AY318" s="32"/>
      <c r="AZ318" s="32"/>
      <c r="BA318" s="32"/>
      <c r="BB318" s="32"/>
      <c r="BC318" s="32"/>
      <c r="BD318" s="32"/>
      <c r="BE318" s="32"/>
      <c r="BF318" s="32"/>
      <c r="BG318" s="32"/>
      <c r="BH318" s="32"/>
      <c r="BI318" s="32"/>
      <c r="BJ318" s="32"/>
    </row>
    <row r="319" ht="15.75" customHeight="1">
      <c r="A319" s="32"/>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c r="AA319" s="39"/>
      <c r="AB319" s="39"/>
      <c r="AC319" s="39"/>
      <c r="AD319" s="39"/>
      <c r="AE319" s="39"/>
      <c r="AF319" s="39"/>
      <c r="AG319" s="39"/>
      <c r="AH319" s="39"/>
      <c r="AI319" s="39"/>
      <c r="AJ319" s="39"/>
      <c r="AK319" s="39"/>
      <c r="AL319" s="39"/>
      <c r="AM319" s="39"/>
      <c r="AN319" s="39"/>
      <c r="AO319" s="39"/>
      <c r="AP319" s="39"/>
      <c r="AQ319" s="32"/>
      <c r="AR319" s="32"/>
      <c r="AS319" s="32"/>
      <c r="AT319" s="32"/>
      <c r="AU319" s="32"/>
      <c r="AV319" s="32"/>
      <c r="AW319" s="32"/>
      <c r="AX319" s="32"/>
      <c r="AY319" s="32"/>
      <c r="AZ319" s="32"/>
      <c r="BA319" s="32"/>
      <c r="BB319" s="32"/>
      <c r="BC319" s="32"/>
      <c r="BD319" s="32"/>
      <c r="BE319" s="32"/>
      <c r="BF319" s="32"/>
      <c r="BG319" s="32"/>
      <c r="BH319" s="32"/>
      <c r="BI319" s="32"/>
      <c r="BJ319" s="32"/>
    </row>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91">
    <mergeCell ref="B3:C3"/>
    <mergeCell ref="C4:I4"/>
    <mergeCell ref="C5:I5"/>
    <mergeCell ref="C6:I6"/>
    <mergeCell ref="C7:I7"/>
    <mergeCell ref="C8:I8"/>
    <mergeCell ref="C9:I9"/>
    <mergeCell ref="AC21:AH21"/>
    <mergeCell ref="AJ21:AM21"/>
    <mergeCell ref="C10:I10"/>
    <mergeCell ref="C11:I11"/>
    <mergeCell ref="C14:I14"/>
    <mergeCell ref="B17:AO19"/>
    <mergeCell ref="D21:M21"/>
    <mergeCell ref="O21:V21"/>
    <mergeCell ref="X21:AA21"/>
    <mergeCell ref="AJ22:AK22"/>
    <mergeCell ref="AL22:AM22"/>
    <mergeCell ref="AO22:AO25"/>
    <mergeCell ref="AJ23:AK23"/>
    <mergeCell ref="AL23:AM23"/>
    <mergeCell ref="AJ24:AK24"/>
    <mergeCell ref="AL24:AM24"/>
    <mergeCell ref="S22:T22"/>
    <mergeCell ref="U22:V22"/>
    <mergeCell ref="X22:Y22"/>
    <mergeCell ref="Z22:AA22"/>
    <mergeCell ref="AC22:AD22"/>
    <mergeCell ref="AE22:AF22"/>
    <mergeCell ref="AG22:AH22"/>
    <mergeCell ref="D22:E22"/>
    <mergeCell ref="F22:G22"/>
    <mergeCell ref="H22:I22"/>
    <mergeCell ref="J22:K22"/>
    <mergeCell ref="L22:M22"/>
    <mergeCell ref="O22:P22"/>
    <mergeCell ref="Q22:R22"/>
    <mergeCell ref="S24:T24"/>
    <mergeCell ref="U24:V24"/>
    <mergeCell ref="X24:Y24"/>
    <mergeCell ref="Z24:AA24"/>
    <mergeCell ref="AC24:AD24"/>
    <mergeCell ref="AE24:AF24"/>
    <mergeCell ref="AG24:AH24"/>
    <mergeCell ref="D24:E24"/>
    <mergeCell ref="F24:G24"/>
    <mergeCell ref="H24:I24"/>
    <mergeCell ref="J24:K24"/>
    <mergeCell ref="L24:M24"/>
    <mergeCell ref="O24:P24"/>
    <mergeCell ref="Q24:R24"/>
    <mergeCell ref="S23:T23"/>
    <mergeCell ref="U23:V23"/>
    <mergeCell ref="X23:Y23"/>
    <mergeCell ref="Z23:AA23"/>
    <mergeCell ref="AC23:AD23"/>
    <mergeCell ref="AE23:AF23"/>
    <mergeCell ref="AG23:AH23"/>
    <mergeCell ref="D23:E23"/>
    <mergeCell ref="F23:G23"/>
    <mergeCell ref="H23:I23"/>
    <mergeCell ref="J23:K23"/>
    <mergeCell ref="L23:M23"/>
    <mergeCell ref="O23:P23"/>
    <mergeCell ref="Q23:R23"/>
    <mergeCell ref="C36:I36"/>
    <mergeCell ref="B38:AO40"/>
    <mergeCell ref="D42:M42"/>
    <mergeCell ref="O42:V42"/>
    <mergeCell ref="X42:AA42"/>
    <mergeCell ref="AC42:AH42"/>
    <mergeCell ref="AJ42:AM42"/>
    <mergeCell ref="AJ43:AK43"/>
    <mergeCell ref="AL43:AM43"/>
    <mergeCell ref="AO43:AO46"/>
    <mergeCell ref="AJ44:AK44"/>
    <mergeCell ref="AL44:AM44"/>
    <mergeCell ref="AJ45:AK45"/>
    <mergeCell ref="AL45:AM45"/>
    <mergeCell ref="S43:T43"/>
    <mergeCell ref="U43:V43"/>
    <mergeCell ref="X43:Y43"/>
    <mergeCell ref="Z43:AA43"/>
    <mergeCell ref="AC43:AD43"/>
    <mergeCell ref="AE43:AF43"/>
    <mergeCell ref="AG43:AH43"/>
    <mergeCell ref="D43:E43"/>
    <mergeCell ref="F43:G43"/>
    <mergeCell ref="H43:I43"/>
    <mergeCell ref="J43:K43"/>
    <mergeCell ref="L43:M43"/>
    <mergeCell ref="O43:P43"/>
    <mergeCell ref="Q43:R43"/>
    <mergeCell ref="S45:T45"/>
    <mergeCell ref="U45:V45"/>
    <mergeCell ref="X45:Y45"/>
    <mergeCell ref="Z45:AA45"/>
    <mergeCell ref="AC45:AD45"/>
    <mergeCell ref="AE45:AF45"/>
    <mergeCell ref="AG45:AH45"/>
    <mergeCell ref="D45:E45"/>
    <mergeCell ref="F45:G45"/>
    <mergeCell ref="H45:I45"/>
    <mergeCell ref="J45:K45"/>
    <mergeCell ref="L45:M45"/>
    <mergeCell ref="O45:P45"/>
    <mergeCell ref="Q45:R45"/>
    <mergeCell ref="S44:T44"/>
    <mergeCell ref="U44:V44"/>
    <mergeCell ref="X44:Y44"/>
    <mergeCell ref="Z44:AA44"/>
    <mergeCell ref="AC44:AD44"/>
    <mergeCell ref="AE44:AF44"/>
    <mergeCell ref="AG44:AH44"/>
    <mergeCell ref="D44:E44"/>
    <mergeCell ref="F44:G44"/>
    <mergeCell ref="H44:I44"/>
    <mergeCell ref="J44:K44"/>
    <mergeCell ref="L44:M44"/>
    <mergeCell ref="O44:P44"/>
    <mergeCell ref="Q44:R44"/>
    <mergeCell ref="F64:G64"/>
    <mergeCell ref="H64:I64"/>
    <mergeCell ref="O64:P64"/>
    <mergeCell ref="Q64:R64"/>
    <mergeCell ref="S64:T64"/>
    <mergeCell ref="U64:V64"/>
    <mergeCell ref="X64:Y64"/>
    <mergeCell ref="Z64:AA64"/>
    <mergeCell ref="AB64:AC64"/>
    <mergeCell ref="AD64:AE64"/>
    <mergeCell ref="AF64:AG64"/>
    <mergeCell ref="AH64:AI64"/>
    <mergeCell ref="AM63:AN63"/>
    <mergeCell ref="AM64:AN64"/>
    <mergeCell ref="AP64:AP67"/>
    <mergeCell ref="AM65:AN65"/>
    <mergeCell ref="AM66:AN66"/>
    <mergeCell ref="C57:I57"/>
    <mergeCell ref="B59:AP61"/>
    <mergeCell ref="D63:K63"/>
    <mergeCell ref="M63:V63"/>
    <mergeCell ref="X63:AK63"/>
    <mergeCell ref="D64:E64"/>
    <mergeCell ref="AJ64:AK64"/>
    <mergeCell ref="AD65:AE65"/>
    <mergeCell ref="AF65:AG65"/>
    <mergeCell ref="AH65:AI65"/>
    <mergeCell ref="AJ65:AK65"/>
    <mergeCell ref="O65:P65"/>
    <mergeCell ref="Q65:R65"/>
    <mergeCell ref="S65:T65"/>
    <mergeCell ref="U65:V65"/>
    <mergeCell ref="X65:Y65"/>
    <mergeCell ref="Z65:AA65"/>
    <mergeCell ref="AB65:AC65"/>
    <mergeCell ref="J64:K64"/>
    <mergeCell ref="M64:N64"/>
    <mergeCell ref="D65:E65"/>
    <mergeCell ref="F65:G65"/>
    <mergeCell ref="H65:I65"/>
    <mergeCell ref="J65:K65"/>
    <mergeCell ref="M65:N65"/>
    <mergeCell ref="D66:E66"/>
    <mergeCell ref="F66:G66"/>
    <mergeCell ref="H66:I66"/>
    <mergeCell ref="J66:K66"/>
    <mergeCell ref="M66:N66"/>
    <mergeCell ref="O66:P66"/>
    <mergeCell ref="Q66:R66"/>
    <mergeCell ref="AH66:AI66"/>
    <mergeCell ref="AJ66:AK66"/>
    <mergeCell ref="S66:T66"/>
    <mergeCell ref="U66:V66"/>
    <mergeCell ref="X66:Y66"/>
    <mergeCell ref="Z66:AA66"/>
    <mergeCell ref="AB66:AC66"/>
    <mergeCell ref="AD66:AE66"/>
    <mergeCell ref="AF66:AG66"/>
    <mergeCell ref="C78:I78"/>
    <mergeCell ref="B80:AO82"/>
    <mergeCell ref="D84:M84"/>
    <mergeCell ref="O84:V84"/>
    <mergeCell ref="X84:AA84"/>
    <mergeCell ref="AC84:AH84"/>
    <mergeCell ref="AJ84:AM84"/>
    <mergeCell ref="AJ85:AK85"/>
    <mergeCell ref="AL85:AM85"/>
    <mergeCell ref="S85:T85"/>
    <mergeCell ref="U85:V85"/>
    <mergeCell ref="X85:Y85"/>
    <mergeCell ref="Z85:AA85"/>
    <mergeCell ref="AC85:AD85"/>
    <mergeCell ref="AE85:AF85"/>
    <mergeCell ref="AG85:AH85"/>
    <mergeCell ref="D85:E85"/>
    <mergeCell ref="F85:G85"/>
    <mergeCell ref="H85:I85"/>
    <mergeCell ref="J85:K85"/>
    <mergeCell ref="L85:M85"/>
    <mergeCell ref="O85:P85"/>
    <mergeCell ref="Q85:R85"/>
    <mergeCell ref="AJ86:AK86"/>
    <mergeCell ref="AL86:AM86"/>
    <mergeCell ref="Q107:R107"/>
    <mergeCell ref="S107:T107"/>
    <mergeCell ref="U107:V107"/>
    <mergeCell ref="X107:Y107"/>
    <mergeCell ref="Z107:AA107"/>
    <mergeCell ref="AC107:AD107"/>
    <mergeCell ref="AE107:AF107"/>
    <mergeCell ref="Q109:R109"/>
    <mergeCell ref="S109:T109"/>
    <mergeCell ref="U109:V109"/>
    <mergeCell ref="X109:Y109"/>
    <mergeCell ref="Z109:AA109"/>
    <mergeCell ref="AC109:AD109"/>
    <mergeCell ref="AE109:AF109"/>
    <mergeCell ref="Q108:R108"/>
    <mergeCell ref="S108:T108"/>
    <mergeCell ref="U108:V108"/>
    <mergeCell ref="X108:Y108"/>
    <mergeCell ref="Z108:AA108"/>
    <mergeCell ref="AC108:AD108"/>
    <mergeCell ref="AE108:AF108"/>
    <mergeCell ref="AJ109:AK109"/>
    <mergeCell ref="AL109:AM109"/>
    <mergeCell ref="AG107:AH107"/>
    <mergeCell ref="AJ107:AK107"/>
    <mergeCell ref="AO107:AO110"/>
    <mergeCell ref="AG108:AH108"/>
    <mergeCell ref="AJ108:AK108"/>
    <mergeCell ref="AL108:AM108"/>
    <mergeCell ref="AG109:AH109"/>
    <mergeCell ref="F109:G109"/>
    <mergeCell ref="H109:I109"/>
    <mergeCell ref="J109:K109"/>
    <mergeCell ref="L109:M109"/>
    <mergeCell ref="D108:E108"/>
    <mergeCell ref="F108:G108"/>
    <mergeCell ref="H108:I108"/>
    <mergeCell ref="J108:K108"/>
    <mergeCell ref="L108:M108"/>
    <mergeCell ref="O108:P108"/>
    <mergeCell ref="D109:E109"/>
    <mergeCell ref="O109:P109"/>
    <mergeCell ref="S86:T86"/>
    <mergeCell ref="U86:V86"/>
    <mergeCell ref="X86:Y86"/>
    <mergeCell ref="Z86:AA86"/>
    <mergeCell ref="AC86:AD86"/>
    <mergeCell ref="AE86:AF86"/>
    <mergeCell ref="AG86:AH86"/>
    <mergeCell ref="D86:E86"/>
    <mergeCell ref="F86:G86"/>
    <mergeCell ref="H86:I86"/>
    <mergeCell ref="J86:K86"/>
    <mergeCell ref="L86:M86"/>
    <mergeCell ref="O86:P86"/>
    <mergeCell ref="Q86:R86"/>
    <mergeCell ref="AJ87:AK87"/>
    <mergeCell ref="AL87:AM87"/>
    <mergeCell ref="S87:T87"/>
    <mergeCell ref="U87:V87"/>
    <mergeCell ref="X87:Y87"/>
    <mergeCell ref="Z87:AA87"/>
    <mergeCell ref="AC87:AD87"/>
    <mergeCell ref="AE87:AF87"/>
    <mergeCell ref="AG87:AH87"/>
    <mergeCell ref="D87:E87"/>
    <mergeCell ref="F87:G87"/>
    <mergeCell ref="H87:I87"/>
    <mergeCell ref="J87:K87"/>
    <mergeCell ref="L87:M87"/>
    <mergeCell ref="O87:P87"/>
    <mergeCell ref="Q87:R87"/>
    <mergeCell ref="C99:I99"/>
    <mergeCell ref="C100:I100"/>
    <mergeCell ref="B102:AO104"/>
    <mergeCell ref="O106:V106"/>
    <mergeCell ref="X106:AA106"/>
    <mergeCell ref="AC106:AH106"/>
    <mergeCell ref="AJ106:AM106"/>
    <mergeCell ref="AL107:AM107"/>
    <mergeCell ref="D106:M106"/>
    <mergeCell ref="D107:E107"/>
    <mergeCell ref="F107:G107"/>
    <mergeCell ref="H107:I107"/>
    <mergeCell ref="J107:K107"/>
    <mergeCell ref="L107:M107"/>
    <mergeCell ref="O107:P107"/>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 width="20.5"/>
    <col customWidth="1" min="3" max="4" width="17.88"/>
    <col customWidth="1" min="5" max="6" width="13.5"/>
    <col customWidth="1" min="7" max="7" width="22.38"/>
    <col customWidth="1" min="8" max="8" width="27.88"/>
    <col customWidth="1" min="9" max="9" width="21.0"/>
    <col customWidth="1" min="10" max="10" width="18.13"/>
    <col customWidth="1" min="11" max="11" width="17.63"/>
    <col customWidth="1" min="14" max="14" width="27.5"/>
    <col customWidth="1" min="15" max="16" width="17.88"/>
    <col customWidth="1" min="17" max="18" width="13.5"/>
    <col customWidth="1" min="19" max="19" width="22.38"/>
    <col customWidth="1" min="20" max="20" width="27.88"/>
    <col customWidth="1" min="21" max="21" width="24.75"/>
    <col customWidth="1" min="22" max="22" width="17.25"/>
    <col customWidth="1" min="23" max="23" width="18.38"/>
    <col customWidth="1" min="26" max="26" width="20.5"/>
    <col customWidth="1" min="27" max="28" width="15.63"/>
    <col customWidth="1" min="29" max="30" width="12.75"/>
    <col customWidth="1" min="31" max="31" width="24.5"/>
    <col customWidth="1" min="32" max="32" width="17.88"/>
    <col customWidth="1" min="33" max="33" width="23.38"/>
    <col customWidth="1" min="34" max="34" width="17.0"/>
    <col customWidth="1" min="35" max="35" width="16.88"/>
    <col customWidth="1" min="38" max="38" width="24.5"/>
    <col customWidth="1" min="39" max="39" width="13.5"/>
    <col customWidth="1" min="40" max="40" width="17.88"/>
    <col customWidth="1" min="41" max="42" width="13.5"/>
    <col customWidth="1" min="43" max="43" width="22.38"/>
    <col customWidth="1" min="44" max="44" width="17.88"/>
    <col customWidth="1" min="45" max="45" width="22.5"/>
    <col customWidth="1" min="46" max="46" width="17.13"/>
    <col customWidth="1" min="47" max="47" width="19.5"/>
    <col customWidth="1" min="50" max="50" width="27.13"/>
    <col customWidth="1" min="51" max="51" width="12.75"/>
    <col customWidth="1" min="52" max="52" width="15.63"/>
    <col customWidth="1" min="53" max="54" width="12.75"/>
    <col customWidth="1" min="55" max="55" width="22.38"/>
    <col customWidth="1" min="56" max="56" width="27.88"/>
    <col customWidth="1" min="57" max="57" width="22.38"/>
    <col customWidth="1" min="58" max="58" width="17.13"/>
    <col customWidth="1" min="59" max="59" width="17.38"/>
    <col customWidth="1" min="62" max="62" width="13.5"/>
    <col customWidth="1" min="63" max="63" width="31.63"/>
    <col customWidth="1" min="64" max="64" width="25.13"/>
    <col customWidth="1" min="65" max="65" width="16.38"/>
    <col customWidth="1" min="66" max="66" width="30.13"/>
    <col customWidth="1" min="67" max="67" width="25.5"/>
    <col customWidth="1" min="68" max="68" width="18.38"/>
    <col customWidth="1" min="69" max="69" width="26.5"/>
    <col customWidth="1" min="70" max="70" width="24.75"/>
    <col customWidth="1" min="71" max="71" width="29.0"/>
    <col customWidth="1" min="72" max="72" width="28.75"/>
    <col customWidth="1" min="73" max="73" width="32.0"/>
    <col customWidth="1" min="74" max="74" width="18.63"/>
    <col customWidth="1" min="75" max="75" width="20.13"/>
  </cols>
  <sheetData>
    <row r="1" ht="15.75" customHeight="1">
      <c r="A1" s="140"/>
      <c r="B1" s="140"/>
      <c r="C1" s="140"/>
      <c r="D1" s="140"/>
      <c r="E1" s="140"/>
      <c r="F1" s="140"/>
      <c r="G1" s="140"/>
      <c r="H1" s="140"/>
      <c r="I1" s="140"/>
      <c r="J1" s="140"/>
      <c r="K1" s="140"/>
      <c r="L1" s="140"/>
      <c r="M1" s="140"/>
      <c r="N1" s="140"/>
      <c r="O1" s="140"/>
      <c r="P1" s="140"/>
      <c r="Q1" s="140"/>
      <c r="R1" s="140"/>
      <c r="S1" s="140"/>
      <c r="T1" s="140"/>
      <c r="U1" s="140"/>
      <c r="V1" s="140"/>
      <c r="W1" s="140"/>
      <c r="X1" s="140"/>
      <c r="Y1" s="140"/>
      <c r="Z1" s="140"/>
      <c r="AA1" s="140"/>
      <c r="AB1" s="140"/>
      <c r="AC1" s="140"/>
      <c r="AD1" s="140"/>
      <c r="AE1" s="140"/>
      <c r="AF1" s="140"/>
      <c r="AG1" s="140"/>
      <c r="AH1" s="140"/>
      <c r="AI1" s="140"/>
      <c r="AJ1" s="140"/>
      <c r="AK1" s="140"/>
      <c r="AL1" s="140"/>
      <c r="AM1" s="140"/>
      <c r="AN1" s="140"/>
      <c r="AO1" s="140"/>
      <c r="AP1" s="140"/>
      <c r="AQ1" s="140"/>
      <c r="AR1" s="140"/>
      <c r="AS1" s="140"/>
      <c r="AT1" s="140"/>
      <c r="AU1" s="140"/>
      <c r="AV1" s="140"/>
      <c r="AW1" s="140"/>
      <c r="AX1" s="140"/>
      <c r="AY1" s="140"/>
      <c r="AZ1" s="140"/>
      <c r="BA1" s="140"/>
      <c r="BB1" s="140"/>
      <c r="BC1" s="140"/>
      <c r="BD1" s="140"/>
      <c r="BE1" s="140"/>
      <c r="BF1" s="140"/>
      <c r="BG1" s="140"/>
      <c r="BH1" s="140"/>
      <c r="BI1" s="140"/>
      <c r="BJ1" s="140"/>
      <c r="BK1" s="140"/>
      <c r="BL1" s="140"/>
      <c r="BM1" s="141"/>
      <c r="BN1" s="141"/>
      <c r="BO1" s="141"/>
      <c r="BP1" s="141"/>
      <c r="BQ1" s="141"/>
      <c r="BR1" s="141"/>
      <c r="BS1" s="141"/>
      <c r="BT1" s="141"/>
      <c r="BU1" s="141"/>
      <c r="BV1" s="141"/>
      <c r="BW1" s="141"/>
      <c r="BX1" s="141"/>
      <c r="BY1" s="141"/>
    </row>
    <row r="2" ht="15.75" customHeight="1">
      <c r="A2" s="142"/>
      <c r="B2" s="143" t="s">
        <v>218</v>
      </c>
      <c r="C2" s="4"/>
      <c r="D2" s="4"/>
      <c r="E2" s="4"/>
      <c r="F2" s="4"/>
      <c r="G2" s="4"/>
      <c r="H2" s="4"/>
      <c r="I2" s="4"/>
      <c r="J2" s="4"/>
      <c r="K2" s="5"/>
      <c r="L2" s="140"/>
      <c r="M2" s="140"/>
      <c r="N2" s="144" t="s">
        <v>219</v>
      </c>
      <c r="O2" s="4"/>
      <c r="P2" s="4"/>
      <c r="Q2" s="4"/>
      <c r="R2" s="4"/>
      <c r="S2" s="4"/>
      <c r="T2" s="4"/>
      <c r="U2" s="4"/>
      <c r="V2" s="4"/>
      <c r="W2" s="5"/>
      <c r="X2" s="140"/>
      <c r="Y2" s="140"/>
      <c r="Z2" s="145" t="s">
        <v>220</v>
      </c>
      <c r="AA2" s="4"/>
      <c r="AB2" s="4"/>
      <c r="AC2" s="4"/>
      <c r="AD2" s="4"/>
      <c r="AE2" s="4"/>
      <c r="AF2" s="4"/>
      <c r="AG2" s="4"/>
      <c r="AH2" s="4"/>
      <c r="AI2" s="5"/>
      <c r="AJ2" s="140"/>
      <c r="AK2" s="140"/>
      <c r="AL2" s="146" t="s">
        <v>221</v>
      </c>
      <c r="AM2" s="4"/>
      <c r="AN2" s="4"/>
      <c r="AO2" s="4"/>
      <c r="AP2" s="4"/>
      <c r="AQ2" s="4"/>
      <c r="AR2" s="4"/>
      <c r="AS2" s="4"/>
      <c r="AT2" s="4"/>
      <c r="AU2" s="5"/>
      <c r="AV2" s="147"/>
      <c r="AW2" s="148"/>
      <c r="AX2" s="149" t="s">
        <v>222</v>
      </c>
      <c r="AY2" s="4"/>
      <c r="AZ2" s="4"/>
      <c r="BA2" s="4"/>
      <c r="BB2" s="4"/>
      <c r="BC2" s="4"/>
      <c r="BD2" s="4"/>
      <c r="BE2" s="4"/>
      <c r="BF2" s="4"/>
      <c r="BG2" s="5"/>
      <c r="BH2" s="147"/>
      <c r="BI2" s="141"/>
      <c r="BJ2" s="141"/>
      <c r="BK2" s="141"/>
      <c r="BL2" s="141"/>
      <c r="BM2" s="141"/>
      <c r="BN2" s="141"/>
      <c r="BO2" s="141"/>
      <c r="BP2" s="141"/>
      <c r="BQ2" s="141"/>
      <c r="BR2" s="141"/>
      <c r="BS2" s="141"/>
      <c r="BT2" s="141"/>
      <c r="BU2" s="141"/>
      <c r="BV2" s="141"/>
      <c r="BW2" s="141"/>
      <c r="BX2" s="141"/>
      <c r="BY2" s="141"/>
    </row>
    <row r="3" ht="15.75" customHeight="1">
      <c r="A3" s="142"/>
      <c r="B3" s="6"/>
      <c r="K3" s="7"/>
      <c r="L3" s="140"/>
      <c r="M3" s="140"/>
      <c r="N3" s="6"/>
      <c r="W3" s="7"/>
      <c r="X3" s="140"/>
      <c r="Y3" s="140"/>
      <c r="Z3" s="6"/>
      <c r="AI3" s="7"/>
      <c r="AJ3" s="140"/>
      <c r="AK3" s="140"/>
      <c r="AL3" s="6"/>
      <c r="AU3" s="7"/>
      <c r="AV3" s="147"/>
      <c r="AW3" s="148"/>
      <c r="AX3" s="6"/>
      <c r="BG3" s="7"/>
      <c r="BH3" s="147"/>
      <c r="BI3" s="141"/>
      <c r="BJ3" s="141"/>
      <c r="BK3" s="141"/>
      <c r="BL3" s="141"/>
      <c r="BM3" s="141"/>
      <c r="BN3" s="141"/>
      <c r="BO3" s="141"/>
      <c r="BP3" s="141"/>
      <c r="BQ3" s="141"/>
      <c r="BR3" s="141"/>
      <c r="BS3" s="141"/>
      <c r="BT3" s="141"/>
      <c r="BU3" s="141"/>
      <c r="BV3" s="141"/>
      <c r="BW3" s="141"/>
      <c r="BX3" s="141"/>
      <c r="BY3" s="141"/>
    </row>
    <row r="4" ht="15.75" customHeight="1">
      <c r="A4" s="142"/>
      <c r="B4" s="8"/>
      <c r="C4" s="9"/>
      <c r="D4" s="9"/>
      <c r="E4" s="9"/>
      <c r="F4" s="9"/>
      <c r="G4" s="9"/>
      <c r="H4" s="9"/>
      <c r="I4" s="9"/>
      <c r="J4" s="9"/>
      <c r="K4" s="10"/>
      <c r="L4" s="140"/>
      <c r="M4" s="140"/>
      <c r="N4" s="8"/>
      <c r="O4" s="9"/>
      <c r="P4" s="9"/>
      <c r="Q4" s="9"/>
      <c r="R4" s="9"/>
      <c r="S4" s="9"/>
      <c r="T4" s="9"/>
      <c r="U4" s="9"/>
      <c r="V4" s="9"/>
      <c r="W4" s="10"/>
      <c r="X4" s="140"/>
      <c r="Y4" s="140"/>
      <c r="Z4" s="8"/>
      <c r="AA4" s="9"/>
      <c r="AB4" s="9"/>
      <c r="AC4" s="9"/>
      <c r="AD4" s="9"/>
      <c r="AE4" s="9"/>
      <c r="AF4" s="9"/>
      <c r="AG4" s="9"/>
      <c r="AH4" s="9"/>
      <c r="AI4" s="10"/>
      <c r="AJ4" s="140"/>
      <c r="AK4" s="140"/>
      <c r="AL4" s="8"/>
      <c r="AM4" s="9"/>
      <c r="AN4" s="9"/>
      <c r="AO4" s="9"/>
      <c r="AP4" s="9"/>
      <c r="AQ4" s="9"/>
      <c r="AR4" s="9"/>
      <c r="AS4" s="9"/>
      <c r="AT4" s="9"/>
      <c r="AU4" s="10"/>
      <c r="AV4" s="147"/>
      <c r="AW4" s="148"/>
      <c r="AX4" s="8"/>
      <c r="AY4" s="9"/>
      <c r="AZ4" s="9"/>
      <c r="BA4" s="9"/>
      <c r="BB4" s="9"/>
      <c r="BC4" s="9"/>
      <c r="BD4" s="9"/>
      <c r="BE4" s="9"/>
      <c r="BF4" s="9"/>
      <c r="BG4" s="10"/>
      <c r="BH4" s="147"/>
      <c r="BI4" s="141"/>
      <c r="BJ4" s="141"/>
      <c r="BK4" s="141"/>
      <c r="BL4" s="141"/>
      <c r="BM4" s="140"/>
      <c r="BN4" s="140"/>
      <c r="BO4" s="140"/>
      <c r="BP4" s="140"/>
      <c r="BQ4" s="140"/>
      <c r="BR4" s="140"/>
      <c r="BS4" s="140"/>
      <c r="BT4" s="140"/>
      <c r="BU4" s="140"/>
      <c r="BV4" s="140"/>
      <c r="BW4" s="140"/>
      <c r="BX4" s="140"/>
      <c r="BY4" s="140"/>
    </row>
    <row r="5" ht="15.75" customHeight="1">
      <c r="A5" s="150"/>
      <c r="B5" s="140"/>
      <c r="C5" s="140"/>
      <c r="D5" s="140"/>
      <c r="E5" s="140"/>
      <c r="F5" s="140"/>
      <c r="G5" s="140"/>
      <c r="H5" s="140"/>
      <c r="I5" s="140"/>
      <c r="J5" s="140"/>
      <c r="K5" s="140"/>
      <c r="L5" s="140"/>
      <c r="M5" s="140"/>
      <c r="N5" s="140"/>
      <c r="O5" s="140"/>
      <c r="P5" s="140"/>
      <c r="Q5" s="140"/>
      <c r="R5" s="140"/>
      <c r="S5" s="140"/>
      <c r="T5" s="140"/>
      <c r="U5" s="140"/>
      <c r="V5" s="140"/>
      <c r="W5" s="140"/>
      <c r="X5" s="140"/>
      <c r="Y5" s="140"/>
      <c r="Z5" s="140"/>
      <c r="AA5" s="140"/>
      <c r="AB5" s="140"/>
      <c r="AC5" s="140"/>
      <c r="AD5" s="140"/>
      <c r="AE5" s="140"/>
      <c r="AF5" s="140"/>
      <c r="AG5" s="140"/>
      <c r="AH5" s="140"/>
      <c r="AI5" s="140"/>
      <c r="AJ5" s="140"/>
      <c r="AK5" s="140"/>
      <c r="AL5" s="140"/>
      <c r="AM5" s="140"/>
      <c r="AN5" s="140"/>
      <c r="AO5" s="140"/>
      <c r="AP5" s="140"/>
      <c r="AQ5" s="140"/>
      <c r="AR5" s="140"/>
      <c r="AS5" s="140"/>
      <c r="AT5" s="140"/>
      <c r="AU5" s="140"/>
      <c r="AV5" s="140"/>
      <c r="AW5" s="140"/>
      <c r="AX5" s="140"/>
      <c r="AY5" s="140"/>
      <c r="AZ5" s="140"/>
      <c r="BA5" s="140"/>
      <c r="BB5" s="140"/>
      <c r="BC5" s="140"/>
      <c r="BD5" s="140"/>
      <c r="BE5" s="140"/>
      <c r="BF5" s="140"/>
      <c r="BG5" s="140"/>
      <c r="BH5" s="140"/>
      <c r="BI5" s="140"/>
      <c r="BJ5" s="140"/>
      <c r="BK5" s="151" t="s">
        <v>223</v>
      </c>
      <c r="BL5" s="151" t="s">
        <v>218</v>
      </c>
      <c r="BM5" s="151" t="s">
        <v>224</v>
      </c>
      <c r="BN5" s="151" t="s">
        <v>87</v>
      </c>
      <c r="BO5" s="151" t="s">
        <v>225</v>
      </c>
      <c r="BP5" s="152"/>
      <c r="BQ5" s="153" t="s">
        <v>226</v>
      </c>
      <c r="BR5" s="154" t="s">
        <v>218</v>
      </c>
      <c r="BS5" s="153" t="s">
        <v>224</v>
      </c>
      <c r="BT5" s="153" t="s">
        <v>87</v>
      </c>
      <c r="BU5" s="153" t="s">
        <v>225</v>
      </c>
      <c r="BV5" s="152"/>
      <c r="BW5" s="140"/>
      <c r="BX5" s="140"/>
      <c r="BY5" s="140"/>
    </row>
    <row r="6" ht="15.75" customHeight="1">
      <c r="A6" s="155"/>
      <c r="B6" s="156" t="s">
        <v>227</v>
      </c>
      <c r="C6" s="156" t="s">
        <v>228</v>
      </c>
      <c r="D6" s="156" t="s">
        <v>229</v>
      </c>
      <c r="E6" s="156" t="s">
        <v>230</v>
      </c>
      <c r="F6" s="156" t="s">
        <v>231</v>
      </c>
      <c r="G6" s="156" t="s">
        <v>232</v>
      </c>
      <c r="H6" s="156" t="s">
        <v>233</v>
      </c>
      <c r="I6" s="156" t="s">
        <v>234</v>
      </c>
      <c r="J6" s="156" t="s">
        <v>235</v>
      </c>
      <c r="K6" s="157" t="s">
        <v>236</v>
      </c>
      <c r="L6" s="140"/>
      <c r="M6" s="140"/>
      <c r="N6" s="158" t="str">
        <f>IFERROR(__xludf.DUMMYFUNCTION("GOOGLEFINANCE(""NSE:ICICIBANK"", ""all"", DATE(2024,4,1), DATE(2025,4,30))"),"Date")</f>
        <v>Date</v>
      </c>
      <c r="O6" s="159" t="str">
        <f>IFERROR(__xludf.DUMMYFUNCTION("""COMPUTED_VALUE"""),"Open")</f>
        <v>Open</v>
      </c>
      <c r="P6" s="159" t="str">
        <f>IFERROR(__xludf.DUMMYFUNCTION("""COMPUTED_VALUE"""),"High")</f>
        <v>High</v>
      </c>
      <c r="Q6" s="159" t="str">
        <f>IFERROR(__xludf.DUMMYFUNCTION("""COMPUTED_VALUE"""),"Low")</f>
        <v>Low</v>
      </c>
      <c r="R6" s="159" t="str">
        <f>IFERROR(__xludf.DUMMYFUNCTION("""COMPUTED_VALUE"""),"Close")</f>
        <v>Close</v>
      </c>
      <c r="S6" s="159" t="str">
        <f>IFERROR(__xludf.DUMMYFUNCTION("""COMPUTED_VALUE"""),"Volume")</f>
        <v>Volume</v>
      </c>
      <c r="T6" s="159" t="s">
        <v>233</v>
      </c>
      <c r="U6" s="159" t="s">
        <v>234</v>
      </c>
      <c r="V6" s="159" t="s">
        <v>235</v>
      </c>
      <c r="W6" s="160" t="s">
        <v>236</v>
      </c>
      <c r="X6" s="140"/>
      <c r="Y6" s="140"/>
      <c r="Z6" s="161" t="str">
        <f>IFERROR(__xludf.DUMMYFUNCTION("GOOGLEFINANCE(""NSE:INDUSTOWER"", ""all"", DATE(2024,4,1), DATE(2025,4,30))
"),"Date")</f>
        <v>Date</v>
      </c>
      <c r="AA6" s="162" t="str">
        <f>IFERROR(__xludf.DUMMYFUNCTION("""COMPUTED_VALUE"""),"Open")</f>
        <v>Open</v>
      </c>
      <c r="AB6" s="162" t="str">
        <f>IFERROR(__xludf.DUMMYFUNCTION("""COMPUTED_VALUE"""),"High")</f>
        <v>High</v>
      </c>
      <c r="AC6" s="162" t="str">
        <f>IFERROR(__xludf.DUMMYFUNCTION("""COMPUTED_VALUE"""),"Low")</f>
        <v>Low</v>
      </c>
      <c r="AD6" s="162" t="str">
        <f>IFERROR(__xludf.DUMMYFUNCTION("""COMPUTED_VALUE"""),"Close")</f>
        <v>Close</v>
      </c>
      <c r="AE6" s="162" t="str">
        <f>IFERROR(__xludf.DUMMYFUNCTION("""COMPUTED_VALUE"""),"Volume")</f>
        <v>Volume</v>
      </c>
      <c r="AF6" s="162" t="s">
        <v>233</v>
      </c>
      <c r="AG6" s="162" t="s">
        <v>234</v>
      </c>
      <c r="AH6" s="162" t="s">
        <v>235</v>
      </c>
      <c r="AI6" s="163" t="s">
        <v>236</v>
      </c>
      <c r="AJ6" s="140"/>
      <c r="AK6" s="140"/>
      <c r="AL6" s="158" t="str">
        <f>IFERROR(__xludf.DUMMYFUNCTION("GOOGLEFINANCE(""NSE:HAL"", ""all"", DATE(2024,4,1), DATE(2025,4,30))"),"Date")</f>
        <v>Date</v>
      </c>
      <c r="AM6" s="159" t="str">
        <f>IFERROR(__xludf.DUMMYFUNCTION("""COMPUTED_VALUE"""),"Open")</f>
        <v>Open</v>
      </c>
      <c r="AN6" s="159" t="str">
        <f>IFERROR(__xludf.DUMMYFUNCTION("""COMPUTED_VALUE"""),"High")</f>
        <v>High</v>
      </c>
      <c r="AO6" s="159" t="str">
        <f>IFERROR(__xludf.DUMMYFUNCTION("""COMPUTED_VALUE"""),"Low")</f>
        <v>Low</v>
      </c>
      <c r="AP6" s="159" t="str">
        <f>IFERROR(__xludf.DUMMYFUNCTION("""COMPUTED_VALUE"""),"Close")</f>
        <v>Close</v>
      </c>
      <c r="AQ6" s="159" t="str">
        <f>IFERROR(__xludf.DUMMYFUNCTION("""COMPUTED_VALUE"""),"Volume")</f>
        <v>Volume</v>
      </c>
      <c r="AR6" s="159" t="s">
        <v>233</v>
      </c>
      <c r="AS6" s="159" t="s">
        <v>234</v>
      </c>
      <c r="AT6" s="159" t="s">
        <v>235</v>
      </c>
      <c r="AU6" s="160" t="s">
        <v>236</v>
      </c>
      <c r="AV6" s="164"/>
      <c r="AW6" s="164"/>
      <c r="AX6" s="158" t="str">
        <f>IFERROR(__xludf.DUMMYFUNCTION("GOOGLEFINANCE(""NSE:ITC"", ""all"", DATE(2024,4,1), DATE(2025,4,30))
"),"Date")</f>
        <v>Date</v>
      </c>
      <c r="AY6" s="159" t="str">
        <f>IFERROR(__xludf.DUMMYFUNCTION("""COMPUTED_VALUE"""),"Open")</f>
        <v>Open</v>
      </c>
      <c r="AZ6" s="159" t="str">
        <f>IFERROR(__xludf.DUMMYFUNCTION("""COMPUTED_VALUE"""),"High")</f>
        <v>High</v>
      </c>
      <c r="BA6" s="159" t="str">
        <f>IFERROR(__xludf.DUMMYFUNCTION("""COMPUTED_VALUE"""),"Low")</f>
        <v>Low</v>
      </c>
      <c r="BB6" s="159" t="str">
        <f>IFERROR(__xludf.DUMMYFUNCTION("""COMPUTED_VALUE"""),"Close")</f>
        <v>Close</v>
      </c>
      <c r="BC6" s="159" t="str">
        <f>IFERROR(__xludf.DUMMYFUNCTION("""COMPUTED_VALUE"""),"Volume")</f>
        <v>Volume</v>
      </c>
      <c r="BD6" s="159" t="s">
        <v>233</v>
      </c>
      <c r="BE6" s="159" t="s">
        <v>234</v>
      </c>
      <c r="BF6" s="159" t="s">
        <v>235</v>
      </c>
      <c r="BG6" s="160" t="s">
        <v>236</v>
      </c>
      <c r="BH6" s="164"/>
      <c r="BI6" s="165" t="s">
        <v>237</v>
      </c>
      <c r="BJ6" s="140"/>
      <c r="BK6" s="151" t="s">
        <v>218</v>
      </c>
      <c r="BL6" s="166">
        <f>(COVAR('Part A'!H7:H271,'Part A'!H7:H271))*(252)</f>
        <v>0.02879075234</v>
      </c>
      <c r="BM6" s="166">
        <f>(COVAR('Part A'!H7:H272,'Part A'!T7:T272))*(252)</f>
        <v>0.001453953623</v>
      </c>
      <c r="BN6" s="166">
        <f>(COVAR('Part A'!H7:H272,'Part A'!AF7:AF272))*(252)</f>
        <v>0.00584781052</v>
      </c>
      <c r="BO6" s="166">
        <f>(COVAR('Part A'!H7:H272,'Part A'!AR7:AR272))*(252)</f>
        <v>0.00508957857</v>
      </c>
      <c r="BP6" s="152"/>
      <c r="BQ6" s="153" t="s">
        <v>218</v>
      </c>
      <c r="BR6" s="167">
        <f>CORREL('Part A'!H7:H272,'Part A'!H7:H272)</f>
        <v>1</v>
      </c>
      <c r="BS6" s="167">
        <f>CORREL('Part A'!H7:H272,'Part A'!T7:T272)</f>
        <v>0.04121476806</v>
      </c>
      <c r="BT6" s="167">
        <f>CORREL('Part A'!H7:H272,'Part A'!AF7:AF272)</f>
        <v>0.09261184308</v>
      </c>
      <c r="BU6" s="167">
        <f>CORREL('Part A'!H7:H272,'Part A'!AR7:AR272)</f>
        <v>0.06853857373</v>
      </c>
      <c r="BV6" s="152"/>
      <c r="BW6" s="140"/>
      <c r="BX6" s="140"/>
      <c r="BY6" s="140"/>
    </row>
    <row r="7" ht="15.75" customHeight="1">
      <c r="A7" s="168"/>
      <c r="B7" s="169">
        <v>45383.0</v>
      </c>
      <c r="C7" s="170">
        <v>6003.51</v>
      </c>
      <c r="D7" s="170">
        <v>6072.94</v>
      </c>
      <c r="E7" s="170">
        <v>5974.12</v>
      </c>
      <c r="F7" s="170">
        <v>6033.77</v>
      </c>
      <c r="G7" s="171" t="s">
        <v>238</v>
      </c>
      <c r="H7" s="172">
        <v>0.0</v>
      </c>
      <c r="I7" s="173">
        <f>STDEV(H7:H271)*15.8745078664</f>
        <v>0.1699994359</v>
      </c>
      <c r="J7" s="174">
        <f>AVERAGE(H7:H271)</f>
        <v>0.001485374756</v>
      </c>
      <c r="K7" s="175">
        <f>(1 + J7)^252 - 1
</f>
        <v>0.4535905181</v>
      </c>
      <c r="L7" s="140"/>
      <c r="M7" s="140"/>
      <c r="N7" s="176">
        <f>IFERROR(__xludf.DUMMYFUNCTION("""COMPUTED_VALUE"""),45383.64583333333)</f>
        <v>45383.64583</v>
      </c>
      <c r="O7" s="177">
        <f>IFERROR(__xludf.DUMMYFUNCTION("""COMPUTED_VALUE"""),1096.05)</f>
        <v>1096.05</v>
      </c>
      <c r="P7" s="177">
        <f>IFERROR(__xludf.DUMMYFUNCTION("""COMPUTED_VALUE"""),1102.95)</f>
        <v>1102.95</v>
      </c>
      <c r="Q7" s="177">
        <f>IFERROR(__xludf.DUMMYFUNCTION("""COMPUTED_VALUE"""),1094.45)</f>
        <v>1094.45</v>
      </c>
      <c r="R7" s="177">
        <f>IFERROR(__xludf.DUMMYFUNCTION("""COMPUTED_VALUE"""),1099.65)</f>
        <v>1099.65</v>
      </c>
      <c r="S7" s="177">
        <f>IFERROR(__xludf.DUMMYFUNCTION("""COMPUTED_VALUE"""),1.0848191E7)</f>
        <v>10848191</v>
      </c>
      <c r="T7" s="177">
        <v>0.0</v>
      </c>
      <c r="U7" s="178">
        <f>STDEV(T7:T271)*15.8745078664</f>
        <v>0.2083013864</v>
      </c>
      <c r="V7" s="179">
        <f>AVERAGE(T7:T271)</f>
        <v>0.0009833297779</v>
      </c>
      <c r="W7" s="180">
        <f>(1 + V7)^252 - 1
</f>
        <v>0.2810465355</v>
      </c>
      <c r="X7" s="140"/>
      <c r="Y7" s="140"/>
      <c r="Z7" s="181">
        <f>IFERROR(__xludf.DUMMYFUNCTION("""COMPUTED_VALUE"""),45383.64583333333)</f>
        <v>45383.64583</v>
      </c>
      <c r="AA7" s="182">
        <f>IFERROR(__xludf.DUMMYFUNCTION("""COMPUTED_VALUE"""),294.9)</f>
        <v>294.9</v>
      </c>
      <c r="AB7" s="182">
        <f>IFERROR(__xludf.DUMMYFUNCTION("""COMPUTED_VALUE"""),319.5)</f>
        <v>319.5</v>
      </c>
      <c r="AC7" s="182">
        <f>IFERROR(__xludf.DUMMYFUNCTION("""COMPUTED_VALUE"""),292.15)</f>
        <v>292.15</v>
      </c>
      <c r="AD7" s="182">
        <f>IFERROR(__xludf.DUMMYFUNCTION("""COMPUTED_VALUE"""),315.2)</f>
        <v>315.2</v>
      </c>
      <c r="AE7" s="182">
        <f>IFERROR(__xludf.DUMMYFUNCTION("""COMPUTED_VALUE"""),4.02675E7)</f>
        <v>40267500</v>
      </c>
      <c r="AF7" s="182">
        <v>0.0</v>
      </c>
      <c r="AG7" s="183">
        <f>STDEV(AF8:AF271)*15.8745078664</f>
        <v>0.373545833</v>
      </c>
      <c r="AH7" s="184">
        <f>AVERAGE(AF7:AF271)</f>
        <v>0.0009756599713</v>
      </c>
      <c r="AI7" s="185">
        <f>(1 + AH7)^252 - 1
</f>
        <v>0.2785753494</v>
      </c>
      <c r="AJ7" s="140"/>
      <c r="AK7" s="140"/>
      <c r="AL7" s="176">
        <f>IFERROR(__xludf.DUMMYFUNCTION("""COMPUTED_VALUE"""),45383.64583333333)</f>
        <v>45383.64583</v>
      </c>
      <c r="AM7" s="177">
        <f>IFERROR(__xludf.DUMMYFUNCTION("""COMPUTED_VALUE"""),3392.0)</f>
        <v>3392</v>
      </c>
      <c r="AN7" s="177">
        <f>IFERROR(__xludf.DUMMYFUNCTION("""COMPUTED_VALUE"""),3454.25)</f>
        <v>3454.25</v>
      </c>
      <c r="AO7" s="177">
        <f>IFERROR(__xludf.DUMMYFUNCTION("""COMPUTED_VALUE"""),3362.1)</f>
        <v>3362.1</v>
      </c>
      <c r="AP7" s="177">
        <f>IFERROR(__xludf.DUMMYFUNCTION("""COMPUTED_VALUE"""),3403.35)</f>
        <v>3403.35</v>
      </c>
      <c r="AQ7" s="177">
        <f>IFERROR(__xludf.DUMMYFUNCTION("""COMPUTED_VALUE"""),2513886.0)</f>
        <v>2513886</v>
      </c>
      <c r="AR7" s="177">
        <v>0.0</v>
      </c>
      <c r="AS7" s="178">
        <f>STDEV(AR7:AR271)*15.8745078664</f>
        <v>0.4384713557</v>
      </c>
      <c r="AT7" s="179">
        <f>AVERAGE(AR7:AR271)</f>
        <v>0.001043866587</v>
      </c>
      <c r="AU7" s="180">
        <f>(1 + AT7)^252 - 1
</f>
        <v>0.3007189872</v>
      </c>
      <c r="AV7" s="186"/>
      <c r="AW7" s="186"/>
      <c r="AX7" s="176">
        <f>IFERROR(__xludf.DUMMYFUNCTION("""COMPUTED_VALUE"""),45383.64583333333)</f>
        <v>45383.64583</v>
      </c>
      <c r="AY7" s="177">
        <f>IFERROR(__xludf.DUMMYFUNCTION("""COMPUTED_VALUE"""),429.1)</f>
        <v>429.1</v>
      </c>
      <c r="AZ7" s="177">
        <f>IFERROR(__xludf.DUMMYFUNCTION("""COMPUTED_VALUE"""),431.35)</f>
        <v>431.35</v>
      </c>
      <c r="BA7" s="177">
        <f>IFERROR(__xludf.DUMMYFUNCTION("""COMPUTED_VALUE"""),425.75)</f>
        <v>425.75</v>
      </c>
      <c r="BB7" s="177">
        <f>IFERROR(__xludf.DUMMYFUNCTION("""COMPUTED_VALUE"""),426.7)</f>
        <v>426.7</v>
      </c>
      <c r="BC7" s="177">
        <f>IFERROR(__xludf.DUMMYFUNCTION("""COMPUTED_VALUE"""),9382308.0)</f>
        <v>9382308</v>
      </c>
      <c r="BD7" s="177">
        <v>0.0</v>
      </c>
      <c r="BE7" s="178">
        <f>STDEV(BD7:BD271)*15.8745078664</f>
        <v>0.1980437109</v>
      </c>
      <c r="BF7" s="179">
        <f>AVERAGE(BD7:BD271)</f>
        <v>-0.000007967689564</v>
      </c>
      <c r="BG7" s="180">
        <f>(1 + BF7)^252 - 1
</f>
        <v>-0.002005851355</v>
      </c>
      <c r="BH7" s="186"/>
      <c r="BI7" s="187">
        <v>0.0586</v>
      </c>
      <c r="BJ7" s="140"/>
      <c r="BK7" s="151" t="s">
        <v>224</v>
      </c>
      <c r="BL7" s="166">
        <f>(COVAR('Part A'!H7:H272,'Part A'!T7:T272))*(252)</f>
        <v>0.001453953623</v>
      </c>
      <c r="BM7" s="166">
        <f>(COVAR('Part A'!T7:T271,'Part A'!T7:T271))*(252)</f>
        <v>0.04322573375</v>
      </c>
      <c r="BN7" s="166">
        <f>(COVAR('Part A'!T7:T272,'Part A'!AF7:AF272))*(252)</f>
        <v>0.03125030518</v>
      </c>
      <c r="BO7" s="166">
        <f>(COVAR('Part A'!T7:T272,'Part A'!AR7:AR272))*(252)</f>
        <v>0.03469536985</v>
      </c>
      <c r="BP7" s="152"/>
      <c r="BQ7" s="153" t="s">
        <v>224</v>
      </c>
      <c r="BR7" s="167">
        <f>CORREL('Part A'!H7:H272,'Part A'!T7:T272)</f>
        <v>0.04121476806</v>
      </c>
      <c r="BS7" s="167">
        <f>CORREL('Part A'!T7:T272,'Part A'!T7:T272)</f>
        <v>1</v>
      </c>
      <c r="BT7" s="167">
        <f>CORREL('Part A'!AF7:AF272,'Part A'!T7:T272)</f>
        <v>0.4039083372</v>
      </c>
      <c r="BU7" s="167">
        <f>CORREL('Part A'!AR7:AR272,'Part A'!T7:T272)</f>
        <v>0.3813116557</v>
      </c>
      <c r="BV7" s="152"/>
      <c r="BW7" s="140"/>
      <c r="BX7" s="140"/>
      <c r="BY7" s="140"/>
    </row>
    <row r="8" ht="15.75" customHeight="1">
      <c r="A8" s="168"/>
      <c r="B8" s="169">
        <v>45384.0</v>
      </c>
      <c r="C8" s="170">
        <v>6036.07</v>
      </c>
      <c r="D8" s="170">
        <v>6112.94</v>
      </c>
      <c r="E8" s="170">
        <v>6022.03</v>
      </c>
      <c r="F8" s="170">
        <v>6107.29</v>
      </c>
      <c r="G8" s="171" t="s">
        <v>238</v>
      </c>
      <c r="H8" s="172">
        <f t="shared" ref="H8:H271" si="1">LN(F8/F7)</f>
        <v>0.01211111693</v>
      </c>
      <c r="I8" s="172"/>
      <c r="J8" s="172"/>
      <c r="K8" s="188"/>
      <c r="L8" s="140"/>
      <c r="M8" s="140"/>
      <c r="N8" s="176">
        <f>IFERROR(__xludf.DUMMYFUNCTION("""COMPUTED_VALUE"""),45384.64583333333)</f>
        <v>45384.64583</v>
      </c>
      <c r="O8" s="177">
        <f>IFERROR(__xludf.DUMMYFUNCTION("""COMPUTED_VALUE"""),1094.45)</f>
        <v>1094.45</v>
      </c>
      <c r="P8" s="177">
        <f>IFERROR(__xludf.DUMMYFUNCTION("""COMPUTED_VALUE"""),1094.45)</f>
        <v>1094.45</v>
      </c>
      <c r="Q8" s="177">
        <f>IFERROR(__xludf.DUMMYFUNCTION("""COMPUTED_VALUE"""),1079.25)</f>
        <v>1079.25</v>
      </c>
      <c r="R8" s="177">
        <f>IFERROR(__xludf.DUMMYFUNCTION("""COMPUTED_VALUE"""),1081.2)</f>
        <v>1081.2</v>
      </c>
      <c r="S8" s="177">
        <f>IFERROR(__xludf.DUMMYFUNCTION("""COMPUTED_VALUE"""),1.4380396E7)</f>
        <v>14380396</v>
      </c>
      <c r="T8" s="177">
        <f t="shared" ref="T8:T271" si="2">LN(R8/R7)</f>
        <v>-0.01692041194</v>
      </c>
      <c r="U8" s="178"/>
      <c r="V8" s="177"/>
      <c r="W8" s="189"/>
      <c r="X8" s="140"/>
      <c r="Y8" s="140"/>
      <c r="Z8" s="176">
        <f>IFERROR(__xludf.DUMMYFUNCTION("""COMPUTED_VALUE"""),45384.64583333333)</f>
        <v>45384.64583</v>
      </c>
      <c r="AA8" s="177">
        <f>IFERROR(__xludf.DUMMYFUNCTION("""COMPUTED_VALUE"""),314.5)</f>
        <v>314.5</v>
      </c>
      <c r="AB8" s="177">
        <f>IFERROR(__xludf.DUMMYFUNCTION("""COMPUTED_VALUE"""),314.5)</f>
        <v>314.5</v>
      </c>
      <c r="AC8" s="177">
        <f>IFERROR(__xludf.DUMMYFUNCTION("""COMPUTED_VALUE"""),303.65)</f>
        <v>303.65</v>
      </c>
      <c r="AD8" s="177">
        <f>IFERROR(__xludf.DUMMYFUNCTION("""COMPUTED_VALUE"""),304.75)</f>
        <v>304.75</v>
      </c>
      <c r="AE8" s="177">
        <f>IFERROR(__xludf.DUMMYFUNCTION("""COMPUTED_VALUE"""),1.8843574E7)</f>
        <v>18843574</v>
      </c>
      <c r="AF8" s="177">
        <f t="shared" ref="AF8:AF271" si="3">LN(AD8/AD7)</f>
        <v>-0.03371558962</v>
      </c>
      <c r="AG8" s="177"/>
      <c r="AH8" s="177"/>
      <c r="AI8" s="189"/>
      <c r="AJ8" s="140"/>
      <c r="AK8" s="140"/>
      <c r="AL8" s="176">
        <f>IFERROR(__xludf.DUMMYFUNCTION("""COMPUTED_VALUE"""),45384.64583333333)</f>
        <v>45384.64583</v>
      </c>
      <c r="AM8" s="177">
        <f>IFERROR(__xludf.DUMMYFUNCTION("""COMPUTED_VALUE"""),3440.0)</f>
        <v>3440</v>
      </c>
      <c r="AN8" s="177">
        <f>IFERROR(__xludf.DUMMYFUNCTION("""COMPUTED_VALUE"""),3584.0)</f>
        <v>3584</v>
      </c>
      <c r="AO8" s="177">
        <f>IFERROR(__xludf.DUMMYFUNCTION("""COMPUTED_VALUE"""),3412.0)</f>
        <v>3412</v>
      </c>
      <c r="AP8" s="177">
        <f>IFERROR(__xludf.DUMMYFUNCTION("""COMPUTED_VALUE"""),3543.0)</f>
        <v>3543</v>
      </c>
      <c r="AQ8" s="177">
        <f>IFERROR(__xludf.DUMMYFUNCTION("""COMPUTED_VALUE"""),3169551.0)</f>
        <v>3169551</v>
      </c>
      <c r="AR8" s="177">
        <f t="shared" ref="AR8:AR271" si="4">LN(AP8/AP7)</f>
        <v>0.04021358523</v>
      </c>
      <c r="AS8" s="177"/>
      <c r="AT8" s="177"/>
      <c r="AU8" s="189"/>
      <c r="AV8" s="140"/>
      <c r="AW8" s="140"/>
      <c r="AX8" s="176">
        <f>IFERROR(__xludf.DUMMYFUNCTION("""COMPUTED_VALUE"""),45384.64583333333)</f>
        <v>45384.64583</v>
      </c>
      <c r="AY8" s="177">
        <f>IFERROR(__xludf.DUMMYFUNCTION("""COMPUTED_VALUE"""),428.7)</f>
        <v>428.7</v>
      </c>
      <c r="AZ8" s="177">
        <f>IFERROR(__xludf.DUMMYFUNCTION("""COMPUTED_VALUE"""),428.7)</f>
        <v>428.7</v>
      </c>
      <c r="BA8" s="177">
        <f>IFERROR(__xludf.DUMMYFUNCTION("""COMPUTED_VALUE"""),424.6)</f>
        <v>424.6</v>
      </c>
      <c r="BB8" s="177">
        <f>IFERROR(__xludf.DUMMYFUNCTION("""COMPUTED_VALUE"""),425.85)</f>
        <v>425.85</v>
      </c>
      <c r="BC8" s="177">
        <f>IFERROR(__xludf.DUMMYFUNCTION("""COMPUTED_VALUE"""),8853678.0)</f>
        <v>8853678</v>
      </c>
      <c r="BD8" s="177">
        <f t="shared" ref="BD8:BD271" si="5">LN(BB8/BB7)</f>
        <v>-0.001994018607</v>
      </c>
      <c r="BE8" s="177"/>
      <c r="BF8" s="177"/>
      <c r="BG8" s="189"/>
      <c r="BH8" s="140"/>
      <c r="BI8" s="140"/>
      <c r="BJ8" s="140"/>
      <c r="BK8" s="151" t="s">
        <v>87</v>
      </c>
      <c r="BL8" s="166">
        <f>(COVAR('Part A'!H7:H272,'Part A'!AF7:AF272))*(252)</f>
        <v>0.00584781052</v>
      </c>
      <c r="BM8" s="166">
        <f>(COVAR('Part A'!T7:T272,'Part A'!AF7:AF272))*(252)</f>
        <v>0.03125030518</v>
      </c>
      <c r="BN8" s="166">
        <f>(COVAR('Part A'!AF7:AF272,'Part A'!AF7:AF272))*(252)</f>
        <v>0.1384842924</v>
      </c>
      <c r="BO8" s="166">
        <f>(COVAR('Part A'!AF7:AF272,'Part A'!AR7:AR272))*(252)</f>
        <v>0.0744337012</v>
      </c>
      <c r="BP8" s="152"/>
      <c r="BQ8" s="153" t="s">
        <v>87</v>
      </c>
      <c r="BR8" s="167">
        <f>CORREL('Part A'!AF7:AF272,'Part A'!H7:H272)</f>
        <v>0.09261184308</v>
      </c>
      <c r="BS8" s="167">
        <f>CORREL('Part A'!AF7:AF272,'Part A'!T7:T272)</f>
        <v>0.4039083372</v>
      </c>
      <c r="BT8" s="167">
        <f>CORREL('Part A'!AF7:AF272,'Part A'!AF7:AF272)</f>
        <v>1</v>
      </c>
      <c r="BU8" s="167">
        <f>CORREL('Part A'!AF7:AF272,'Part A'!AR7:AR272)</f>
        <v>0.4570346244</v>
      </c>
      <c r="BV8" s="152"/>
      <c r="BW8" s="140"/>
      <c r="BX8" s="140"/>
      <c r="BY8" s="140"/>
    </row>
    <row r="9" ht="59.25" customHeight="1">
      <c r="A9" s="168"/>
      <c r="B9" s="169">
        <v>45385.0</v>
      </c>
      <c r="C9" s="170">
        <v>6110.08</v>
      </c>
      <c r="D9" s="170">
        <v>6178.04</v>
      </c>
      <c r="E9" s="170">
        <v>6082.12</v>
      </c>
      <c r="F9" s="170">
        <v>6171.38</v>
      </c>
      <c r="G9" s="171" t="s">
        <v>238</v>
      </c>
      <c r="H9" s="172">
        <f t="shared" si="1"/>
        <v>0.01043933619</v>
      </c>
      <c r="I9" s="172"/>
      <c r="J9" s="172"/>
      <c r="K9" s="188"/>
      <c r="L9" s="140"/>
      <c r="M9" s="140"/>
      <c r="N9" s="176">
        <f>IFERROR(__xludf.DUMMYFUNCTION("""COMPUTED_VALUE"""),45385.64583333333)</f>
        <v>45385.64583</v>
      </c>
      <c r="O9" s="177">
        <f>IFERROR(__xludf.DUMMYFUNCTION("""COMPUTED_VALUE"""),1075.0)</f>
        <v>1075</v>
      </c>
      <c r="P9" s="177">
        <f>IFERROR(__xludf.DUMMYFUNCTION("""COMPUTED_VALUE"""),1083.65)</f>
        <v>1083.65</v>
      </c>
      <c r="Q9" s="177">
        <f>IFERROR(__xludf.DUMMYFUNCTION("""COMPUTED_VALUE"""),1072.25)</f>
        <v>1072.25</v>
      </c>
      <c r="R9" s="177">
        <f>IFERROR(__xludf.DUMMYFUNCTION("""COMPUTED_VALUE"""),1077.2)</f>
        <v>1077.2</v>
      </c>
      <c r="S9" s="177">
        <f>IFERROR(__xludf.DUMMYFUNCTION("""COMPUTED_VALUE"""),1.5477184E7)</f>
        <v>15477184</v>
      </c>
      <c r="T9" s="177">
        <f t="shared" si="2"/>
        <v>-0.003706453465</v>
      </c>
      <c r="U9" s="178"/>
      <c r="V9" s="177"/>
      <c r="W9" s="189"/>
      <c r="X9" s="140"/>
      <c r="Y9" s="140"/>
      <c r="Z9" s="176">
        <f>IFERROR(__xludf.DUMMYFUNCTION("""COMPUTED_VALUE"""),45385.64583333333)</f>
        <v>45385.64583</v>
      </c>
      <c r="AA9" s="177">
        <f>IFERROR(__xludf.DUMMYFUNCTION("""COMPUTED_VALUE"""),304.8)</f>
        <v>304.8</v>
      </c>
      <c r="AB9" s="177">
        <f>IFERROR(__xludf.DUMMYFUNCTION("""COMPUTED_VALUE"""),307.4)</f>
        <v>307.4</v>
      </c>
      <c r="AC9" s="177">
        <f>IFERROR(__xludf.DUMMYFUNCTION("""COMPUTED_VALUE"""),298.4)</f>
        <v>298.4</v>
      </c>
      <c r="AD9" s="177">
        <f>IFERROR(__xludf.DUMMYFUNCTION("""COMPUTED_VALUE"""),300.55)</f>
        <v>300.55</v>
      </c>
      <c r="AE9" s="177">
        <f>IFERROR(__xludf.DUMMYFUNCTION("""COMPUTED_VALUE"""),2.1197899E7)</f>
        <v>21197899</v>
      </c>
      <c r="AF9" s="177">
        <f t="shared" si="3"/>
        <v>-0.01387763888</v>
      </c>
      <c r="AG9" s="177"/>
      <c r="AH9" s="177"/>
      <c r="AI9" s="189"/>
      <c r="AJ9" s="140"/>
      <c r="AK9" s="140"/>
      <c r="AL9" s="176">
        <f>IFERROR(__xludf.DUMMYFUNCTION("""COMPUTED_VALUE"""),45385.64583333333)</f>
        <v>45385.64583</v>
      </c>
      <c r="AM9" s="177">
        <f>IFERROR(__xludf.DUMMYFUNCTION("""COMPUTED_VALUE"""),3540.0)</f>
        <v>3540</v>
      </c>
      <c r="AN9" s="177">
        <f>IFERROR(__xludf.DUMMYFUNCTION("""COMPUTED_VALUE"""),3610.8)</f>
        <v>3610.8</v>
      </c>
      <c r="AO9" s="177">
        <f>IFERROR(__xludf.DUMMYFUNCTION("""COMPUTED_VALUE"""),3508.3)</f>
        <v>3508.3</v>
      </c>
      <c r="AP9" s="177">
        <f>IFERROR(__xludf.DUMMYFUNCTION("""COMPUTED_VALUE"""),3589.3)</f>
        <v>3589.3</v>
      </c>
      <c r="AQ9" s="177">
        <f>IFERROR(__xludf.DUMMYFUNCTION("""COMPUTED_VALUE"""),2077663.0)</f>
        <v>2077663</v>
      </c>
      <c r="AR9" s="177">
        <f t="shared" si="4"/>
        <v>0.01298337153</v>
      </c>
      <c r="AS9" s="177"/>
      <c r="AT9" s="177"/>
      <c r="AU9" s="189"/>
      <c r="AV9" s="140"/>
      <c r="AW9" s="140"/>
      <c r="AX9" s="176">
        <f>IFERROR(__xludf.DUMMYFUNCTION("""COMPUTED_VALUE"""),45385.64583333333)</f>
        <v>45385.64583</v>
      </c>
      <c r="AY9" s="177">
        <f>IFERROR(__xludf.DUMMYFUNCTION("""COMPUTED_VALUE"""),426.0)</f>
        <v>426</v>
      </c>
      <c r="AZ9" s="177">
        <f>IFERROR(__xludf.DUMMYFUNCTION("""COMPUTED_VALUE"""),428.8)</f>
        <v>428.8</v>
      </c>
      <c r="BA9" s="177">
        <f>IFERROR(__xludf.DUMMYFUNCTION("""COMPUTED_VALUE"""),421.0)</f>
        <v>421</v>
      </c>
      <c r="BB9" s="177">
        <f>IFERROR(__xludf.DUMMYFUNCTION("""COMPUTED_VALUE"""),425.2)</f>
        <v>425.2</v>
      </c>
      <c r="BC9" s="177">
        <f>IFERROR(__xludf.DUMMYFUNCTION("""COMPUTED_VALUE"""),1.266452E7)</f>
        <v>12664520</v>
      </c>
      <c r="BD9" s="177">
        <f t="shared" si="5"/>
        <v>-0.001527525119</v>
      </c>
      <c r="BE9" s="177"/>
      <c r="BF9" s="177"/>
      <c r="BG9" s="189"/>
      <c r="BH9" s="140"/>
      <c r="BI9" s="140"/>
      <c r="BJ9" s="140"/>
      <c r="BK9" s="151" t="s">
        <v>225</v>
      </c>
      <c r="BL9" s="166">
        <f>(COVAR('Part A'!H7:H272,'Part A'!AR7:AR272))*(252)</f>
        <v>0.00508957857</v>
      </c>
      <c r="BM9" s="166">
        <f>(COVAR('Part A'!T7:T272,'Part A'!AR7:AR272))*(252)</f>
        <v>0.03469536985</v>
      </c>
      <c r="BN9" s="166">
        <f>(COVAR('Part A'!AF7:AF272,'Part A'!AR7:AR272))*(252)</f>
        <v>0.0744337012</v>
      </c>
      <c r="BO9" s="166">
        <f>(COVAR('Part A'!AR7:AR272,'Part A'!AR7:AR272))*(252)</f>
        <v>0.1915316312</v>
      </c>
      <c r="BP9" s="152"/>
      <c r="BQ9" s="153" t="s">
        <v>225</v>
      </c>
      <c r="BR9" s="167">
        <f>CORREL('Part A'!H7:H272,'Part A'!AR7:AR272)</f>
        <v>0.06853857373</v>
      </c>
      <c r="BS9" s="167">
        <f>CORREL('Part A'!T7:T272,'Part A'!AR7:AR272)</f>
        <v>0.3813116557</v>
      </c>
      <c r="BT9" s="167">
        <f>CORREL('Part A'!AF7:AF272,'Part A'!AR7:AR272)</f>
        <v>0.4570346244</v>
      </c>
      <c r="BU9" s="167">
        <f>CORREL('Part A'!AR7:AR272,'Part A'!AR7:AR272)</f>
        <v>1</v>
      </c>
      <c r="BV9" s="152"/>
      <c r="BW9" s="140"/>
      <c r="BX9" s="140"/>
      <c r="BY9" s="140"/>
    </row>
    <row r="10" ht="15.75" customHeight="1">
      <c r="A10" s="168"/>
      <c r="B10" s="169">
        <v>45386.0</v>
      </c>
      <c r="C10" s="170">
        <v>6173.52</v>
      </c>
      <c r="D10" s="170">
        <v>6183.24</v>
      </c>
      <c r="E10" s="170">
        <v>6111.03</v>
      </c>
      <c r="F10" s="170">
        <v>6136.13</v>
      </c>
      <c r="G10" s="171" t="s">
        <v>238</v>
      </c>
      <c r="H10" s="172">
        <f t="shared" si="1"/>
        <v>-0.005728225512</v>
      </c>
      <c r="I10" s="172"/>
      <c r="J10" s="172"/>
      <c r="K10" s="188"/>
      <c r="L10" s="140"/>
      <c r="M10" s="140"/>
      <c r="N10" s="176">
        <f>IFERROR(__xludf.DUMMYFUNCTION("""COMPUTED_VALUE"""),45386.64583333333)</f>
        <v>45386.64583</v>
      </c>
      <c r="O10" s="177">
        <f>IFERROR(__xludf.DUMMYFUNCTION("""COMPUTED_VALUE"""),1084.75)</f>
        <v>1084.75</v>
      </c>
      <c r="P10" s="177">
        <f>IFERROR(__xludf.DUMMYFUNCTION("""COMPUTED_VALUE"""),1085.8)</f>
        <v>1085.8</v>
      </c>
      <c r="Q10" s="177">
        <f>IFERROR(__xludf.DUMMYFUNCTION("""COMPUTED_VALUE"""),1063.45)</f>
        <v>1063.45</v>
      </c>
      <c r="R10" s="177">
        <f>IFERROR(__xludf.DUMMYFUNCTION("""COMPUTED_VALUE"""),1078.85)</f>
        <v>1078.85</v>
      </c>
      <c r="S10" s="177">
        <f>IFERROR(__xludf.DUMMYFUNCTION("""COMPUTED_VALUE"""),2.1419689E7)</f>
        <v>21419689</v>
      </c>
      <c r="T10" s="177">
        <f t="shared" si="2"/>
        <v>0.001530577048</v>
      </c>
      <c r="U10" s="178"/>
      <c r="V10" s="177"/>
      <c r="W10" s="189"/>
      <c r="X10" s="140"/>
      <c r="Y10" s="140"/>
      <c r="Z10" s="176">
        <f>IFERROR(__xludf.DUMMYFUNCTION("""COMPUTED_VALUE"""),45386.64583333333)</f>
        <v>45386.64583</v>
      </c>
      <c r="AA10" s="177">
        <f>IFERROR(__xludf.DUMMYFUNCTION("""COMPUTED_VALUE"""),304.05)</f>
        <v>304.05</v>
      </c>
      <c r="AB10" s="177">
        <f>IFERROR(__xludf.DUMMYFUNCTION("""COMPUTED_VALUE"""),310.0)</f>
        <v>310</v>
      </c>
      <c r="AC10" s="177">
        <f>IFERROR(__xludf.DUMMYFUNCTION("""COMPUTED_VALUE"""),301.55)</f>
        <v>301.55</v>
      </c>
      <c r="AD10" s="177">
        <f>IFERROR(__xludf.DUMMYFUNCTION("""COMPUTED_VALUE"""),306.6)</f>
        <v>306.6</v>
      </c>
      <c r="AE10" s="177">
        <f>IFERROR(__xludf.DUMMYFUNCTION("""COMPUTED_VALUE"""),1.38752E7)</f>
        <v>13875200</v>
      </c>
      <c r="AF10" s="177">
        <f t="shared" si="3"/>
        <v>0.01992983695</v>
      </c>
      <c r="AG10" s="177"/>
      <c r="AH10" s="177"/>
      <c r="AI10" s="189"/>
      <c r="AJ10" s="140"/>
      <c r="AK10" s="140"/>
      <c r="AL10" s="176">
        <f>IFERROR(__xludf.DUMMYFUNCTION("""COMPUTED_VALUE"""),45386.64583333333)</f>
        <v>45386.64583</v>
      </c>
      <c r="AM10" s="177">
        <f>IFERROR(__xludf.DUMMYFUNCTION("""COMPUTED_VALUE"""),3609.95)</f>
        <v>3609.95</v>
      </c>
      <c r="AN10" s="177">
        <f>IFERROR(__xludf.DUMMYFUNCTION("""COMPUTED_VALUE"""),3614.95)</f>
        <v>3614.95</v>
      </c>
      <c r="AO10" s="177">
        <f>IFERROR(__xludf.DUMMYFUNCTION("""COMPUTED_VALUE"""),3512.2)</f>
        <v>3512.2</v>
      </c>
      <c r="AP10" s="177">
        <f>IFERROR(__xludf.DUMMYFUNCTION("""COMPUTED_VALUE"""),3540.95)</f>
        <v>3540.95</v>
      </c>
      <c r="AQ10" s="177">
        <f>IFERROR(__xludf.DUMMYFUNCTION("""COMPUTED_VALUE"""),1591827.0)</f>
        <v>1591827</v>
      </c>
      <c r="AR10" s="177">
        <f t="shared" si="4"/>
        <v>-0.01356214469</v>
      </c>
      <c r="AS10" s="177"/>
      <c r="AT10" s="177"/>
      <c r="AU10" s="189"/>
      <c r="AV10" s="140"/>
      <c r="AW10" s="140"/>
      <c r="AX10" s="176">
        <f>IFERROR(__xludf.DUMMYFUNCTION("""COMPUTED_VALUE"""),45386.64583333333)</f>
        <v>45386.64583</v>
      </c>
      <c r="AY10" s="177">
        <f>IFERROR(__xludf.DUMMYFUNCTION("""COMPUTED_VALUE"""),425.55)</f>
        <v>425.55</v>
      </c>
      <c r="AZ10" s="177">
        <f>IFERROR(__xludf.DUMMYFUNCTION("""COMPUTED_VALUE"""),427.35)</f>
        <v>427.35</v>
      </c>
      <c r="BA10" s="177">
        <f>IFERROR(__xludf.DUMMYFUNCTION("""COMPUTED_VALUE"""),419.9)</f>
        <v>419.9</v>
      </c>
      <c r="BB10" s="177">
        <f>IFERROR(__xludf.DUMMYFUNCTION("""COMPUTED_VALUE"""),422.75)</f>
        <v>422.75</v>
      </c>
      <c r="BC10" s="177">
        <f>IFERROR(__xludf.DUMMYFUNCTION("""COMPUTED_VALUE"""),1.835841E7)</f>
        <v>18358410</v>
      </c>
      <c r="BD10" s="177">
        <f t="shared" si="5"/>
        <v>-0.005778658689</v>
      </c>
      <c r="BE10" s="177"/>
      <c r="BF10" s="177"/>
      <c r="BG10" s="189"/>
      <c r="BH10" s="140"/>
      <c r="BI10" s="140"/>
      <c r="BJ10" s="140"/>
      <c r="BK10" s="152"/>
      <c r="BL10" s="152"/>
      <c r="BM10" s="152"/>
      <c r="BN10" s="152"/>
      <c r="BO10" s="152"/>
      <c r="BP10" s="152"/>
      <c r="BQ10" s="152"/>
      <c r="BR10" s="152"/>
      <c r="BS10" s="152"/>
      <c r="BT10" s="152"/>
      <c r="BU10" s="152"/>
      <c r="BV10" s="152"/>
      <c r="BW10" s="140"/>
      <c r="BX10" s="140"/>
      <c r="BY10" s="140"/>
    </row>
    <row r="11" ht="15.75" customHeight="1">
      <c r="A11" s="168"/>
      <c r="B11" s="169">
        <v>45387.0</v>
      </c>
      <c r="C11" s="170">
        <v>6138.98</v>
      </c>
      <c r="D11" s="170">
        <v>6242.15</v>
      </c>
      <c r="E11" s="170">
        <v>6084.12</v>
      </c>
      <c r="F11" s="170">
        <v>6237.71</v>
      </c>
      <c r="G11" s="171" t="s">
        <v>238</v>
      </c>
      <c r="H11" s="172">
        <f t="shared" si="1"/>
        <v>0.01641887756</v>
      </c>
      <c r="I11" s="172"/>
      <c r="J11" s="172"/>
      <c r="K11" s="188"/>
      <c r="L11" s="140"/>
      <c r="M11" s="140"/>
      <c r="N11" s="176">
        <f>IFERROR(__xludf.DUMMYFUNCTION("""COMPUTED_VALUE"""),45387.64583333333)</f>
        <v>45387.64583</v>
      </c>
      <c r="O11" s="177">
        <f>IFERROR(__xludf.DUMMYFUNCTION("""COMPUTED_VALUE"""),1070.0)</f>
        <v>1070</v>
      </c>
      <c r="P11" s="177">
        <f>IFERROR(__xludf.DUMMYFUNCTION("""COMPUTED_VALUE"""),1086.0)</f>
        <v>1086</v>
      </c>
      <c r="Q11" s="177">
        <f>IFERROR(__xludf.DUMMYFUNCTION("""COMPUTED_VALUE"""),1067.45)</f>
        <v>1067.45</v>
      </c>
      <c r="R11" s="177">
        <f>IFERROR(__xludf.DUMMYFUNCTION("""COMPUTED_VALUE"""),1083.4)</f>
        <v>1083.4</v>
      </c>
      <c r="S11" s="177">
        <f>IFERROR(__xludf.DUMMYFUNCTION("""COMPUTED_VALUE"""),1.5340637E7)</f>
        <v>15340637</v>
      </c>
      <c r="T11" s="177">
        <f t="shared" si="2"/>
        <v>0.004208585238</v>
      </c>
      <c r="U11" s="178"/>
      <c r="V11" s="177"/>
      <c r="W11" s="189"/>
      <c r="X11" s="140"/>
      <c r="Y11" s="140"/>
      <c r="Z11" s="176">
        <f>IFERROR(__xludf.DUMMYFUNCTION("""COMPUTED_VALUE"""),45387.64583333333)</f>
        <v>45387.64583</v>
      </c>
      <c r="AA11" s="177">
        <f>IFERROR(__xludf.DUMMYFUNCTION("""COMPUTED_VALUE"""),305.95)</f>
        <v>305.95</v>
      </c>
      <c r="AB11" s="177">
        <f>IFERROR(__xludf.DUMMYFUNCTION("""COMPUTED_VALUE"""),321.55)</f>
        <v>321.55</v>
      </c>
      <c r="AC11" s="177">
        <f>IFERROR(__xludf.DUMMYFUNCTION("""COMPUTED_VALUE"""),302.1)</f>
        <v>302.1</v>
      </c>
      <c r="AD11" s="177">
        <f>IFERROR(__xludf.DUMMYFUNCTION("""COMPUTED_VALUE"""),314.0)</f>
        <v>314</v>
      </c>
      <c r="AE11" s="177">
        <f>IFERROR(__xludf.DUMMYFUNCTION("""COMPUTED_VALUE"""),2.1960872E7)</f>
        <v>21960872</v>
      </c>
      <c r="AF11" s="177">
        <f t="shared" si="3"/>
        <v>0.02384901947</v>
      </c>
      <c r="AG11" s="177"/>
      <c r="AH11" s="177"/>
      <c r="AI11" s="189"/>
      <c r="AJ11" s="140"/>
      <c r="AK11" s="140"/>
      <c r="AL11" s="176">
        <f>IFERROR(__xludf.DUMMYFUNCTION("""COMPUTED_VALUE"""),45387.64583333333)</f>
        <v>45387.64583</v>
      </c>
      <c r="AM11" s="177">
        <f>IFERROR(__xludf.DUMMYFUNCTION("""COMPUTED_VALUE"""),3545.0)</f>
        <v>3545</v>
      </c>
      <c r="AN11" s="177">
        <f>IFERROR(__xludf.DUMMYFUNCTION("""COMPUTED_VALUE"""),3595.0)</f>
        <v>3595</v>
      </c>
      <c r="AO11" s="177">
        <f>IFERROR(__xludf.DUMMYFUNCTION("""COMPUTED_VALUE"""),3507.85)</f>
        <v>3507.85</v>
      </c>
      <c r="AP11" s="177">
        <f>IFERROR(__xludf.DUMMYFUNCTION("""COMPUTED_VALUE"""),3586.05)</f>
        <v>3586.05</v>
      </c>
      <c r="AQ11" s="177">
        <f>IFERROR(__xludf.DUMMYFUNCTION("""COMPUTED_VALUE"""),1123258.0)</f>
        <v>1123258</v>
      </c>
      <c r="AR11" s="177">
        <f t="shared" si="4"/>
        <v>0.01265626547</v>
      </c>
      <c r="AS11" s="177"/>
      <c r="AT11" s="177"/>
      <c r="AU11" s="189"/>
      <c r="AV11" s="140"/>
      <c r="AW11" s="140"/>
      <c r="AX11" s="176">
        <f>IFERROR(__xludf.DUMMYFUNCTION("""COMPUTED_VALUE"""),45387.64583333333)</f>
        <v>45387.64583</v>
      </c>
      <c r="AY11" s="177">
        <f>IFERROR(__xludf.DUMMYFUNCTION("""COMPUTED_VALUE"""),422.5)</f>
        <v>422.5</v>
      </c>
      <c r="AZ11" s="177">
        <f>IFERROR(__xludf.DUMMYFUNCTION("""COMPUTED_VALUE"""),431.7)</f>
        <v>431.7</v>
      </c>
      <c r="BA11" s="177">
        <f>IFERROR(__xludf.DUMMYFUNCTION("""COMPUTED_VALUE"""),419.95)</f>
        <v>419.95</v>
      </c>
      <c r="BB11" s="177">
        <f>IFERROR(__xludf.DUMMYFUNCTION("""COMPUTED_VALUE"""),427.55)</f>
        <v>427.55</v>
      </c>
      <c r="BC11" s="177">
        <f>IFERROR(__xludf.DUMMYFUNCTION("""COMPUTED_VALUE"""),1.6147032E7)</f>
        <v>16147032</v>
      </c>
      <c r="BD11" s="177">
        <f t="shared" si="5"/>
        <v>0.01129025282</v>
      </c>
      <c r="BE11" s="177"/>
      <c r="BF11" s="177"/>
      <c r="BG11" s="189"/>
      <c r="BH11" s="140"/>
      <c r="BI11" s="140"/>
      <c r="BJ11" s="140"/>
      <c r="BK11" s="190" t="s">
        <v>223</v>
      </c>
      <c r="BL11" s="190" t="s">
        <v>218</v>
      </c>
      <c r="BM11" s="190" t="s">
        <v>224</v>
      </c>
      <c r="BN11" s="190" t="s">
        <v>87</v>
      </c>
      <c r="BO11" s="190" t="s">
        <v>225</v>
      </c>
      <c r="BP11" s="152"/>
      <c r="BQ11" s="191" t="s">
        <v>239</v>
      </c>
      <c r="BV11" s="152"/>
      <c r="BW11" s="140"/>
      <c r="BX11" s="140"/>
      <c r="BY11" s="140"/>
    </row>
    <row r="12" ht="15.75" customHeight="1">
      <c r="A12" s="168"/>
      <c r="B12" s="169">
        <v>45390.0</v>
      </c>
      <c r="C12" s="170">
        <v>6219.67</v>
      </c>
      <c r="D12" s="170">
        <v>6302.78</v>
      </c>
      <c r="E12" s="170">
        <v>6168.43</v>
      </c>
      <c r="F12" s="170">
        <v>6260.67</v>
      </c>
      <c r="G12" s="171" t="s">
        <v>238</v>
      </c>
      <c r="H12" s="172">
        <f t="shared" si="1"/>
        <v>0.003674080293</v>
      </c>
      <c r="I12" s="172"/>
      <c r="J12" s="172"/>
      <c r="K12" s="188"/>
      <c r="L12" s="140"/>
      <c r="M12" s="140"/>
      <c r="N12" s="176">
        <f>IFERROR(__xludf.DUMMYFUNCTION("""COMPUTED_VALUE"""),45390.64583333333)</f>
        <v>45390.64583</v>
      </c>
      <c r="O12" s="177">
        <f>IFERROR(__xludf.DUMMYFUNCTION("""COMPUTED_VALUE"""),1078.35)</f>
        <v>1078.35</v>
      </c>
      <c r="P12" s="177">
        <f>IFERROR(__xludf.DUMMYFUNCTION("""COMPUTED_VALUE"""),1091.75)</f>
        <v>1091.75</v>
      </c>
      <c r="Q12" s="177">
        <f>IFERROR(__xludf.DUMMYFUNCTION("""COMPUTED_VALUE"""),1076.3)</f>
        <v>1076.3</v>
      </c>
      <c r="R12" s="177">
        <f>IFERROR(__xludf.DUMMYFUNCTION("""COMPUTED_VALUE"""),1087.15)</f>
        <v>1087.15</v>
      </c>
      <c r="S12" s="177">
        <f>IFERROR(__xludf.DUMMYFUNCTION("""COMPUTED_VALUE"""),8023461.0)</f>
        <v>8023461</v>
      </c>
      <c r="T12" s="177">
        <f t="shared" si="2"/>
        <v>0.003455348857</v>
      </c>
      <c r="U12" s="178"/>
      <c r="V12" s="177"/>
      <c r="W12" s="189"/>
      <c r="X12" s="140"/>
      <c r="Y12" s="140"/>
      <c r="Z12" s="176">
        <f>IFERROR(__xludf.DUMMYFUNCTION("""COMPUTED_VALUE"""),45390.64583333333)</f>
        <v>45390.64583</v>
      </c>
      <c r="AA12" s="177">
        <f>IFERROR(__xludf.DUMMYFUNCTION("""COMPUTED_VALUE"""),316.5)</f>
        <v>316.5</v>
      </c>
      <c r="AB12" s="177">
        <f>IFERROR(__xludf.DUMMYFUNCTION("""COMPUTED_VALUE"""),331.5)</f>
        <v>331.5</v>
      </c>
      <c r="AC12" s="177">
        <f>IFERROR(__xludf.DUMMYFUNCTION("""COMPUTED_VALUE"""),315.95)</f>
        <v>315.95</v>
      </c>
      <c r="AD12" s="177">
        <f>IFERROR(__xludf.DUMMYFUNCTION("""COMPUTED_VALUE"""),327.8)</f>
        <v>327.8</v>
      </c>
      <c r="AE12" s="177">
        <f>IFERROR(__xludf.DUMMYFUNCTION("""COMPUTED_VALUE"""),2.8736885E7)</f>
        <v>28736885</v>
      </c>
      <c r="AF12" s="177">
        <f t="shared" si="3"/>
        <v>0.0430106804</v>
      </c>
      <c r="AG12" s="177"/>
      <c r="AH12" s="177"/>
      <c r="AI12" s="189"/>
      <c r="AJ12" s="140"/>
      <c r="AK12" s="140"/>
      <c r="AL12" s="176">
        <f>IFERROR(__xludf.DUMMYFUNCTION("""COMPUTED_VALUE"""),45390.64583333333)</f>
        <v>45390.64583</v>
      </c>
      <c r="AM12" s="177">
        <f>IFERROR(__xludf.DUMMYFUNCTION("""COMPUTED_VALUE"""),3600.0)</f>
        <v>3600</v>
      </c>
      <c r="AN12" s="177">
        <f>IFERROR(__xludf.DUMMYFUNCTION("""COMPUTED_VALUE"""),3600.0)</f>
        <v>3600</v>
      </c>
      <c r="AO12" s="177">
        <f>IFERROR(__xludf.DUMMYFUNCTION("""COMPUTED_VALUE"""),3543.05)</f>
        <v>3543.05</v>
      </c>
      <c r="AP12" s="177">
        <f>IFERROR(__xludf.DUMMYFUNCTION("""COMPUTED_VALUE"""),3567.15)</f>
        <v>3567.15</v>
      </c>
      <c r="AQ12" s="177">
        <f>IFERROR(__xludf.DUMMYFUNCTION("""COMPUTED_VALUE"""),865339.0)</f>
        <v>865339</v>
      </c>
      <c r="AR12" s="177">
        <f t="shared" si="4"/>
        <v>-0.005284360561</v>
      </c>
      <c r="AS12" s="177"/>
      <c r="AT12" s="177"/>
      <c r="AU12" s="189"/>
      <c r="AV12" s="140"/>
      <c r="AW12" s="140"/>
      <c r="AX12" s="176">
        <f>IFERROR(__xludf.DUMMYFUNCTION("""COMPUTED_VALUE"""),45390.64583333333)</f>
        <v>45390.64583</v>
      </c>
      <c r="AY12" s="177">
        <f>IFERROR(__xludf.DUMMYFUNCTION("""COMPUTED_VALUE"""),428.3)</f>
        <v>428.3</v>
      </c>
      <c r="AZ12" s="177">
        <f>IFERROR(__xludf.DUMMYFUNCTION("""COMPUTED_VALUE"""),431.4)</f>
        <v>431.4</v>
      </c>
      <c r="BA12" s="177">
        <f>IFERROR(__xludf.DUMMYFUNCTION("""COMPUTED_VALUE"""),427.75)</f>
        <v>427.75</v>
      </c>
      <c r="BB12" s="177">
        <f>IFERROR(__xludf.DUMMYFUNCTION("""COMPUTED_VALUE"""),429.1)</f>
        <v>429.1</v>
      </c>
      <c r="BC12" s="177">
        <f>IFERROR(__xludf.DUMMYFUNCTION("""COMPUTED_VALUE"""),8516632.0)</f>
        <v>8516632</v>
      </c>
      <c r="BD12" s="177">
        <f t="shared" si="5"/>
        <v>0.003618751396</v>
      </c>
      <c r="BE12" s="177"/>
      <c r="BF12" s="177"/>
      <c r="BG12" s="189"/>
      <c r="BH12" s="140"/>
      <c r="BI12" s="140"/>
      <c r="BJ12" s="140"/>
      <c r="BK12" s="190" t="s">
        <v>218</v>
      </c>
      <c r="BL12" s="192">
        <v>0.028790752337112934</v>
      </c>
      <c r="BM12" s="192">
        <v>0.0014539536230437622</v>
      </c>
      <c r="BN12" s="192">
        <v>0.005847810520365858</v>
      </c>
      <c r="BO12" s="192">
        <v>0.005089578569622148</v>
      </c>
      <c r="BP12" s="152"/>
      <c r="BV12" s="152"/>
      <c r="BW12" s="140"/>
      <c r="BX12" s="140"/>
      <c r="BY12" s="140"/>
    </row>
    <row r="13" ht="15.75" customHeight="1">
      <c r="A13" s="168"/>
      <c r="B13" s="169">
        <v>45391.0</v>
      </c>
      <c r="C13" s="170">
        <v>6262.85</v>
      </c>
      <c r="D13" s="170">
        <v>6328.57</v>
      </c>
      <c r="E13" s="170">
        <v>6254.18</v>
      </c>
      <c r="F13" s="170">
        <v>6291.41</v>
      </c>
      <c r="G13" s="171" t="s">
        <v>238</v>
      </c>
      <c r="H13" s="172">
        <f t="shared" si="1"/>
        <v>0.004898002794</v>
      </c>
      <c r="I13" s="172"/>
      <c r="J13" s="172"/>
      <c r="K13" s="188"/>
      <c r="L13" s="140"/>
      <c r="M13" s="140"/>
      <c r="N13" s="176">
        <f>IFERROR(__xludf.DUMMYFUNCTION("""COMPUTED_VALUE"""),45391.64583333333)</f>
        <v>45391.64583</v>
      </c>
      <c r="O13" s="177">
        <f>IFERROR(__xludf.DUMMYFUNCTION("""COMPUTED_VALUE"""),1091.95)</f>
        <v>1091.95</v>
      </c>
      <c r="P13" s="177">
        <f>IFERROR(__xludf.DUMMYFUNCTION("""COMPUTED_VALUE"""),1115.25)</f>
        <v>1115.25</v>
      </c>
      <c r="Q13" s="177">
        <f>IFERROR(__xludf.DUMMYFUNCTION("""COMPUTED_VALUE"""),1088.3)</f>
        <v>1088.3</v>
      </c>
      <c r="R13" s="177">
        <f>IFERROR(__xludf.DUMMYFUNCTION("""COMPUTED_VALUE"""),1107.05)</f>
        <v>1107.05</v>
      </c>
      <c r="S13" s="177">
        <f>IFERROR(__xludf.DUMMYFUNCTION("""COMPUTED_VALUE"""),1.2298463E7)</f>
        <v>12298463</v>
      </c>
      <c r="T13" s="177">
        <f t="shared" si="2"/>
        <v>0.01813922673</v>
      </c>
      <c r="U13" s="178"/>
      <c r="V13" s="177"/>
      <c r="W13" s="189"/>
      <c r="X13" s="140"/>
      <c r="Y13" s="140"/>
      <c r="Z13" s="176">
        <f>IFERROR(__xludf.DUMMYFUNCTION("""COMPUTED_VALUE"""),45391.64583333333)</f>
        <v>45391.64583</v>
      </c>
      <c r="AA13" s="177">
        <f>IFERROR(__xludf.DUMMYFUNCTION("""COMPUTED_VALUE"""),328.5)</f>
        <v>328.5</v>
      </c>
      <c r="AB13" s="177">
        <f>IFERROR(__xludf.DUMMYFUNCTION("""COMPUTED_VALUE"""),331.0)</f>
        <v>331</v>
      </c>
      <c r="AC13" s="177">
        <f>IFERROR(__xludf.DUMMYFUNCTION("""COMPUTED_VALUE"""),324.2)</f>
        <v>324.2</v>
      </c>
      <c r="AD13" s="177">
        <f>IFERROR(__xludf.DUMMYFUNCTION("""COMPUTED_VALUE"""),328.0)</f>
        <v>328</v>
      </c>
      <c r="AE13" s="177">
        <f>IFERROR(__xludf.DUMMYFUNCTION("""COMPUTED_VALUE"""),1.3705541E7)</f>
        <v>13705541</v>
      </c>
      <c r="AF13" s="177">
        <f t="shared" si="3"/>
        <v>0.0006099420744</v>
      </c>
      <c r="AG13" s="177"/>
      <c r="AH13" s="177"/>
      <c r="AI13" s="189"/>
      <c r="AJ13" s="140"/>
      <c r="AK13" s="140"/>
      <c r="AL13" s="176">
        <f>IFERROR(__xludf.DUMMYFUNCTION("""COMPUTED_VALUE"""),45391.64583333333)</f>
        <v>45391.64583</v>
      </c>
      <c r="AM13" s="177">
        <f>IFERROR(__xludf.DUMMYFUNCTION("""COMPUTED_VALUE"""),3568.0)</f>
        <v>3568</v>
      </c>
      <c r="AN13" s="177">
        <f>IFERROR(__xludf.DUMMYFUNCTION("""COMPUTED_VALUE"""),3589.0)</f>
        <v>3589</v>
      </c>
      <c r="AO13" s="177">
        <f>IFERROR(__xludf.DUMMYFUNCTION("""COMPUTED_VALUE"""),3527.0)</f>
        <v>3527</v>
      </c>
      <c r="AP13" s="177">
        <f>IFERROR(__xludf.DUMMYFUNCTION("""COMPUTED_VALUE"""),3546.55)</f>
        <v>3546.55</v>
      </c>
      <c r="AQ13" s="177">
        <f>IFERROR(__xludf.DUMMYFUNCTION("""COMPUTED_VALUE"""),649755.0)</f>
        <v>649755</v>
      </c>
      <c r="AR13" s="177">
        <f t="shared" si="4"/>
        <v>-0.00579165767</v>
      </c>
      <c r="AS13" s="177"/>
      <c r="AT13" s="177"/>
      <c r="AU13" s="189"/>
      <c r="AV13" s="140"/>
      <c r="AW13" s="140"/>
      <c r="AX13" s="176">
        <f>IFERROR(__xludf.DUMMYFUNCTION("""COMPUTED_VALUE"""),45391.64583333333)</f>
        <v>45391.64583</v>
      </c>
      <c r="AY13" s="177">
        <f>IFERROR(__xludf.DUMMYFUNCTION("""COMPUTED_VALUE"""),430.45)</f>
        <v>430.45</v>
      </c>
      <c r="AZ13" s="177">
        <f>IFERROR(__xludf.DUMMYFUNCTION("""COMPUTED_VALUE"""),431.5)</f>
        <v>431.5</v>
      </c>
      <c r="BA13" s="177">
        <f>IFERROR(__xludf.DUMMYFUNCTION("""COMPUTED_VALUE"""),425.55)</f>
        <v>425.55</v>
      </c>
      <c r="BB13" s="177">
        <f>IFERROR(__xludf.DUMMYFUNCTION("""COMPUTED_VALUE"""),426.35)</f>
        <v>426.35</v>
      </c>
      <c r="BC13" s="177">
        <f>IFERROR(__xludf.DUMMYFUNCTION("""COMPUTED_VALUE"""),6708894.0)</f>
        <v>6708894</v>
      </c>
      <c r="BD13" s="177">
        <f t="shared" si="5"/>
        <v>-0.006429386809</v>
      </c>
      <c r="BE13" s="177"/>
      <c r="BF13" s="177"/>
      <c r="BG13" s="189"/>
      <c r="BH13" s="140"/>
      <c r="BI13" s="140"/>
      <c r="BJ13" s="140"/>
      <c r="BK13" s="190" t="s">
        <v>224</v>
      </c>
      <c r="BL13" s="192">
        <v>0.0014539536230437622</v>
      </c>
      <c r="BM13" s="192">
        <v>0.04322573374940458</v>
      </c>
      <c r="BN13" s="192">
        <v>0.03125030518120927</v>
      </c>
      <c r="BO13" s="192">
        <v>0.03469536985408039</v>
      </c>
      <c r="BP13" s="152"/>
      <c r="BQ13" s="193" t="s">
        <v>240</v>
      </c>
      <c r="BR13" s="193" t="s">
        <v>218</v>
      </c>
      <c r="BS13" s="194" t="s">
        <v>224</v>
      </c>
      <c r="BT13" s="194" t="s">
        <v>87</v>
      </c>
      <c r="BU13" s="194" t="s">
        <v>225</v>
      </c>
      <c r="BV13" s="152"/>
      <c r="BW13" s="140"/>
      <c r="BX13" s="140"/>
      <c r="BY13" s="140"/>
    </row>
    <row r="14" ht="15.75" customHeight="1">
      <c r="A14" s="168"/>
      <c r="B14" s="169">
        <v>45392.0</v>
      </c>
      <c r="C14" s="170">
        <v>6293.12</v>
      </c>
      <c r="D14" s="170">
        <v>6314.96</v>
      </c>
      <c r="E14" s="170">
        <v>6218.03</v>
      </c>
      <c r="F14" s="170">
        <v>6254.62</v>
      </c>
      <c r="G14" s="171" t="s">
        <v>238</v>
      </c>
      <c r="H14" s="172">
        <f t="shared" si="1"/>
        <v>-0.005864820258</v>
      </c>
      <c r="I14" s="172"/>
      <c r="J14" s="172"/>
      <c r="K14" s="188"/>
      <c r="L14" s="140"/>
      <c r="M14" s="140"/>
      <c r="N14" s="176">
        <f>IFERROR(__xludf.DUMMYFUNCTION("""COMPUTED_VALUE"""),45392.64583333333)</f>
        <v>45392.64583</v>
      </c>
      <c r="O14" s="177">
        <f>IFERROR(__xludf.DUMMYFUNCTION("""COMPUTED_VALUE"""),1110.95)</f>
        <v>1110.95</v>
      </c>
      <c r="P14" s="177">
        <f>IFERROR(__xludf.DUMMYFUNCTION("""COMPUTED_VALUE"""),1116.55)</f>
        <v>1116.55</v>
      </c>
      <c r="Q14" s="177">
        <f>IFERROR(__xludf.DUMMYFUNCTION("""COMPUTED_VALUE"""),1105.15)</f>
        <v>1105.15</v>
      </c>
      <c r="R14" s="177">
        <f>IFERROR(__xludf.DUMMYFUNCTION("""COMPUTED_VALUE"""),1109.4)</f>
        <v>1109.4</v>
      </c>
      <c r="S14" s="177">
        <f>IFERROR(__xludf.DUMMYFUNCTION("""COMPUTED_VALUE"""),1.0598E7)</f>
        <v>10598000</v>
      </c>
      <c r="T14" s="177">
        <f t="shared" si="2"/>
        <v>0.002120508814</v>
      </c>
      <c r="U14" s="178"/>
      <c r="V14" s="177"/>
      <c r="W14" s="189"/>
      <c r="X14" s="140"/>
      <c r="Y14" s="140"/>
      <c r="Z14" s="176">
        <f>IFERROR(__xludf.DUMMYFUNCTION("""COMPUTED_VALUE"""),45392.64583333333)</f>
        <v>45392.64583</v>
      </c>
      <c r="AA14" s="177">
        <f>IFERROR(__xludf.DUMMYFUNCTION("""COMPUTED_VALUE"""),325.0)</f>
        <v>325</v>
      </c>
      <c r="AB14" s="177">
        <f>IFERROR(__xludf.DUMMYFUNCTION("""COMPUTED_VALUE"""),330.0)</f>
        <v>330</v>
      </c>
      <c r="AC14" s="177">
        <f>IFERROR(__xludf.DUMMYFUNCTION("""COMPUTED_VALUE"""),317.15)</f>
        <v>317.15</v>
      </c>
      <c r="AD14" s="177">
        <f>IFERROR(__xludf.DUMMYFUNCTION("""COMPUTED_VALUE"""),326.7)</f>
        <v>326.7</v>
      </c>
      <c r="AE14" s="177">
        <f>IFERROR(__xludf.DUMMYFUNCTION("""COMPUTED_VALUE"""),1.7295594E7)</f>
        <v>17295594</v>
      </c>
      <c r="AF14" s="177">
        <f t="shared" si="3"/>
        <v>-0.003971289777</v>
      </c>
      <c r="AG14" s="177"/>
      <c r="AH14" s="177"/>
      <c r="AI14" s="189"/>
      <c r="AJ14" s="140"/>
      <c r="AK14" s="140"/>
      <c r="AL14" s="176">
        <f>IFERROR(__xludf.DUMMYFUNCTION("""COMPUTED_VALUE"""),45392.64583333333)</f>
        <v>45392.64583</v>
      </c>
      <c r="AM14" s="177">
        <f>IFERROR(__xludf.DUMMYFUNCTION("""COMPUTED_VALUE"""),3550.0)</f>
        <v>3550</v>
      </c>
      <c r="AN14" s="177">
        <f>IFERROR(__xludf.DUMMYFUNCTION("""COMPUTED_VALUE"""),3623.6)</f>
        <v>3623.6</v>
      </c>
      <c r="AO14" s="177">
        <f>IFERROR(__xludf.DUMMYFUNCTION("""COMPUTED_VALUE"""),3548.65)</f>
        <v>3548.65</v>
      </c>
      <c r="AP14" s="177">
        <f>IFERROR(__xludf.DUMMYFUNCTION("""COMPUTED_VALUE"""),3565.4)</f>
        <v>3565.4</v>
      </c>
      <c r="AQ14" s="177">
        <f>IFERROR(__xludf.DUMMYFUNCTION("""COMPUTED_VALUE"""),1160813.0)</f>
        <v>1160813</v>
      </c>
      <c r="AR14" s="177">
        <f t="shared" si="4"/>
        <v>0.005300949568</v>
      </c>
      <c r="AS14" s="177"/>
      <c r="AT14" s="177"/>
      <c r="AU14" s="189"/>
      <c r="AV14" s="140"/>
      <c r="AW14" s="140"/>
      <c r="AX14" s="176">
        <f>IFERROR(__xludf.DUMMYFUNCTION("""COMPUTED_VALUE"""),45392.64583333333)</f>
        <v>45392.64583</v>
      </c>
      <c r="AY14" s="177">
        <f>IFERROR(__xludf.DUMMYFUNCTION("""COMPUTED_VALUE"""),428.3)</f>
        <v>428.3</v>
      </c>
      <c r="AZ14" s="177">
        <f>IFERROR(__xludf.DUMMYFUNCTION("""COMPUTED_VALUE"""),437.8)</f>
        <v>437.8</v>
      </c>
      <c r="BA14" s="177">
        <f>IFERROR(__xludf.DUMMYFUNCTION("""COMPUTED_VALUE"""),425.75)</f>
        <v>425.75</v>
      </c>
      <c r="BB14" s="177">
        <f>IFERROR(__xludf.DUMMYFUNCTION("""COMPUTED_VALUE"""),436.95)</f>
        <v>436.95</v>
      </c>
      <c r="BC14" s="177">
        <f>IFERROR(__xludf.DUMMYFUNCTION("""COMPUTED_VALUE"""),1.4008124E7)</f>
        <v>14008124</v>
      </c>
      <c r="BD14" s="177">
        <f t="shared" si="5"/>
        <v>0.02455816689</v>
      </c>
      <c r="BE14" s="177"/>
      <c r="BF14" s="177"/>
      <c r="BG14" s="189"/>
      <c r="BH14" s="140"/>
      <c r="BI14" s="140"/>
      <c r="BJ14" s="140"/>
      <c r="BK14" s="190" t="s">
        <v>87</v>
      </c>
      <c r="BL14" s="192">
        <v>0.005847810520365858</v>
      </c>
      <c r="BM14" s="192">
        <v>0.03125030518120927</v>
      </c>
      <c r="BN14" s="192">
        <v>0.13848429241902913</v>
      </c>
      <c r="BO14" s="192">
        <v>0.07443370120099804</v>
      </c>
      <c r="BP14" s="152"/>
      <c r="BQ14" s="193" t="s">
        <v>241</v>
      </c>
      <c r="BR14" s="195">
        <v>0.25</v>
      </c>
      <c r="BS14" s="195">
        <v>0.25</v>
      </c>
      <c r="BT14" s="195">
        <v>0.25</v>
      </c>
      <c r="BU14" s="195">
        <v>0.25</v>
      </c>
      <c r="BV14" s="152"/>
      <c r="BW14" s="140"/>
      <c r="BX14" s="140"/>
      <c r="BY14" s="140"/>
    </row>
    <row r="15" ht="15.75" customHeight="1">
      <c r="A15" s="168"/>
      <c r="B15" s="169">
        <v>45394.0</v>
      </c>
      <c r="C15" s="170">
        <v>6354.25</v>
      </c>
      <c r="D15" s="170">
        <v>6534.13</v>
      </c>
      <c r="E15" s="170">
        <v>6270.12</v>
      </c>
      <c r="F15" s="170">
        <v>6292.97</v>
      </c>
      <c r="G15" s="171" t="s">
        <v>238</v>
      </c>
      <c r="H15" s="172">
        <f t="shared" si="1"/>
        <v>0.006112746657</v>
      </c>
      <c r="I15" s="172"/>
      <c r="J15" s="172"/>
      <c r="K15" s="188"/>
      <c r="L15" s="140"/>
      <c r="M15" s="140"/>
      <c r="N15" s="176">
        <f>IFERROR(__xludf.DUMMYFUNCTION("""COMPUTED_VALUE"""),45394.64583333333)</f>
        <v>45394.64583</v>
      </c>
      <c r="O15" s="177">
        <f>IFERROR(__xludf.DUMMYFUNCTION("""COMPUTED_VALUE"""),1103.5)</f>
        <v>1103.5</v>
      </c>
      <c r="P15" s="177">
        <f>IFERROR(__xludf.DUMMYFUNCTION("""COMPUTED_VALUE"""),1111.85)</f>
        <v>1111.85</v>
      </c>
      <c r="Q15" s="177">
        <f>IFERROR(__xludf.DUMMYFUNCTION("""COMPUTED_VALUE"""),1095.8)</f>
        <v>1095.8</v>
      </c>
      <c r="R15" s="177">
        <f>IFERROR(__xludf.DUMMYFUNCTION("""COMPUTED_VALUE"""),1104.4)</f>
        <v>1104.4</v>
      </c>
      <c r="S15" s="177">
        <f>IFERROR(__xludf.DUMMYFUNCTION("""COMPUTED_VALUE"""),1.2216657E7)</f>
        <v>12216657</v>
      </c>
      <c r="T15" s="177">
        <f t="shared" si="2"/>
        <v>-0.004517127565</v>
      </c>
      <c r="U15" s="178"/>
      <c r="V15" s="177"/>
      <c r="W15" s="189"/>
      <c r="X15" s="140"/>
      <c r="Y15" s="140"/>
      <c r="Z15" s="176">
        <f>IFERROR(__xludf.DUMMYFUNCTION("""COMPUTED_VALUE"""),45394.64583333333)</f>
        <v>45394.64583</v>
      </c>
      <c r="AA15" s="177">
        <f>IFERROR(__xludf.DUMMYFUNCTION("""COMPUTED_VALUE"""),331.9)</f>
        <v>331.9</v>
      </c>
      <c r="AB15" s="177">
        <f>IFERROR(__xludf.DUMMYFUNCTION("""COMPUTED_VALUE"""),336.0)</f>
        <v>336</v>
      </c>
      <c r="AC15" s="177">
        <f>IFERROR(__xludf.DUMMYFUNCTION("""COMPUTED_VALUE"""),323.7)</f>
        <v>323.7</v>
      </c>
      <c r="AD15" s="177">
        <f>IFERROR(__xludf.DUMMYFUNCTION("""COMPUTED_VALUE"""),328.05)</f>
        <v>328.05</v>
      </c>
      <c r="AE15" s="177">
        <f>IFERROR(__xludf.DUMMYFUNCTION("""COMPUTED_VALUE"""),2.0855397E7)</f>
        <v>20855397</v>
      </c>
      <c r="AF15" s="177">
        <f t="shared" si="3"/>
        <v>0.004123717184</v>
      </c>
      <c r="AG15" s="177"/>
      <c r="AH15" s="177"/>
      <c r="AI15" s="189"/>
      <c r="AJ15" s="140"/>
      <c r="AK15" s="140"/>
      <c r="AL15" s="176">
        <f>IFERROR(__xludf.DUMMYFUNCTION("""COMPUTED_VALUE"""),45394.64583333333)</f>
        <v>45394.64583</v>
      </c>
      <c r="AM15" s="177">
        <f>IFERROR(__xludf.DUMMYFUNCTION("""COMPUTED_VALUE"""),3565.0)</f>
        <v>3565</v>
      </c>
      <c r="AN15" s="177">
        <f>IFERROR(__xludf.DUMMYFUNCTION("""COMPUTED_VALUE"""),3677.55)</f>
        <v>3677.55</v>
      </c>
      <c r="AO15" s="177">
        <f>IFERROR(__xludf.DUMMYFUNCTION("""COMPUTED_VALUE"""),3550.0)</f>
        <v>3550</v>
      </c>
      <c r="AP15" s="177">
        <f>IFERROR(__xludf.DUMMYFUNCTION("""COMPUTED_VALUE"""),3638.1)</f>
        <v>3638.1</v>
      </c>
      <c r="AQ15" s="177">
        <f>IFERROR(__xludf.DUMMYFUNCTION("""COMPUTED_VALUE"""),3042596.0)</f>
        <v>3042596</v>
      </c>
      <c r="AR15" s="177">
        <f t="shared" si="4"/>
        <v>0.02018531781</v>
      </c>
      <c r="AS15" s="177"/>
      <c r="AT15" s="177"/>
      <c r="AU15" s="189"/>
      <c r="AV15" s="140"/>
      <c r="AW15" s="140"/>
      <c r="AX15" s="176">
        <f>IFERROR(__xludf.DUMMYFUNCTION("""COMPUTED_VALUE"""),45394.64583333333)</f>
        <v>45394.64583</v>
      </c>
      <c r="AY15" s="177">
        <f>IFERROR(__xludf.DUMMYFUNCTION("""COMPUTED_VALUE"""),435.0)</f>
        <v>435</v>
      </c>
      <c r="AZ15" s="177">
        <f>IFERROR(__xludf.DUMMYFUNCTION("""COMPUTED_VALUE"""),435.75)</f>
        <v>435.75</v>
      </c>
      <c r="BA15" s="177">
        <f>IFERROR(__xludf.DUMMYFUNCTION("""COMPUTED_VALUE"""),428.3)</f>
        <v>428.3</v>
      </c>
      <c r="BB15" s="177">
        <f>IFERROR(__xludf.DUMMYFUNCTION("""COMPUTED_VALUE"""),430.1)</f>
        <v>430.1</v>
      </c>
      <c r="BC15" s="177">
        <f>IFERROR(__xludf.DUMMYFUNCTION("""COMPUTED_VALUE"""),1.8088372E7)</f>
        <v>18088372</v>
      </c>
      <c r="BD15" s="177">
        <f t="shared" si="5"/>
        <v>-0.01580103228</v>
      </c>
      <c r="BE15" s="177"/>
      <c r="BF15" s="177"/>
      <c r="BG15" s="189"/>
      <c r="BH15" s="140"/>
      <c r="BI15" s="140"/>
      <c r="BJ15" s="140"/>
      <c r="BK15" s="196" t="s">
        <v>225</v>
      </c>
      <c r="BL15" s="197">
        <v>0.005089578569622148</v>
      </c>
      <c r="BM15" s="197">
        <v>0.03469536985408039</v>
      </c>
      <c r="BN15" s="197">
        <v>0.07443370120099804</v>
      </c>
      <c r="BO15" s="197">
        <v>0.19153163115129854</v>
      </c>
      <c r="BP15" s="152"/>
      <c r="BQ15" s="194" t="s">
        <v>236</v>
      </c>
      <c r="BR15" s="198">
        <f>(1 + 'Part A'!$J$7)^252 - 1
</f>
        <v>0.4535905181</v>
      </c>
      <c r="BS15" s="198">
        <f>(1 + 'Part A'!$V$7)^252 - 1
</f>
        <v>0.2810465355</v>
      </c>
      <c r="BT15" s="198">
        <f>(1 + 'Part A'!$AH$7)^252 - 1
</f>
        <v>0.2785753494</v>
      </c>
      <c r="BU15" s="198">
        <f>(1 + 'Part A'!$AT$7)^252 - 1
</f>
        <v>0.3007189872</v>
      </c>
      <c r="BV15" s="152"/>
      <c r="BW15" s="140"/>
      <c r="BX15" s="140"/>
      <c r="BY15" s="140"/>
    </row>
    <row r="16" ht="15.75" customHeight="1">
      <c r="A16" s="168"/>
      <c r="B16" s="169">
        <v>45397.0</v>
      </c>
      <c r="C16" s="170">
        <v>6296.74</v>
      </c>
      <c r="D16" s="170">
        <v>6410.33</v>
      </c>
      <c r="E16" s="170">
        <v>6239.58</v>
      </c>
      <c r="F16" s="170">
        <v>6393.08</v>
      </c>
      <c r="G16" s="171" t="s">
        <v>238</v>
      </c>
      <c r="H16" s="172">
        <f t="shared" si="1"/>
        <v>0.01578301806</v>
      </c>
      <c r="I16" s="172"/>
      <c r="J16" s="172"/>
      <c r="K16" s="188"/>
      <c r="L16" s="140"/>
      <c r="M16" s="140"/>
      <c r="N16" s="176">
        <f>IFERROR(__xludf.DUMMYFUNCTION("""COMPUTED_VALUE"""),45397.64583333333)</f>
        <v>45397.64583</v>
      </c>
      <c r="O16" s="177">
        <f>IFERROR(__xludf.DUMMYFUNCTION("""COMPUTED_VALUE"""),1100.2)</f>
        <v>1100.2</v>
      </c>
      <c r="P16" s="177">
        <f>IFERROR(__xludf.DUMMYFUNCTION("""COMPUTED_VALUE"""),1106.15)</f>
        <v>1106.15</v>
      </c>
      <c r="Q16" s="177">
        <f>IFERROR(__xludf.DUMMYFUNCTION("""COMPUTED_VALUE"""),1076.6)</f>
        <v>1076.6</v>
      </c>
      <c r="R16" s="177">
        <f>IFERROR(__xludf.DUMMYFUNCTION("""COMPUTED_VALUE"""),1078.35)</f>
        <v>1078.35</v>
      </c>
      <c r="S16" s="177">
        <f>IFERROR(__xludf.DUMMYFUNCTION("""COMPUTED_VALUE"""),1.0526597E7)</f>
        <v>10526597</v>
      </c>
      <c r="T16" s="177">
        <f t="shared" si="2"/>
        <v>-0.02387010596</v>
      </c>
      <c r="U16" s="178"/>
      <c r="V16" s="177"/>
      <c r="W16" s="189"/>
      <c r="X16" s="140"/>
      <c r="Y16" s="140"/>
      <c r="Z16" s="176">
        <f>IFERROR(__xludf.DUMMYFUNCTION("""COMPUTED_VALUE"""),45397.64583333333)</f>
        <v>45397.64583</v>
      </c>
      <c r="AA16" s="177">
        <f>IFERROR(__xludf.DUMMYFUNCTION("""COMPUTED_VALUE"""),322.35)</f>
        <v>322.35</v>
      </c>
      <c r="AB16" s="177">
        <f>IFERROR(__xludf.DUMMYFUNCTION("""COMPUTED_VALUE"""),337.75)</f>
        <v>337.75</v>
      </c>
      <c r="AC16" s="177">
        <f>IFERROR(__xludf.DUMMYFUNCTION("""COMPUTED_VALUE"""),322.25)</f>
        <v>322.25</v>
      </c>
      <c r="AD16" s="177">
        <f>IFERROR(__xludf.DUMMYFUNCTION("""COMPUTED_VALUE"""),334.55)</f>
        <v>334.55</v>
      </c>
      <c r="AE16" s="177">
        <f>IFERROR(__xludf.DUMMYFUNCTION("""COMPUTED_VALUE"""),1.54309E7)</f>
        <v>15430900</v>
      </c>
      <c r="AF16" s="177">
        <f t="shared" si="3"/>
        <v>0.01962030944</v>
      </c>
      <c r="AG16" s="177"/>
      <c r="AH16" s="177"/>
      <c r="AI16" s="189"/>
      <c r="AJ16" s="140"/>
      <c r="AK16" s="140"/>
      <c r="AL16" s="176">
        <f>IFERROR(__xludf.DUMMYFUNCTION("""COMPUTED_VALUE"""),45397.64583333333)</f>
        <v>45397.64583</v>
      </c>
      <c r="AM16" s="177">
        <f>IFERROR(__xludf.DUMMYFUNCTION("""COMPUTED_VALUE"""),3640.0)</f>
        <v>3640</v>
      </c>
      <c r="AN16" s="177">
        <f>IFERROR(__xludf.DUMMYFUNCTION("""COMPUTED_VALUE"""),3700.0)</f>
        <v>3700</v>
      </c>
      <c r="AO16" s="177">
        <f>IFERROR(__xludf.DUMMYFUNCTION("""COMPUTED_VALUE"""),3564.05)</f>
        <v>3564.05</v>
      </c>
      <c r="AP16" s="177">
        <f>IFERROR(__xludf.DUMMYFUNCTION("""COMPUTED_VALUE"""),3629.25)</f>
        <v>3629.25</v>
      </c>
      <c r="AQ16" s="177">
        <f>IFERROR(__xludf.DUMMYFUNCTION("""COMPUTED_VALUE"""),3848159.0)</f>
        <v>3848159</v>
      </c>
      <c r="AR16" s="177">
        <f t="shared" si="4"/>
        <v>-0.002435551989</v>
      </c>
      <c r="AS16" s="177"/>
      <c r="AT16" s="177"/>
      <c r="AU16" s="189"/>
      <c r="AV16" s="140"/>
      <c r="AW16" s="140"/>
      <c r="AX16" s="176">
        <f>IFERROR(__xludf.DUMMYFUNCTION("""COMPUTED_VALUE"""),45397.64583333333)</f>
        <v>45397.64583</v>
      </c>
      <c r="AY16" s="177">
        <f>IFERROR(__xludf.DUMMYFUNCTION("""COMPUTED_VALUE"""),428.0)</f>
        <v>428</v>
      </c>
      <c r="AZ16" s="177">
        <f>IFERROR(__xludf.DUMMYFUNCTION("""COMPUTED_VALUE"""),429.15)</f>
        <v>429.15</v>
      </c>
      <c r="BA16" s="177">
        <f>IFERROR(__xludf.DUMMYFUNCTION("""COMPUTED_VALUE"""),422.9)</f>
        <v>422.9</v>
      </c>
      <c r="BB16" s="177">
        <f>IFERROR(__xludf.DUMMYFUNCTION("""COMPUTED_VALUE"""),425.9)</f>
        <v>425.9</v>
      </c>
      <c r="BC16" s="177">
        <f>IFERROR(__xludf.DUMMYFUNCTION("""COMPUTED_VALUE"""),8746243.0)</f>
        <v>8746243</v>
      </c>
      <c r="BD16" s="177">
        <f t="shared" si="5"/>
        <v>-0.009813162861</v>
      </c>
      <c r="BE16" s="177"/>
      <c r="BF16" s="177"/>
      <c r="BG16" s="189"/>
      <c r="BH16" s="140"/>
      <c r="BI16" s="140"/>
      <c r="BJ16" s="140"/>
      <c r="BK16" s="152"/>
      <c r="BL16" s="152"/>
      <c r="BM16" s="152"/>
      <c r="BN16" s="152"/>
      <c r="BO16" s="152"/>
      <c r="BP16" s="152"/>
      <c r="BQ16" s="199" t="s">
        <v>234</v>
      </c>
      <c r="BR16" s="200">
        <f>STDEV('Part A'!$H$7:$H$271)*(252)^0.5</f>
        <v>0.1699994359</v>
      </c>
      <c r="BS16" s="200">
        <f>STDEV(T7:T271)*15.8745078664</f>
        <v>0.2083013864</v>
      </c>
      <c r="BT16" s="200">
        <f>STDEV(AF8:AF271)*15.8745078664</f>
        <v>0.373545833</v>
      </c>
      <c r="BU16" s="200">
        <f>STDEV('Part A'!$AR$7:$AR$271)*15.8745078664</f>
        <v>0.4384713557</v>
      </c>
      <c r="BV16" s="152"/>
      <c r="BW16" s="140"/>
      <c r="BX16" s="140"/>
      <c r="BY16" s="140"/>
    </row>
    <row r="17" ht="15.75" customHeight="1">
      <c r="A17" s="168"/>
      <c r="B17" s="169">
        <v>45398.0</v>
      </c>
      <c r="C17" s="170">
        <v>6398.04</v>
      </c>
      <c r="D17" s="170">
        <v>6450.94</v>
      </c>
      <c r="E17" s="170">
        <v>6345.29</v>
      </c>
      <c r="F17" s="170">
        <v>6406.13</v>
      </c>
      <c r="G17" s="171" t="s">
        <v>238</v>
      </c>
      <c r="H17" s="172">
        <f t="shared" si="1"/>
        <v>0.002039189063</v>
      </c>
      <c r="I17" s="172"/>
      <c r="J17" s="172"/>
      <c r="K17" s="188"/>
      <c r="L17" s="140"/>
      <c r="M17" s="140"/>
      <c r="N17" s="176">
        <f>IFERROR(__xludf.DUMMYFUNCTION("""COMPUTED_VALUE"""),45398.64583333333)</f>
        <v>45398.64583</v>
      </c>
      <c r="O17" s="177">
        <f>IFERROR(__xludf.DUMMYFUNCTION("""COMPUTED_VALUE"""),1070.55)</f>
        <v>1070.55</v>
      </c>
      <c r="P17" s="177">
        <f>IFERROR(__xludf.DUMMYFUNCTION("""COMPUTED_VALUE"""),1074.6)</f>
        <v>1074.6</v>
      </c>
      <c r="Q17" s="177">
        <f>IFERROR(__xludf.DUMMYFUNCTION("""COMPUTED_VALUE"""),1062.7)</f>
        <v>1062.7</v>
      </c>
      <c r="R17" s="177">
        <f>IFERROR(__xludf.DUMMYFUNCTION("""COMPUTED_VALUE"""),1067.05)</f>
        <v>1067.05</v>
      </c>
      <c r="S17" s="177">
        <f>IFERROR(__xludf.DUMMYFUNCTION("""COMPUTED_VALUE"""),1.1278092E7)</f>
        <v>11278092</v>
      </c>
      <c r="T17" s="177">
        <f t="shared" si="2"/>
        <v>-0.01053426354</v>
      </c>
      <c r="U17" s="178"/>
      <c r="V17" s="177"/>
      <c r="W17" s="189"/>
      <c r="X17" s="140"/>
      <c r="Y17" s="140"/>
      <c r="Z17" s="176">
        <f>IFERROR(__xludf.DUMMYFUNCTION("""COMPUTED_VALUE"""),45398.64583333333)</f>
        <v>45398.64583</v>
      </c>
      <c r="AA17" s="177">
        <f>IFERROR(__xludf.DUMMYFUNCTION("""COMPUTED_VALUE"""),336.8)</f>
        <v>336.8</v>
      </c>
      <c r="AB17" s="177">
        <f>IFERROR(__xludf.DUMMYFUNCTION("""COMPUTED_VALUE"""),339.15)</f>
        <v>339.15</v>
      </c>
      <c r="AC17" s="177">
        <f>IFERROR(__xludf.DUMMYFUNCTION("""COMPUTED_VALUE"""),326.45)</f>
        <v>326.45</v>
      </c>
      <c r="AD17" s="177">
        <f>IFERROR(__xludf.DUMMYFUNCTION("""COMPUTED_VALUE"""),332.5)</f>
        <v>332.5</v>
      </c>
      <c r="AE17" s="177">
        <f>IFERROR(__xludf.DUMMYFUNCTION("""COMPUTED_VALUE"""),1.499568E7)</f>
        <v>14995680</v>
      </c>
      <c r="AF17" s="177">
        <f t="shared" si="3"/>
        <v>-0.006146485133</v>
      </c>
      <c r="AG17" s="177"/>
      <c r="AH17" s="177"/>
      <c r="AI17" s="189"/>
      <c r="AJ17" s="140"/>
      <c r="AK17" s="140"/>
      <c r="AL17" s="176">
        <f>IFERROR(__xludf.DUMMYFUNCTION("""COMPUTED_VALUE"""),45398.64583333333)</f>
        <v>45398.64583</v>
      </c>
      <c r="AM17" s="177">
        <f>IFERROR(__xludf.DUMMYFUNCTION("""COMPUTED_VALUE"""),3626.0)</f>
        <v>3626</v>
      </c>
      <c r="AN17" s="177">
        <f>IFERROR(__xludf.DUMMYFUNCTION("""COMPUTED_VALUE"""),3738.95)</f>
        <v>3738.95</v>
      </c>
      <c r="AO17" s="177">
        <f>IFERROR(__xludf.DUMMYFUNCTION("""COMPUTED_VALUE"""),3585.35)</f>
        <v>3585.35</v>
      </c>
      <c r="AP17" s="177">
        <f>IFERROR(__xludf.DUMMYFUNCTION("""COMPUTED_VALUE"""),3722.15)</f>
        <v>3722.15</v>
      </c>
      <c r="AQ17" s="177">
        <f>IFERROR(__xludf.DUMMYFUNCTION("""COMPUTED_VALUE"""),2939862.0)</f>
        <v>2939862</v>
      </c>
      <c r="AR17" s="177">
        <f t="shared" si="4"/>
        <v>0.02527544296</v>
      </c>
      <c r="AS17" s="177"/>
      <c r="AT17" s="177"/>
      <c r="AU17" s="189"/>
      <c r="AV17" s="140"/>
      <c r="AW17" s="140"/>
      <c r="AX17" s="176">
        <f>IFERROR(__xludf.DUMMYFUNCTION("""COMPUTED_VALUE"""),45398.64583333333)</f>
        <v>45398.64583</v>
      </c>
      <c r="AY17" s="177">
        <f>IFERROR(__xludf.DUMMYFUNCTION("""COMPUTED_VALUE"""),423.25)</f>
        <v>423.25</v>
      </c>
      <c r="AZ17" s="177">
        <f>IFERROR(__xludf.DUMMYFUNCTION("""COMPUTED_VALUE"""),427.0)</f>
        <v>427</v>
      </c>
      <c r="BA17" s="177">
        <f>IFERROR(__xludf.DUMMYFUNCTION("""COMPUTED_VALUE"""),423.2)</f>
        <v>423.2</v>
      </c>
      <c r="BB17" s="177">
        <f>IFERROR(__xludf.DUMMYFUNCTION("""COMPUTED_VALUE"""),425.9)</f>
        <v>425.9</v>
      </c>
      <c r="BC17" s="177">
        <f>IFERROR(__xludf.DUMMYFUNCTION("""COMPUTED_VALUE"""),9973638.0)</f>
        <v>9973638</v>
      </c>
      <c r="BD17" s="177">
        <f t="shared" si="5"/>
        <v>0</v>
      </c>
      <c r="BE17" s="177"/>
      <c r="BF17" s="177"/>
      <c r="BG17" s="189"/>
      <c r="BH17" s="140"/>
      <c r="BI17" s="140"/>
      <c r="BJ17" s="140"/>
      <c r="BK17" s="152"/>
      <c r="BL17" s="152"/>
      <c r="BM17" s="152"/>
      <c r="BN17" s="152"/>
      <c r="BO17" s="152"/>
      <c r="BP17" s="152"/>
      <c r="BQ17" s="193" t="s">
        <v>242</v>
      </c>
      <c r="BR17" s="193" t="s">
        <v>243</v>
      </c>
      <c r="BS17" s="193" t="s">
        <v>244</v>
      </c>
      <c r="BT17" s="193" t="s">
        <v>245</v>
      </c>
      <c r="BU17" s="193" t="s">
        <v>246</v>
      </c>
      <c r="BV17" s="193" t="s">
        <v>247</v>
      </c>
      <c r="BW17" s="140"/>
      <c r="BX17" s="140"/>
      <c r="BY17" s="140"/>
    </row>
    <row r="18" ht="15.75" customHeight="1">
      <c r="A18" s="168"/>
      <c r="B18" s="169">
        <v>45400.0</v>
      </c>
      <c r="C18" s="170">
        <v>6342.86</v>
      </c>
      <c r="D18" s="170">
        <v>6426.98</v>
      </c>
      <c r="E18" s="170">
        <v>6342.86</v>
      </c>
      <c r="F18" s="170">
        <v>6388.2</v>
      </c>
      <c r="G18" s="171" t="s">
        <v>238</v>
      </c>
      <c r="H18" s="172">
        <f t="shared" si="1"/>
        <v>-0.002802805889</v>
      </c>
      <c r="I18" s="172"/>
      <c r="J18" s="172"/>
      <c r="K18" s="188"/>
      <c r="L18" s="140"/>
      <c r="M18" s="140"/>
      <c r="N18" s="176">
        <f>IFERROR(__xludf.DUMMYFUNCTION("""COMPUTED_VALUE"""),45400.64583333333)</f>
        <v>45400.64583</v>
      </c>
      <c r="O18" s="177">
        <f>IFERROR(__xludf.DUMMYFUNCTION("""COMPUTED_VALUE"""),1074.0)</f>
        <v>1074</v>
      </c>
      <c r="P18" s="177">
        <f>IFERROR(__xludf.DUMMYFUNCTION("""COMPUTED_VALUE"""),1078.05)</f>
        <v>1078.05</v>
      </c>
      <c r="Q18" s="177">
        <f>IFERROR(__xludf.DUMMYFUNCTION("""COMPUTED_VALUE"""),1050.45)</f>
        <v>1050.45</v>
      </c>
      <c r="R18" s="177">
        <f>IFERROR(__xludf.DUMMYFUNCTION("""COMPUTED_VALUE"""),1055.45)</f>
        <v>1055.45</v>
      </c>
      <c r="S18" s="177">
        <f>IFERROR(__xludf.DUMMYFUNCTION("""COMPUTED_VALUE"""),1.6564216E7)</f>
        <v>16564216</v>
      </c>
      <c r="T18" s="177">
        <f t="shared" si="2"/>
        <v>-0.01093061531</v>
      </c>
      <c r="U18" s="178"/>
      <c r="V18" s="177"/>
      <c r="W18" s="189"/>
      <c r="X18" s="140"/>
      <c r="Y18" s="140"/>
      <c r="Z18" s="176">
        <f>IFERROR(__xludf.DUMMYFUNCTION("""COMPUTED_VALUE"""),45400.64583333333)</f>
        <v>45400.64583</v>
      </c>
      <c r="AA18" s="177">
        <f>IFERROR(__xludf.DUMMYFUNCTION("""COMPUTED_VALUE"""),335.5)</f>
        <v>335.5</v>
      </c>
      <c r="AB18" s="177">
        <f>IFERROR(__xludf.DUMMYFUNCTION("""COMPUTED_VALUE"""),353.85)</f>
        <v>353.85</v>
      </c>
      <c r="AC18" s="177">
        <f>IFERROR(__xludf.DUMMYFUNCTION("""COMPUTED_VALUE"""),335.0)</f>
        <v>335</v>
      </c>
      <c r="AD18" s="177">
        <f>IFERROR(__xludf.DUMMYFUNCTION("""COMPUTED_VALUE"""),344.4)</f>
        <v>344.4</v>
      </c>
      <c r="AE18" s="177">
        <f>IFERROR(__xludf.DUMMYFUNCTION("""COMPUTED_VALUE"""),4.0001173E7)</f>
        <v>40001173</v>
      </c>
      <c r="AF18" s="177">
        <f t="shared" si="3"/>
        <v>0.03516391246</v>
      </c>
      <c r="AG18" s="177"/>
      <c r="AH18" s="177"/>
      <c r="AI18" s="189"/>
      <c r="AJ18" s="140"/>
      <c r="AK18" s="140"/>
      <c r="AL18" s="176">
        <f>IFERROR(__xludf.DUMMYFUNCTION("""COMPUTED_VALUE"""),45400.64583333333)</f>
        <v>45400.64583</v>
      </c>
      <c r="AM18" s="177">
        <f>IFERROR(__xludf.DUMMYFUNCTION("""COMPUTED_VALUE"""),3744.0)</f>
        <v>3744</v>
      </c>
      <c r="AN18" s="177">
        <f>IFERROR(__xludf.DUMMYFUNCTION("""COMPUTED_VALUE"""),3768.0)</f>
        <v>3768</v>
      </c>
      <c r="AO18" s="177">
        <f>IFERROR(__xludf.DUMMYFUNCTION("""COMPUTED_VALUE"""),3652.7)</f>
        <v>3652.7</v>
      </c>
      <c r="AP18" s="177">
        <f>IFERROR(__xludf.DUMMYFUNCTION("""COMPUTED_VALUE"""),3677.15)</f>
        <v>3677.15</v>
      </c>
      <c r="AQ18" s="177">
        <f>IFERROR(__xludf.DUMMYFUNCTION("""COMPUTED_VALUE"""),2294396.0)</f>
        <v>2294396</v>
      </c>
      <c r="AR18" s="177">
        <f t="shared" si="4"/>
        <v>-0.01216346271</v>
      </c>
      <c r="AS18" s="177"/>
      <c r="AT18" s="177"/>
      <c r="AU18" s="189"/>
      <c r="AV18" s="140"/>
      <c r="AW18" s="140"/>
      <c r="AX18" s="176">
        <f>IFERROR(__xludf.DUMMYFUNCTION("""COMPUTED_VALUE"""),45400.64583333333)</f>
        <v>45400.64583</v>
      </c>
      <c r="AY18" s="177">
        <f>IFERROR(__xludf.DUMMYFUNCTION("""COMPUTED_VALUE"""),426.0)</f>
        <v>426</v>
      </c>
      <c r="AZ18" s="177">
        <f>IFERROR(__xludf.DUMMYFUNCTION("""COMPUTED_VALUE"""),426.9)</f>
        <v>426.9</v>
      </c>
      <c r="BA18" s="177">
        <f>IFERROR(__xludf.DUMMYFUNCTION("""COMPUTED_VALUE"""),417.65)</f>
        <v>417.65</v>
      </c>
      <c r="BB18" s="177">
        <f>IFERROR(__xludf.DUMMYFUNCTION("""COMPUTED_VALUE"""),418.85)</f>
        <v>418.85</v>
      </c>
      <c r="BC18" s="177">
        <f>IFERROR(__xludf.DUMMYFUNCTION("""COMPUTED_VALUE"""),2.1312388E7)</f>
        <v>21312388</v>
      </c>
      <c r="BD18" s="177">
        <f t="shared" si="5"/>
        <v>-0.01669171633</v>
      </c>
      <c r="BE18" s="177"/>
      <c r="BF18" s="177"/>
      <c r="BG18" s="189"/>
      <c r="BH18" s="140"/>
      <c r="BI18" s="140"/>
      <c r="BJ18" s="140"/>
      <c r="BK18" s="152"/>
      <c r="BL18" s="152"/>
      <c r="BM18" s="152"/>
      <c r="BN18" s="152"/>
      <c r="BO18" s="152"/>
      <c r="BP18" s="152"/>
      <c r="BQ18" s="193" t="s">
        <v>248</v>
      </c>
      <c r="BR18" s="201">
        <f t="array" ref="BR18">MMULT($BR$14:$BU$14, TRANSPOSE($BR$15:$BU$15))</f>
        <v>0.3284828475</v>
      </c>
      <c r="BS18" s="202">
        <f t="array" ref="BS18">MMULT($BR$14:$BU$14, MMULT('Part A'!$BL$6:$BO$9, TRANSPOSE($BR$14:$BU$14)))</f>
        <v>0.04422336547</v>
      </c>
      <c r="BT18" s="202">
        <f t="array" ref="BT18">SQRT(MMULT($BR$14:$BU$14, MMULT('Part A'!$BL$6:$BO$9, TRANSPOSE($BR$14:$BU$14))))</f>
        <v>0.2102935222</v>
      </c>
      <c r="BU18" s="201">
        <f t="array" ref="BU18">SQRT(MMULT($BR$14:$BU$14, MMULT('Part A'!$BL$6:$BO$9, TRANSPOSE($BR$14:$BU$14))))</f>
        <v>0.2102935222</v>
      </c>
      <c r="BV18" s="203">
        <f>($BR$18-'Part A'!$BI$7)/($BU$18)</f>
        <v>1.283362629</v>
      </c>
      <c r="BW18" s="140"/>
      <c r="BX18" s="140"/>
      <c r="BY18" s="140"/>
    </row>
    <row r="19" ht="15.75" customHeight="1">
      <c r="A19" s="168"/>
      <c r="B19" s="169">
        <v>45401.0</v>
      </c>
      <c r="C19" s="170">
        <v>6389.53</v>
      </c>
      <c r="D19" s="170">
        <v>6500.33</v>
      </c>
      <c r="E19" s="170">
        <v>6364.78</v>
      </c>
      <c r="F19" s="170">
        <v>6408.75</v>
      </c>
      <c r="G19" s="171" t="s">
        <v>238</v>
      </c>
      <c r="H19" s="172">
        <f t="shared" si="1"/>
        <v>0.003211705549</v>
      </c>
      <c r="I19" s="172"/>
      <c r="J19" s="172"/>
      <c r="K19" s="188"/>
      <c r="L19" s="140"/>
      <c r="M19" s="140"/>
      <c r="N19" s="176">
        <f>IFERROR(__xludf.DUMMYFUNCTION("""COMPUTED_VALUE"""),45401.64583333333)</f>
        <v>45401.64583</v>
      </c>
      <c r="O19" s="177">
        <f>IFERROR(__xludf.DUMMYFUNCTION("""COMPUTED_VALUE"""),1052.95)</f>
        <v>1052.95</v>
      </c>
      <c r="P19" s="177">
        <f>IFERROR(__xludf.DUMMYFUNCTION("""COMPUTED_VALUE"""),1072.0)</f>
        <v>1072</v>
      </c>
      <c r="Q19" s="177">
        <f>IFERROR(__xludf.DUMMYFUNCTION("""COMPUTED_VALUE"""),1048.1)</f>
        <v>1048.1</v>
      </c>
      <c r="R19" s="177">
        <f>IFERROR(__xludf.DUMMYFUNCTION("""COMPUTED_VALUE"""),1067.25)</f>
        <v>1067.25</v>
      </c>
      <c r="S19" s="177">
        <f>IFERROR(__xludf.DUMMYFUNCTION("""COMPUTED_VALUE"""),1.1284433E7)</f>
        <v>11284433</v>
      </c>
      <c r="T19" s="177">
        <f t="shared" si="2"/>
        <v>0.01111803039</v>
      </c>
      <c r="U19" s="178"/>
      <c r="V19" s="177"/>
      <c r="W19" s="189"/>
      <c r="X19" s="140"/>
      <c r="Y19" s="140"/>
      <c r="Z19" s="176">
        <f>IFERROR(__xludf.DUMMYFUNCTION("""COMPUTED_VALUE"""),45401.64583333333)</f>
        <v>45401.64583</v>
      </c>
      <c r="AA19" s="177">
        <f>IFERROR(__xludf.DUMMYFUNCTION("""COMPUTED_VALUE"""),342.05)</f>
        <v>342.05</v>
      </c>
      <c r="AB19" s="177">
        <f>IFERROR(__xludf.DUMMYFUNCTION("""COMPUTED_VALUE"""),359.5)</f>
        <v>359.5</v>
      </c>
      <c r="AC19" s="177">
        <f>IFERROR(__xludf.DUMMYFUNCTION("""COMPUTED_VALUE"""),336.85)</f>
        <v>336.85</v>
      </c>
      <c r="AD19" s="177">
        <f>IFERROR(__xludf.DUMMYFUNCTION("""COMPUTED_VALUE"""),351.4)</f>
        <v>351.4</v>
      </c>
      <c r="AE19" s="177">
        <f>IFERROR(__xludf.DUMMYFUNCTION("""COMPUTED_VALUE"""),4.0376246E7)</f>
        <v>40376246</v>
      </c>
      <c r="AF19" s="177">
        <f t="shared" si="3"/>
        <v>0.0201214032</v>
      </c>
      <c r="AG19" s="177"/>
      <c r="AH19" s="177"/>
      <c r="AI19" s="189"/>
      <c r="AJ19" s="140"/>
      <c r="AK19" s="140"/>
      <c r="AL19" s="176">
        <f>IFERROR(__xludf.DUMMYFUNCTION("""COMPUTED_VALUE"""),45401.64583333333)</f>
        <v>45401.64583</v>
      </c>
      <c r="AM19" s="177">
        <f>IFERROR(__xludf.DUMMYFUNCTION("""COMPUTED_VALUE"""),3660.0)</f>
        <v>3660</v>
      </c>
      <c r="AN19" s="177">
        <f>IFERROR(__xludf.DUMMYFUNCTION("""COMPUTED_VALUE"""),3761.15)</f>
        <v>3761.15</v>
      </c>
      <c r="AO19" s="177">
        <f>IFERROR(__xludf.DUMMYFUNCTION("""COMPUTED_VALUE"""),3621.0)</f>
        <v>3621</v>
      </c>
      <c r="AP19" s="177">
        <f>IFERROR(__xludf.DUMMYFUNCTION("""COMPUTED_VALUE"""),3751.3)</f>
        <v>3751.3</v>
      </c>
      <c r="AQ19" s="177">
        <f>IFERROR(__xludf.DUMMYFUNCTION("""COMPUTED_VALUE"""),2256325.0)</f>
        <v>2256325</v>
      </c>
      <c r="AR19" s="177">
        <f t="shared" si="4"/>
        <v>0.01996445096</v>
      </c>
      <c r="AS19" s="177"/>
      <c r="AT19" s="177"/>
      <c r="AU19" s="189"/>
      <c r="AV19" s="140"/>
      <c r="AW19" s="140"/>
      <c r="AX19" s="176">
        <f>IFERROR(__xludf.DUMMYFUNCTION("""COMPUTED_VALUE"""),45401.64583333333)</f>
        <v>45401.64583</v>
      </c>
      <c r="AY19" s="177">
        <f>IFERROR(__xludf.DUMMYFUNCTION("""COMPUTED_VALUE"""),418.0)</f>
        <v>418</v>
      </c>
      <c r="AZ19" s="177">
        <f>IFERROR(__xludf.DUMMYFUNCTION("""COMPUTED_VALUE"""),426.25)</f>
        <v>426.25</v>
      </c>
      <c r="BA19" s="177">
        <f>IFERROR(__xludf.DUMMYFUNCTION("""COMPUTED_VALUE"""),416.0)</f>
        <v>416</v>
      </c>
      <c r="BB19" s="177">
        <f>IFERROR(__xludf.DUMMYFUNCTION("""COMPUTED_VALUE"""),424.75)</f>
        <v>424.75</v>
      </c>
      <c r="BC19" s="177">
        <f>IFERROR(__xludf.DUMMYFUNCTION("""COMPUTED_VALUE"""),1.6582634E7)</f>
        <v>16582634</v>
      </c>
      <c r="BD19" s="177">
        <f t="shared" si="5"/>
        <v>0.01398789995</v>
      </c>
      <c r="BE19" s="177"/>
      <c r="BF19" s="177"/>
      <c r="BG19" s="189"/>
      <c r="BH19" s="140"/>
      <c r="BI19" s="140"/>
      <c r="BJ19" s="140"/>
      <c r="BK19" s="140"/>
      <c r="BL19" s="140"/>
      <c r="BM19" s="140"/>
      <c r="BN19" s="140"/>
      <c r="BO19" s="140"/>
      <c r="BP19" s="140"/>
      <c r="BQ19" s="140"/>
      <c r="BR19" s="140"/>
      <c r="BS19" s="140"/>
      <c r="BT19" s="140"/>
      <c r="BU19" s="140"/>
      <c r="BV19" s="140"/>
      <c r="BW19" s="140"/>
      <c r="BX19" s="140"/>
      <c r="BY19" s="140"/>
    </row>
    <row r="20" ht="15.75" customHeight="1">
      <c r="A20" s="168"/>
      <c r="B20" s="169">
        <v>45404.0</v>
      </c>
      <c r="C20" s="170">
        <v>6402.05</v>
      </c>
      <c r="D20" s="170">
        <v>6403.56</v>
      </c>
      <c r="E20" s="170">
        <v>6232.12</v>
      </c>
      <c r="F20" s="170">
        <v>6234.84</v>
      </c>
      <c r="G20" s="171" t="s">
        <v>238</v>
      </c>
      <c r="H20" s="172">
        <f t="shared" si="1"/>
        <v>-0.0275113269</v>
      </c>
      <c r="I20" s="172"/>
      <c r="J20" s="172"/>
      <c r="K20" s="188"/>
      <c r="L20" s="140"/>
      <c r="M20" s="140"/>
      <c r="N20" s="176">
        <f>IFERROR(__xludf.DUMMYFUNCTION("""COMPUTED_VALUE"""),45404.64583333333)</f>
        <v>45404.64583</v>
      </c>
      <c r="O20" s="177">
        <f>IFERROR(__xludf.DUMMYFUNCTION("""COMPUTED_VALUE"""),1078.8)</f>
        <v>1078.8</v>
      </c>
      <c r="P20" s="177">
        <f>IFERROR(__xludf.DUMMYFUNCTION("""COMPUTED_VALUE"""),1088.7)</f>
        <v>1088.7</v>
      </c>
      <c r="Q20" s="177">
        <f>IFERROR(__xludf.DUMMYFUNCTION("""COMPUTED_VALUE"""),1070.35)</f>
        <v>1070.35</v>
      </c>
      <c r="R20" s="177">
        <f>IFERROR(__xludf.DUMMYFUNCTION("""COMPUTED_VALUE"""),1086.65)</f>
        <v>1086.65</v>
      </c>
      <c r="S20" s="177">
        <f>IFERROR(__xludf.DUMMYFUNCTION("""COMPUTED_VALUE"""),1.0346714E7)</f>
        <v>10346714</v>
      </c>
      <c r="T20" s="177">
        <f t="shared" si="2"/>
        <v>0.01801432251</v>
      </c>
      <c r="U20" s="178"/>
      <c r="V20" s="177"/>
      <c r="W20" s="189"/>
      <c r="X20" s="140"/>
      <c r="Y20" s="140"/>
      <c r="Z20" s="176">
        <f>IFERROR(__xludf.DUMMYFUNCTION("""COMPUTED_VALUE"""),45404.64583333333)</f>
        <v>45404.64583</v>
      </c>
      <c r="AA20" s="177">
        <f>IFERROR(__xludf.DUMMYFUNCTION("""COMPUTED_VALUE"""),352.0)</f>
        <v>352</v>
      </c>
      <c r="AB20" s="177">
        <f>IFERROR(__xludf.DUMMYFUNCTION("""COMPUTED_VALUE"""),355.25)</f>
        <v>355.25</v>
      </c>
      <c r="AC20" s="177">
        <f>IFERROR(__xludf.DUMMYFUNCTION("""COMPUTED_VALUE"""),341.65)</f>
        <v>341.65</v>
      </c>
      <c r="AD20" s="177">
        <f>IFERROR(__xludf.DUMMYFUNCTION("""COMPUTED_VALUE"""),349.8)</f>
        <v>349.8</v>
      </c>
      <c r="AE20" s="177">
        <f>IFERROR(__xludf.DUMMYFUNCTION("""COMPUTED_VALUE"""),1.8832015E7)</f>
        <v>18832015</v>
      </c>
      <c r="AF20" s="177">
        <f t="shared" si="3"/>
        <v>-0.004563613168</v>
      </c>
      <c r="AG20" s="177"/>
      <c r="AH20" s="177"/>
      <c r="AI20" s="189"/>
      <c r="AJ20" s="140"/>
      <c r="AK20" s="140"/>
      <c r="AL20" s="176">
        <f>IFERROR(__xludf.DUMMYFUNCTION("""COMPUTED_VALUE"""),45404.64583333333)</f>
        <v>45404.64583</v>
      </c>
      <c r="AM20" s="177">
        <f>IFERROR(__xludf.DUMMYFUNCTION("""COMPUTED_VALUE"""),3800.0)</f>
        <v>3800</v>
      </c>
      <c r="AN20" s="177">
        <f>IFERROR(__xludf.DUMMYFUNCTION("""COMPUTED_VALUE"""),3810.0)</f>
        <v>3810</v>
      </c>
      <c r="AO20" s="177">
        <f>IFERROR(__xludf.DUMMYFUNCTION("""COMPUTED_VALUE"""),3732.6)</f>
        <v>3732.6</v>
      </c>
      <c r="AP20" s="177">
        <f>IFERROR(__xludf.DUMMYFUNCTION("""COMPUTED_VALUE"""),3785.5)</f>
        <v>3785.5</v>
      </c>
      <c r="AQ20" s="177">
        <f>IFERROR(__xludf.DUMMYFUNCTION("""COMPUTED_VALUE"""),1337755.0)</f>
        <v>1337755</v>
      </c>
      <c r="AR20" s="177">
        <f t="shared" si="4"/>
        <v>0.009075531987</v>
      </c>
      <c r="AS20" s="177"/>
      <c r="AT20" s="177"/>
      <c r="AU20" s="189"/>
      <c r="AV20" s="140"/>
      <c r="AW20" s="140"/>
      <c r="AX20" s="176">
        <f>IFERROR(__xludf.DUMMYFUNCTION("""COMPUTED_VALUE"""),45404.64583333333)</f>
        <v>45404.64583</v>
      </c>
      <c r="AY20" s="177">
        <f>IFERROR(__xludf.DUMMYFUNCTION("""COMPUTED_VALUE"""),427.0)</f>
        <v>427</v>
      </c>
      <c r="AZ20" s="177">
        <f>IFERROR(__xludf.DUMMYFUNCTION("""COMPUTED_VALUE"""),427.6)</f>
        <v>427.6</v>
      </c>
      <c r="BA20" s="177">
        <f>IFERROR(__xludf.DUMMYFUNCTION("""COMPUTED_VALUE"""),423.35)</f>
        <v>423.35</v>
      </c>
      <c r="BB20" s="177">
        <f>IFERROR(__xludf.DUMMYFUNCTION("""COMPUTED_VALUE"""),425.3)</f>
        <v>425.3</v>
      </c>
      <c r="BC20" s="177">
        <f>IFERROR(__xludf.DUMMYFUNCTION("""COMPUTED_VALUE"""),7112139.0)</f>
        <v>7112139</v>
      </c>
      <c r="BD20" s="177">
        <f t="shared" si="5"/>
        <v>0.001294041708</v>
      </c>
      <c r="BE20" s="177"/>
      <c r="BF20" s="177"/>
      <c r="BG20" s="189"/>
      <c r="BH20" s="140"/>
      <c r="BI20" s="140"/>
      <c r="BJ20" s="140"/>
      <c r="BK20" s="140"/>
      <c r="BL20" s="140"/>
      <c r="BM20" s="140"/>
      <c r="BN20" s="140"/>
      <c r="BO20" s="140"/>
      <c r="BP20" s="140"/>
      <c r="BQ20" s="140"/>
      <c r="BR20" s="140"/>
      <c r="BS20" s="140"/>
      <c r="BT20" s="140"/>
      <c r="BU20" s="140"/>
      <c r="BV20" s="140"/>
      <c r="BW20" s="140"/>
      <c r="BX20" s="140"/>
      <c r="BY20" s="140"/>
    </row>
    <row r="21" ht="15.75" customHeight="1">
      <c r="A21" s="168"/>
      <c r="B21" s="169">
        <v>45405.0</v>
      </c>
      <c r="C21" s="170">
        <v>6237.19</v>
      </c>
      <c r="D21" s="170">
        <v>6258.85</v>
      </c>
      <c r="E21" s="170">
        <v>6139.58</v>
      </c>
      <c r="F21" s="170">
        <v>6215.31</v>
      </c>
      <c r="G21" s="171" t="s">
        <v>238</v>
      </c>
      <c r="H21" s="172">
        <f t="shared" si="1"/>
        <v>-0.003137314172</v>
      </c>
      <c r="I21" s="172"/>
      <c r="J21" s="172"/>
      <c r="K21" s="188"/>
      <c r="L21" s="140"/>
      <c r="M21" s="140"/>
      <c r="N21" s="176">
        <f>IFERROR(__xludf.DUMMYFUNCTION("""COMPUTED_VALUE"""),45405.64583333333)</f>
        <v>45405.64583</v>
      </c>
      <c r="O21" s="177">
        <f>IFERROR(__xludf.DUMMYFUNCTION("""COMPUTED_VALUE"""),1100.0)</f>
        <v>1100</v>
      </c>
      <c r="P21" s="177">
        <f>IFERROR(__xludf.DUMMYFUNCTION("""COMPUTED_VALUE"""),1100.0)</f>
        <v>1100</v>
      </c>
      <c r="Q21" s="177">
        <f>IFERROR(__xludf.DUMMYFUNCTION("""COMPUTED_VALUE"""),1082.7)</f>
        <v>1082.7</v>
      </c>
      <c r="R21" s="177">
        <f>IFERROR(__xludf.DUMMYFUNCTION("""COMPUTED_VALUE"""),1090.25)</f>
        <v>1090.25</v>
      </c>
      <c r="S21" s="177">
        <f>IFERROR(__xludf.DUMMYFUNCTION("""COMPUTED_VALUE"""),9848215.0)</f>
        <v>9848215</v>
      </c>
      <c r="T21" s="177">
        <f t="shared" si="2"/>
        <v>0.003307458571</v>
      </c>
      <c r="U21" s="178"/>
      <c r="V21" s="177"/>
      <c r="W21" s="189"/>
      <c r="X21" s="140"/>
      <c r="Y21" s="140"/>
      <c r="Z21" s="176">
        <f>IFERROR(__xludf.DUMMYFUNCTION("""COMPUTED_VALUE"""),45405.64583333333)</f>
        <v>45405.64583</v>
      </c>
      <c r="AA21" s="177">
        <f>IFERROR(__xludf.DUMMYFUNCTION("""COMPUTED_VALUE"""),359.85)</f>
        <v>359.85</v>
      </c>
      <c r="AB21" s="177">
        <f>IFERROR(__xludf.DUMMYFUNCTION("""COMPUTED_VALUE"""),366.55)</f>
        <v>366.55</v>
      </c>
      <c r="AC21" s="177">
        <f>IFERROR(__xludf.DUMMYFUNCTION("""COMPUTED_VALUE"""),356.85)</f>
        <v>356.85</v>
      </c>
      <c r="AD21" s="177">
        <f>IFERROR(__xludf.DUMMYFUNCTION("""COMPUTED_VALUE"""),359.5)</f>
        <v>359.5</v>
      </c>
      <c r="AE21" s="177">
        <f>IFERROR(__xludf.DUMMYFUNCTION("""COMPUTED_VALUE"""),2.7662734E7)</f>
        <v>27662734</v>
      </c>
      <c r="AF21" s="177">
        <f t="shared" si="3"/>
        <v>0.02735261458</v>
      </c>
      <c r="AG21" s="177"/>
      <c r="AH21" s="177"/>
      <c r="AI21" s="189"/>
      <c r="AJ21" s="140"/>
      <c r="AK21" s="140"/>
      <c r="AL21" s="176">
        <f>IFERROR(__xludf.DUMMYFUNCTION("""COMPUTED_VALUE"""),45405.64583333333)</f>
        <v>45405.64583</v>
      </c>
      <c r="AM21" s="177">
        <f>IFERROR(__xludf.DUMMYFUNCTION("""COMPUTED_VALUE"""),3800.0)</f>
        <v>3800</v>
      </c>
      <c r="AN21" s="177">
        <f>IFERROR(__xludf.DUMMYFUNCTION("""COMPUTED_VALUE"""),3831.85)</f>
        <v>3831.85</v>
      </c>
      <c r="AO21" s="177">
        <f>IFERROR(__xludf.DUMMYFUNCTION("""COMPUTED_VALUE"""),3783.05)</f>
        <v>3783.05</v>
      </c>
      <c r="AP21" s="177">
        <f>IFERROR(__xludf.DUMMYFUNCTION("""COMPUTED_VALUE"""),3795.7)</f>
        <v>3795.7</v>
      </c>
      <c r="AQ21" s="177">
        <f>IFERROR(__xludf.DUMMYFUNCTION("""COMPUTED_VALUE"""),1321429.0)</f>
        <v>1321429</v>
      </c>
      <c r="AR21" s="177">
        <f t="shared" si="4"/>
        <v>0.002690868505</v>
      </c>
      <c r="AS21" s="177"/>
      <c r="AT21" s="177"/>
      <c r="AU21" s="189"/>
      <c r="AV21" s="140"/>
      <c r="AW21" s="140"/>
      <c r="AX21" s="176">
        <f>IFERROR(__xludf.DUMMYFUNCTION("""COMPUTED_VALUE"""),45405.64583333333)</f>
        <v>45405.64583</v>
      </c>
      <c r="AY21" s="177">
        <f>IFERROR(__xludf.DUMMYFUNCTION("""COMPUTED_VALUE"""),425.3)</f>
        <v>425.3</v>
      </c>
      <c r="AZ21" s="177">
        <f>IFERROR(__xludf.DUMMYFUNCTION("""COMPUTED_VALUE"""),430.5)</f>
        <v>430.5</v>
      </c>
      <c r="BA21" s="177">
        <f>IFERROR(__xludf.DUMMYFUNCTION("""COMPUTED_VALUE"""),425.1)</f>
        <v>425.1</v>
      </c>
      <c r="BB21" s="177">
        <f>IFERROR(__xludf.DUMMYFUNCTION("""COMPUTED_VALUE"""),429.2)</f>
        <v>429.2</v>
      </c>
      <c r="BC21" s="177">
        <f>IFERROR(__xludf.DUMMYFUNCTION("""COMPUTED_VALUE"""),1.2021404E7)</f>
        <v>12021404</v>
      </c>
      <c r="BD21" s="177">
        <f t="shared" si="5"/>
        <v>0.009128208497</v>
      </c>
      <c r="BE21" s="177"/>
      <c r="BF21" s="177"/>
      <c r="BG21" s="189"/>
      <c r="BH21" s="140"/>
      <c r="BI21" s="140"/>
      <c r="BJ21" s="140"/>
      <c r="BK21" s="140"/>
      <c r="BL21" s="140"/>
      <c r="BM21" s="140"/>
      <c r="BN21" s="140"/>
      <c r="BO21" s="140"/>
      <c r="BP21" s="140"/>
      <c r="BQ21" s="204" t="s">
        <v>249</v>
      </c>
      <c r="BV21" s="140"/>
      <c r="BW21" s="140"/>
      <c r="BX21" s="140"/>
      <c r="BY21" s="140"/>
    </row>
    <row r="22" ht="15.75" customHeight="1">
      <c r="A22" s="168"/>
      <c r="B22" s="169">
        <v>45406.0</v>
      </c>
      <c r="C22" s="170">
        <v>6218.34</v>
      </c>
      <c r="D22" s="170">
        <v>6261.84</v>
      </c>
      <c r="E22" s="170">
        <v>6191.71</v>
      </c>
      <c r="F22" s="170">
        <v>6202.96</v>
      </c>
      <c r="G22" s="171" t="s">
        <v>238</v>
      </c>
      <c r="H22" s="172">
        <f t="shared" si="1"/>
        <v>-0.001989005565</v>
      </c>
      <c r="I22" s="172"/>
      <c r="J22" s="172"/>
      <c r="K22" s="188"/>
      <c r="L22" s="140"/>
      <c r="M22" s="140"/>
      <c r="N22" s="176">
        <f>IFERROR(__xludf.DUMMYFUNCTION("""COMPUTED_VALUE"""),45406.64583333333)</f>
        <v>45406.64583</v>
      </c>
      <c r="O22" s="177">
        <f>IFERROR(__xludf.DUMMYFUNCTION("""COMPUTED_VALUE"""),1092.25)</f>
        <v>1092.25</v>
      </c>
      <c r="P22" s="177">
        <f>IFERROR(__xludf.DUMMYFUNCTION("""COMPUTED_VALUE"""),1098.4)</f>
        <v>1098.4</v>
      </c>
      <c r="Q22" s="177">
        <f>IFERROR(__xludf.DUMMYFUNCTION("""COMPUTED_VALUE"""),1089.0)</f>
        <v>1089</v>
      </c>
      <c r="R22" s="177">
        <f>IFERROR(__xludf.DUMMYFUNCTION("""COMPUTED_VALUE"""),1096.75)</f>
        <v>1096.75</v>
      </c>
      <c r="S22" s="177">
        <f>IFERROR(__xludf.DUMMYFUNCTION("""COMPUTED_VALUE"""),5461309.0)</f>
        <v>5461309</v>
      </c>
      <c r="T22" s="177">
        <f t="shared" si="2"/>
        <v>0.005944233323</v>
      </c>
      <c r="U22" s="178"/>
      <c r="V22" s="177"/>
      <c r="W22" s="189"/>
      <c r="X22" s="140"/>
      <c r="Y22" s="140"/>
      <c r="Z22" s="176">
        <f>IFERROR(__xludf.DUMMYFUNCTION("""COMPUTED_VALUE"""),45406.64583333333)</f>
        <v>45406.64583</v>
      </c>
      <c r="AA22" s="177">
        <f>IFERROR(__xludf.DUMMYFUNCTION("""COMPUTED_VALUE"""),363.2)</f>
        <v>363.2</v>
      </c>
      <c r="AB22" s="177">
        <f>IFERROR(__xludf.DUMMYFUNCTION("""COMPUTED_VALUE"""),364.0)</f>
        <v>364</v>
      </c>
      <c r="AC22" s="177">
        <f>IFERROR(__xludf.DUMMYFUNCTION("""COMPUTED_VALUE"""),346.85)</f>
        <v>346.85</v>
      </c>
      <c r="AD22" s="177">
        <f>IFERROR(__xludf.DUMMYFUNCTION("""COMPUTED_VALUE"""),348.35)</f>
        <v>348.35</v>
      </c>
      <c r="AE22" s="177">
        <f>IFERROR(__xludf.DUMMYFUNCTION("""COMPUTED_VALUE"""),2.0859429E7)</f>
        <v>20859429</v>
      </c>
      <c r="AF22" s="177">
        <f t="shared" si="3"/>
        <v>-0.03150645568</v>
      </c>
      <c r="AG22" s="177"/>
      <c r="AH22" s="177"/>
      <c r="AI22" s="189"/>
      <c r="AJ22" s="140"/>
      <c r="AK22" s="140"/>
      <c r="AL22" s="176">
        <f>IFERROR(__xludf.DUMMYFUNCTION("""COMPUTED_VALUE"""),45406.64583333333)</f>
        <v>45406.64583</v>
      </c>
      <c r="AM22" s="177">
        <f>IFERROR(__xludf.DUMMYFUNCTION("""COMPUTED_VALUE"""),3826.1)</f>
        <v>3826.1</v>
      </c>
      <c r="AN22" s="177">
        <f>IFERROR(__xludf.DUMMYFUNCTION("""COMPUTED_VALUE"""),4000.0)</f>
        <v>4000</v>
      </c>
      <c r="AO22" s="177">
        <f>IFERROR(__xludf.DUMMYFUNCTION("""COMPUTED_VALUE"""),3812.5)</f>
        <v>3812.5</v>
      </c>
      <c r="AP22" s="177">
        <f>IFERROR(__xludf.DUMMYFUNCTION("""COMPUTED_VALUE"""),3946.7)</f>
        <v>3946.7</v>
      </c>
      <c r="AQ22" s="177">
        <f>IFERROR(__xludf.DUMMYFUNCTION("""COMPUTED_VALUE"""),4429158.0)</f>
        <v>4429158</v>
      </c>
      <c r="AR22" s="177">
        <f t="shared" si="4"/>
        <v>0.03901093963</v>
      </c>
      <c r="AS22" s="177"/>
      <c r="AT22" s="177"/>
      <c r="AU22" s="189"/>
      <c r="AV22" s="140"/>
      <c r="AW22" s="140"/>
      <c r="AX22" s="176">
        <f>IFERROR(__xludf.DUMMYFUNCTION("""COMPUTED_VALUE"""),45406.64583333333)</f>
        <v>45406.64583</v>
      </c>
      <c r="AY22" s="177">
        <f>IFERROR(__xludf.DUMMYFUNCTION("""COMPUTED_VALUE"""),429.25)</f>
        <v>429.25</v>
      </c>
      <c r="AZ22" s="177">
        <f>IFERROR(__xludf.DUMMYFUNCTION("""COMPUTED_VALUE"""),430.8)</f>
        <v>430.8</v>
      </c>
      <c r="BA22" s="177">
        <f>IFERROR(__xludf.DUMMYFUNCTION("""COMPUTED_VALUE"""),428.3)</f>
        <v>428.3</v>
      </c>
      <c r="BB22" s="177">
        <f>IFERROR(__xludf.DUMMYFUNCTION("""COMPUTED_VALUE"""),428.9)</f>
        <v>428.9</v>
      </c>
      <c r="BC22" s="177">
        <f>IFERROR(__xludf.DUMMYFUNCTION("""COMPUTED_VALUE"""),5845170.0)</f>
        <v>5845170</v>
      </c>
      <c r="BD22" s="177">
        <f t="shared" si="5"/>
        <v>-0.0006992192337</v>
      </c>
      <c r="BE22" s="177"/>
      <c r="BF22" s="177"/>
      <c r="BG22" s="189"/>
      <c r="BH22" s="140"/>
      <c r="BI22" s="140"/>
      <c r="BJ22" s="140"/>
      <c r="BV22" s="140"/>
      <c r="BW22" s="140"/>
      <c r="BX22" s="140"/>
      <c r="BY22" s="140"/>
    </row>
    <row r="23" ht="15.75" customHeight="1">
      <c r="A23" s="168"/>
      <c r="B23" s="169">
        <v>45407.0</v>
      </c>
      <c r="C23" s="170">
        <v>6204.11</v>
      </c>
      <c r="D23" s="170">
        <v>6277.52</v>
      </c>
      <c r="E23" s="170">
        <v>6176.12</v>
      </c>
      <c r="F23" s="170">
        <v>6244.9</v>
      </c>
      <c r="G23" s="171" t="s">
        <v>238</v>
      </c>
      <c r="H23" s="172">
        <f t="shared" si="1"/>
        <v>0.006738533162</v>
      </c>
      <c r="I23" s="172"/>
      <c r="J23" s="172"/>
      <c r="K23" s="188"/>
      <c r="L23" s="140"/>
      <c r="M23" s="140"/>
      <c r="N23" s="176">
        <f>IFERROR(__xludf.DUMMYFUNCTION("""COMPUTED_VALUE"""),45407.64583333333)</f>
        <v>45407.64583</v>
      </c>
      <c r="O23" s="177">
        <f>IFERROR(__xludf.DUMMYFUNCTION("""COMPUTED_VALUE"""),1090.0)</f>
        <v>1090</v>
      </c>
      <c r="P23" s="177">
        <f>IFERROR(__xludf.DUMMYFUNCTION("""COMPUTED_VALUE"""),1125.65)</f>
        <v>1125.65</v>
      </c>
      <c r="Q23" s="177">
        <f>IFERROR(__xludf.DUMMYFUNCTION("""COMPUTED_VALUE"""),1089.95)</f>
        <v>1089.95</v>
      </c>
      <c r="R23" s="177">
        <f>IFERROR(__xludf.DUMMYFUNCTION("""COMPUTED_VALUE"""),1113.75)</f>
        <v>1113.75</v>
      </c>
      <c r="S23" s="177">
        <f>IFERROR(__xludf.DUMMYFUNCTION("""COMPUTED_VALUE"""),1.9905338E7)</f>
        <v>19905338</v>
      </c>
      <c r="T23" s="177">
        <f t="shared" si="2"/>
        <v>0.01538143874</v>
      </c>
      <c r="U23" s="178"/>
      <c r="V23" s="177"/>
      <c r="W23" s="189"/>
      <c r="X23" s="140"/>
      <c r="Y23" s="140"/>
      <c r="Z23" s="176">
        <f>IFERROR(__xludf.DUMMYFUNCTION("""COMPUTED_VALUE"""),45407.64583333333)</f>
        <v>45407.64583</v>
      </c>
      <c r="AA23" s="177">
        <f>IFERROR(__xludf.DUMMYFUNCTION("""COMPUTED_VALUE"""),349.0)</f>
        <v>349</v>
      </c>
      <c r="AB23" s="177">
        <f>IFERROR(__xludf.DUMMYFUNCTION("""COMPUTED_VALUE"""),356.8)</f>
        <v>356.8</v>
      </c>
      <c r="AC23" s="177">
        <f>IFERROR(__xludf.DUMMYFUNCTION("""COMPUTED_VALUE"""),345.2)</f>
        <v>345.2</v>
      </c>
      <c r="AD23" s="177">
        <f>IFERROR(__xludf.DUMMYFUNCTION("""COMPUTED_VALUE"""),351.65)</f>
        <v>351.65</v>
      </c>
      <c r="AE23" s="177">
        <f>IFERROR(__xludf.DUMMYFUNCTION("""COMPUTED_VALUE"""),1.5367285E7)</f>
        <v>15367285</v>
      </c>
      <c r="AF23" s="177">
        <f t="shared" si="3"/>
        <v>0.009428641278</v>
      </c>
      <c r="AG23" s="177"/>
      <c r="AH23" s="177"/>
      <c r="AI23" s="189"/>
      <c r="AJ23" s="140"/>
      <c r="AK23" s="140"/>
      <c r="AL23" s="176">
        <f>IFERROR(__xludf.DUMMYFUNCTION("""COMPUTED_VALUE"""),45407.64583333333)</f>
        <v>45407.64583</v>
      </c>
      <c r="AM23" s="177">
        <f>IFERROR(__xludf.DUMMYFUNCTION("""COMPUTED_VALUE"""),3958.6)</f>
        <v>3958.6</v>
      </c>
      <c r="AN23" s="177">
        <f>IFERROR(__xludf.DUMMYFUNCTION("""COMPUTED_VALUE"""),4035.0)</f>
        <v>4035</v>
      </c>
      <c r="AO23" s="177">
        <f>IFERROR(__xludf.DUMMYFUNCTION("""COMPUTED_VALUE"""),3939.0)</f>
        <v>3939</v>
      </c>
      <c r="AP23" s="177">
        <f>IFERROR(__xludf.DUMMYFUNCTION("""COMPUTED_VALUE"""),4000.75)</f>
        <v>4000.75</v>
      </c>
      <c r="AQ23" s="177">
        <f>IFERROR(__xludf.DUMMYFUNCTION("""COMPUTED_VALUE"""),2632613.0)</f>
        <v>2632613</v>
      </c>
      <c r="AR23" s="177">
        <f t="shared" si="4"/>
        <v>0.01360205685</v>
      </c>
      <c r="AS23" s="177"/>
      <c r="AT23" s="177"/>
      <c r="AU23" s="189"/>
      <c r="AV23" s="140"/>
      <c r="AW23" s="140"/>
      <c r="AX23" s="176">
        <f>IFERROR(__xludf.DUMMYFUNCTION("""COMPUTED_VALUE"""),45407.64583333333)</f>
        <v>45407.64583</v>
      </c>
      <c r="AY23" s="177">
        <f>IFERROR(__xludf.DUMMYFUNCTION("""COMPUTED_VALUE"""),431.0)</f>
        <v>431</v>
      </c>
      <c r="AZ23" s="177">
        <f>IFERROR(__xludf.DUMMYFUNCTION("""COMPUTED_VALUE"""),438.3)</f>
        <v>438.3</v>
      </c>
      <c r="BA23" s="177">
        <f>IFERROR(__xludf.DUMMYFUNCTION("""COMPUTED_VALUE"""),429.0)</f>
        <v>429</v>
      </c>
      <c r="BB23" s="177">
        <f>IFERROR(__xludf.DUMMYFUNCTION("""COMPUTED_VALUE"""),437.55)</f>
        <v>437.55</v>
      </c>
      <c r="BC23" s="177">
        <f>IFERROR(__xludf.DUMMYFUNCTION("""COMPUTED_VALUE"""),2.9211997E7)</f>
        <v>29211997</v>
      </c>
      <c r="BD23" s="177">
        <f t="shared" si="5"/>
        <v>0.01996719346</v>
      </c>
      <c r="BE23" s="177"/>
      <c r="BF23" s="177"/>
      <c r="BG23" s="189"/>
      <c r="BH23" s="140"/>
      <c r="BI23" s="140"/>
      <c r="BJ23" s="140"/>
      <c r="BQ23" s="205" t="s">
        <v>240</v>
      </c>
      <c r="BR23" s="205" t="s">
        <v>218</v>
      </c>
      <c r="BS23" s="206" t="s">
        <v>224</v>
      </c>
      <c r="BT23" s="206" t="s">
        <v>87</v>
      </c>
      <c r="BU23" s="206" t="s">
        <v>225</v>
      </c>
      <c r="BV23" s="140"/>
      <c r="BW23" s="140"/>
      <c r="BX23" s="140"/>
      <c r="BY23" s="140"/>
    </row>
    <row r="24" ht="15.75" customHeight="1">
      <c r="A24" s="168"/>
      <c r="B24" s="169">
        <v>45408.0</v>
      </c>
      <c r="C24" s="170">
        <v>6246.85</v>
      </c>
      <c r="D24" s="170">
        <v>6303.16</v>
      </c>
      <c r="E24" s="170">
        <v>6230.12</v>
      </c>
      <c r="F24" s="170">
        <v>6266.93</v>
      </c>
      <c r="G24" s="171" t="s">
        <v>238</v>
      </c>
      <c r="H24" s="172">
        <f t="shared" si="1"/>
        <v>0.003521470922</v>
      </c>
      <c r="I24" s="172"/>
      <c r="J24" s="172"/>
      <c r="K24" s="188"/>
      <c r="L24" s="140"/>
      <c r="M24" s="140"/>
      <c r="N24" s="176">
        <f>IFERROR(__xludf.DUMMYFUNCTION("""COMPUTED_VALUE"""),45408.64583333333)</f>
        <v>45408.64583</v>
      </c>
      <c r="O24" s="177">
        <f>IFERROR(__xludf.DUMMYFUNCTION("""COMPUTED_VALUE"""),1112.15)</f>
        <v>1112.15</v>
      </c>
      <c r="P24" s="177">
        <f>IFERROR(__xludf.DUMMYFUNCTION("""COMPUTED_VALUE"""),1120.0)</f>
        <v>1120</v>
      </c>
      <c r="Q24" s="177">
        <f>IFERROR(__xludf.DUMMYFUNCTION("""COMPUTED_VALUE"""),1102.75)</f>
        <v>1102.75</v>
      </c>
      <c r="R24" s="177">
        <f>IFERROR(__xludf.DUMMYFUNCTION("""COMPUTED_VALUE"""),1107.9)</f>
        <v>1107.9</v>
      </c>
      <c r="S24" s="177">
        <f>IFERROR(__xludf.DUMMYFUNCTION("""COMPUTED_VALUE"""),1.4190059E7)</f>
        <v>14190059</v>
      </c>
      <c r="T24" s="177">
        <f t="shared" si="2"/>
        <v>-0.005266368258</v>
      </c>
      <c r="U24" s="178"/>
      <c r="V24" s="177"/>
      <c r="W24" s="189"/>
      <c r="X24" s="140"/>
      <c r="Y24" s="140"/>
      <c r="Z24" s="176">
        <f>IFERROR(__xludf.DUMMYFUNCTION("""COMPUTED_VALUE"""),45408.64583333333)</f>
        <v>45408.64583</v>
      </c>
      <c r="AA24" s="177">
        <f>IFERROR(__xludf.DUMMYFUNCTION("""COMPUTED_VALUE"""),352.0)</f>
        <v>352</v>
      </c>
      <c r="AB24" s="177">
        <f>IFERROR(__xludf.DUMMYFUNCTION("""COMPUTED_VALUE"""),355.45)</f>
        <v>355.45</v>
      </c>
      <c r="AC24" s="177">
        <f>IFERROR(__xludf.DUMMYFUNCTION("""COMPUTED_VALUE"""),348.6)</f>
        <v>348.6</v>
      </c>
      <c r="AD24" s="177">
        <f>IFERROR(__xludf.DUMMYFUNCTION("""COMPUTED_VALUE"""),353.3)</f>
        <v>353.3</v>
      </c>
      <c r="AE24" s="177">
        <f>IFERROR(__xludf.DUMMYFUNCTION("""COMPUTED_VALUE"""),1.1226725E7)</f>
        <v>11226725</v>
      </c>
      <c r="AF24" s="177">
        <f t="shared" si="3"/>
        <v>0.004681191611</v>
      </c>
      <c r="AG24" s="177"/>
      <c r="AH24" s="177"/>
      <c r="AI24" s="189"/>
      <c r="AJ24" s="140"/>
      <c r="AK24" s="140"/>
      <c r="AL24" s="176">
        <f>IFERROR(__xludf.DUMMYFUNCTION("""COMPUTED_VALUE"""),45408.64583333333)</f>
        <v>45408.64583</v>
      </c>
      <c r="AM24" s="177">
        <f>IFERROR(__xludf.DUMMYFUNCTION("""COMPUTED_VALUE"""),4019.95)</f>
        <v>4019.95</v>
      </c>
      <c r="AN24" s="177">
        <f>IFERROR(__xludf.DUMMYFUNCTION("""COMPUTED_VALUE"""),4039.95)</f>
        <v>4039.95</v>
      </c>
      <c r="AO24" s="177">
        <f>IFERROR(__xludf.DUMMYFUNCTION("""COMPUTED_VALUE"""),3966.35)</f>
        <v>3966.35</v>
      </c>
      <c r="AP24" s="177">
        <f>IFERROR(__xludf.DUMMYFUNCTION("""COMPUTED_VALUE"""),3984.4)</f>
        <v>3984.4</v>
      </c>
      <c r="AQ24" s="177">
        <f>IFERROR(__xludf.DUMMYFUNCTION("""COMPUTED_VALUE"""),1432727.0)</f>
        <v>1432727</v>
      </c>
      <c r="AR24" s="177">
        <f t="shared" si="4"/>
        <v>-0.004095107255</v>
      </c>
      <c r="AS24" s="177"/>
      <c r="AT24" s="177"/>
      <c r="AU24" s="189"/>
      <c r="AV24" s="140"/>
      <c r="AW24" s="140"/>
      <c r="AX24" s="176">
        <f>IFERROR(__xludf.DUMMYFUNCTION("""COMPUTED_VALUE"""),45408.64583333333)</f>
        <v>45408.64583</v>
      </c>
      <c r="AY24" s="177">
        <f>IFERROR(__xludf.DUMMYFUNCTION("""COMPUTED_VALUE"""),439.25)</f>
        <v>439.25</v>
      </c>
      <c r="AZ24" s="177">
        <f>IFERROR(__xludf.DUMMYFUNCTION("""COMPUTED_VALUE"""),443.3)</f>
        <v>443.3</v>
      </c>
      <c r="BA24" s="177">
        <f>IFERROR(__xludf.DUMMYFUNCTION("""COMPUTED_VALUE"""),436.4)</f>
        <v>436.4</v>
      </c>
      <c r="BB24" s="177">
        <f>IFERROR(__xludf.DUMMYFUNCTION("""COMPUTED_VALUE"""),440.0)</f>
        <v>440</v>
      </c>
      <c r="BC24" s="177">
        <f>IFERROR(__xludf.DUMMYFUNCTION("""COMPUTED_VALUE"""),1.4773975E7)</f>
        <v>14773975</v>
      </c>
      <c r="BD24" s="177">
        <f t="shared" si="5"/>
        <v>0.00558374193</v>
      </c>
      <c r="BE24" s="177"/>
      <c r="BF24" s="177"/>
      <c r="BG24" s="189"/>
      <c r="BH24" s="140"/>
      <c r="BI24" s="140"/>
      <c r="BJ24" s="140"/>
      <c r="BQ24" s="205" t="s">
        <v>241</v>
      </c>
      <c r="BR24" s="195">
        <v>0.742</v>
      </c>
      <c r="BS24" s="195">
        <v>0.2577</v>
      </c>
      <c r="BT24" s="195">
        <v>-0.0048</v>
      </c>
      <c r="BU24" s="195">
        <v>0.005</v>
      </c>
      <c r="BV24" s="207"/>
      <c r="BW24" s="140"/>
      <c r="BX24" s="140"/>
      <c r="BY24" s="140"/>
    </row>
    <row r="25" ht="15.75" customHeight="1">
      <c r="A25" s="168"/>
      <c r="B25" s="169">
        <v>45411.0</v>
      </c>
      <c r="C25" s="170">
        <v>6271.52</v>
      </c>
      <c r="D25" s="170">
        <v>6297.52</v>
      </c>
      <c r="E25" s="170">
        <v>6218.78</v>
      </c>
      <c r="F25" s="170">
        <v>6262.07</v>
      </c>
      <c r="G25" s="171" t="s">
        <v>238</v>
      </c>
      <c r="H25" s="172">
        <f t="shared" si="1"/>
        <v>-0.0007758001826</v>
      </c>
      <c r="I25" s="172"/>
      <c r="J25" s="172"/>
      <c r="K25" s="188"/>
      <c r="L25" s="140"/>
      <c r="M25" s="140"/>
      <c r="N25" s="176">
        <f>IFERROR(__xludf.DUMMYFUNCTION("""COMPUTED_VALUE"""),45411.64583333333)</f>
        <v>45411.64583</v>
      </c>
      <c r="O25" s="177">
        <f>IFERROR(__xludf.DUMMYFUNCTION("""COMPUTED_VALUE"""),1108.0)</f>
        <v>1108</v>
      </c>
      <c r="P25" s="177">
        <f>IFERROR(__xludf.DUMMYFUNCTION("""COMPUTED_VALUE"""),1163.45)</f>
        <v>1163.45</v>
      </c>
      <c r="Q25" s="177">
        <f>IFERROR(__xludf.DUMMYFUNCTION("""COMPUTED_VALUE"""),1107.9)</f>
        <v>1107.9</v>
      </c>
      <c r="R25" s="177">
        <f>IFERROR(__xludf.DUMMYFUNCTION("""COMPUTED_VALUE"""),1160.15)</f>
        <v>1160.15</v>
      </c>
      <c r="S25" s="177">
        <f>IFERROR(__xludf.DUMMYFUNCTION("""COMPUTED_VALUE"""),2.8578063E7)</f>
        <v>28578063</v>
      </c>
      <c r="T25" s="177">
        <f t="shared" si="2"/>
        <v>0.04608297556</v>
      </c>
      <c r="U25" s="178"/>
      <c r="V25" s="177"/>
      <c r="W25" s="189"/>
      <c r="X25" s="140"/>
      <c r="Y25" s="140"/>
      <c r="Z25" s="176">
        <f>IFERROR(__xludf.DUMMYFUNCTION("""COMPUTED_VALUE"""),45411.64583333333)</f>
        <v>45411.64583</v>
      </c>
      <c r="AA25" s="177">
        <f>IFERROR(__xludf.DUMMYFUNCTION("""COMPUTED_VALUE"""),352.0)</f>
        <v>352</v>
      </c>
      <c r="AB25" s="177">
        <f>IFERROR(__xludf.DUMMYFUNCTION("""COMPUTED_VALUE"""),354.9)</f>
        <v>354.9</v>
      </c>
      <c r="AC25" s="177">
        <f>IFERROR(__xludf.DUMMYFUNCTION("""COMPUTED_VALUE"""),343.85)</f>
        <v>343.85</v>
      </c>
      <c r="AD25" s="177">
        <f>IFERROR(__xludf.DUMMYFUNCTION("""COMPUTED_VALUE"""),352.0)</f>
        <v>352</v>
      </c>
      <c r="AE25" s="177">
        <f>IFERROR(__xludf.DUMMYFUNCTION("""COMPUTED_VALUE"""),1.412104E7)</f>
        <v>14121040</v>
      </c>
      <c r="AF25" s="177">
        <f t="shared" si="3"/>
        <v>-0.003686378767</v>
      </c>
      <c r="AG25" s="177"/>
      <c r="AH25" s="177"/>
      <c r="AI25" s="189"/>
      <c r="AJ25" s="140"/>
      <c r="AK25" s="140"/>
      <c r="AL25" s="176">
        <f>IFERROR(__xludf.DUMMYFUNCTION("""COMPUTED_VALUE"""),45411.64583333333)</f>
        <v>45411.64583</v>
      </c>
      <c r="AM25" s="177">
        <f>IFERROR(__xludf.DUMMYFUNCTION("""COMPUTED_VALUE"""),4006.35)</f>
        <v>4006.35</v>
      </c>
      <c r="AN25" s="177">
        <f>IFERROR(__xludf.DUMMYFUNCTION("""COMPUTED_VALUE"""),4044.75)</f>
        <v>4044.75</v>
      </c>
      <c r="AO25" s="177">
        <f>IFERROR(__xludf.DUMMYFUNCTION("""COMPUTED_VALUE"""),3975.3)</f>
        <v>3975.3</v>
      </c>
      <c r="AP25" s="177">
        <f>IFERROR(__xludf.DUMMYFUNCTION("""COMPUTED_VALUE"""),4017.7)</f>
        <v>4017.7</v>
      </c>
      <c r="AQ25" s="177">
        <f>IFERROR(__xludf.DUMMYFUNCTION("""COMPUTED_VALUE"""),1202126.0)</f>
        <v>1202126</v>
      </c>
      <c r="AR25" s="177">
        <f t="shared" si="4"/>
        <v>0.008322863304</v>
      </c>
      <c r="AS25" s="177"/>
      <c r="AT25" s="177"/>
      <c r="AU25" s="189"/>
      <c r="AV25" s="140"/>
      <c r="AW25" s="140"/>
      <c r="AX25" s="176">
        <f>IFERROR(__xludf.DUMMYFUNCTION("""COMPUTED_VALUE"""),45411.64583333333)</f>
        <v>45411.64583</v>
      </c>
      <c r="AY25" s="177">
        <f>IFERROR(__xludf.DUMMYFUNCTION("""COMPUTED_VALUE"""),442.0)</f>
        <v>442</v>
      </c>
      <c r="AZ25" s="177">
        <f>IFERROR(__xludf.DUMMYFUNCTION("""COMPUTED_VALUE"""),442.45)</f>
        <v>442.45</v>
      </c>
      <c r="BA25" s="177">
        <f>IFERROR(__xludf.DUMMYFUNCTION("""COMPUTED_VALUE"""),434.6)</f>
        <v>434.6</v>
      </c>
      <c r="BB25" s="177">
        <f>IFERROR(__xludf.DUMMYFUNCTION("""COMPUTED_VALUE"""),438.2)</f>
        <v>438.2</v>
      </c>
      <c r="BC25" s="177">
        <f>IFERROR(__xludf.DUMMYFUNCTION("""COMPUTED_VALUE"""),1.1627882E7)</f>
        <v>11627882</v>
      </c>
      <c r="BD25" s="177">
        <f t="shared" si="5"/>
        <v>-0.004099299751</v>
      </c>
      <c r="BE25" s="177"/>
      <c r="BF25" s="177"/>
      <c r="BG25" s="189"/>
      <c r="BH25" s="140"/>
      <c r="BI25" s="140"/>
      <c r="BJ25" s="140"/>
      <c r="BQ25" s="206" t="s">
        <v>236</v>
      </c>
      <c r="BR25" s="198">
        <f>(1 + 'Part A'!$J$7)^252 - 1
</f>
        <v>0.4535905181</v>
      </c>
      <c r="BS25" s="198">
        <f>(1 + 'Part A'!$V$7)^252 - 1
</f>
        <v>0.2810465355</v>
      </c>
      <c r="BT25" s="198">
        <f>(1 + 'Part A'!$AH$7)^252 - 1
</f>
        <v>0.2785753494</v>
      </c>
      <c r="BU25" s="198">
        <f>(1 + 'Part A'!$AT$7)^252 - 1
</f>
        <v>0.3007189872</v>
      </c>
      <c r="BV25" s="140"/>
      <c r="BW25" s="140"/>
      <c r="BX25" s="140"/>
      <c r="BY25" s="140"/>
    </row>
    <row r="26" ht="15.75" customHeight="1">
      <c r="A26" s="168"/>
      <c r="B26" s="169">
        <v>45412.0</v>
      </c>
      <c r="C26" s="170">
        <v>6264.34</v>
      </c>
      <c r="D26" s="170">
        <v>6269.02</v>
      </c>
      <c r="E26" s="170">
        <v>6131.71</v>
      </c>
      <c r="F26" s="170">
        <v>6132.56</v>
      </c>
      <c r="G26" s="171" t="s">
        <v>238</v>
      </c>
      <c r="H26" s="172">
        <f t="shared" si="1"/>
        <v>-0.02089852034</v>
      </c>
      <c r="I26" s="172"/>
      <c r="J26" s="172"/>
      <c r="K26" s="188"/>
      <c r="L26" s="140"/>
      <c r="M26" s="140"/>
      <c r="N26" s="176">
        <f>IFERROR(__xludf.DUMMYFUNCTION("""COMPUTED_VALUE"""),45412.64583333333)</f>
        <v>45412.64583</v>
      </c>
      <c r="O26" s="177">
        <f>IFERROR(__xludf.DUMMYFUNCTION("""COMPUTED_VALUE"""),1159.95)</f>
        <v>1159.95</v>
      </c>
      <c r="P26" s="177">
        <f>IFERROR(__xludf.DUMMYFUNCTION("""COMPUTED_VALUE"""),1169.55)</f>
        <v>1169.55</v>
      </c>
      <c r="Q26" s="177">
        <f>IFERROR(__xludf.DUMMYFUNCTION("""COMPUTED_VALUE"""),1146.75)</f>
        <v>1146.75</v>
      </c>
      <c r="R26" s="177">
        <f>IFERROR(__xludf.DUMMYFUNCTION("""COMPUTED_VALUE"""),1150.4)</f>
        <v>1150.4</v>
      </c>
      <c r="S26" s="177">
        <f>IFERROR(__xludf.DUMMYFUNCTION("""COMPUTED_VALUE"""),2.9568491E7)</f>
        <v>29568491</v>
      </c>
      <c r="T26" s="177">
        <f t="shared" si="2"/>
        <v>-0.008439599119</v>
      </c>
      <c r="U26" s="178"/>
      <c r="V26" s="177"/>
      <c r="W26" s="189"/>
      <c r="X26" s="140"/>
      <c r="Y26" s="140"/>
      <c r="Z26" s="176">
        <f>IFERROR(__xludf.DUMMYFUNCTION("""COMPUTED_VALUE"""),45412.64583333333)</f>
        <v>45412.64583</v>
      </c>
      <c r="AA26" s="177">
        <f>IFERROR(__xludf.DUMMYFUNCTION("""COMPUTED_VALUE"""),353.0)</f>
        <v>353</v>
      </c>
      <c r="AB26" s="177">
        <f>IFERROR(__xludf.DUMMYFUNCTION("""COMPUTED_VALUE"""),360.5)</f>
        <v>360.5</v>
      </c>
      <c r="AC26" s="177">
        <f>IFERROR(__xludf.DUMMYFUNCTION("""COMPUTED_VALUE"""),352.55)</f>
        <v>352.55</v>
      </c>
      <c r="AD26" s="177">
        <f>IFERROR(__xludf.DUMMYFUNCTION("""COMPUTED_VALUE"""),354.8)</f>
        <v>354.8</v>
      </c>
      <c r="AE26" s="177">
        <f>IFERROR(__xludf.DUMMYFUNCTION("""COMPUTED_VALUE"""),1.5377757E7)</f>
        <v>15377757</v>
      </c>
      <c r="AF26" s="177">
        <f t="shared" si="3"/>
        <v>0.007923074837</v>
      </c>
      <c r="AG26" s="177"/>
      <c r="AH26" s="177"/>
      <c r="AI26" s="189"/>
      <c r="AJ26" s="140"/>
      <c r="AK26" s="140"/>
      <c r="AL26" s="176">
        <f>IFERROR(__xludf.DUMMYFUNCTION("""COMPUTED_VALUE"""),45412.64583333333)</f>
        <v>45412.64583</v>
      </c>
      <c r="AM26" s="177">
        <f>IFERROR(__xludf.DUMMYFUNCTION("""COMPUTED_VALUE"""),4035.35)</f>
        <v>4035.35</v>
      </c>
      <c r="AN26" s="177">
        <f>IFERROR(__xludf.DUMMYFUNCTION("""COMPUTED_VALUE"""),4035.85)</f>
        <v>4035.85</v>
      </c>
      <c r="AO26" s="177">
        <f>IFERROR(__xludf.DUMMYFUNCTION("""COMPUTED_VALUE"""),3930.0)</f>
        <v>3930</v>
      </c>
      <c r="AP26" s="177">
        <f>IFERROR(__xludf.DUMMYFUNCTION("""COMPUTED_VALUE"""),3939.35)</f>
        <v>3939.35</v>
      </c>
      <c r="AQ26" s="177">
        <f>IFERROR(__xludf.DUMMYFUNCTION("""COMPUTED_VALUE"""),2054258.0)</f>
        <v>2054258</v>
      </c>
      <c r="AR26" s="177">
        <f t="shared" si="4"/>
        <v>-0.01969386451</v>
      </c>
      <c r="AS26" s="177"/>
      <c r="AT26" s="177"/>
      <c r="AU26" s="189"/>
      <c r="AV26" s="140"/>
      <c r="AW26" s="140"/>
      <c r="AX26" s="176">
        <f>IFERROR(__xludf.DUMMYFUNCTION("""COMPUTED_VALUE"""),45412.64583333333)</f>
        <v>45412.64583</v>
      </c>
      <c r="AY26" s="177">
        <f>IFERROR(__xludf.DUMMYFUNCTION("""COMPUTED_VALUE"""),439.95)</f>
        <v>439.95</v>
      </c>
      <c r="AZ26" s="177">
        <f>IFERROR(__xludf.DUMMYFUNCTION("""COMPUTED_VALUE"""),440.5)</f>
        <v>440.5</v>
      </c>
      <c r="BA26" s="177">
        <f>IFERROR(__xludf.DUMMYFUNCTION("""COMPUTED_VALUE"""),435.1)</f>
        <v>435.1</v>
      </c>
      <c r="BB26" s="177">
        <f>IFERROR(__xludf.DUMMYFUNCTION("""COMPUTED_VALUE"""),435.65)</f>
        <v>435.65</v>
      </c>
      <c r="BC26" s="177">
        <f>IFERROR(__xludf.DUMMYFUNCTION("""COMPUTED_VALUE"""),1.2064043E7)</f>
        <v>12064043</v>
      </c>
      <c r="BD26" s="177">
        <f t="shared" si="5"/>
        <v>-0.005836258484</v>
      </c>
      <c r="BE26" s="177"/>
      <c r="BF26" s="177"/>
      <c r="BG26" s="189"/>
      <c r="BH26" s="140"/>
      <c r="BI26" s="140"/>
      <c r="BJ26" s="140"/>
      <c r="BQ26" s="208" t="s">
        <v>234</v>
      </c>
      <c r="BR26" s="200">
        <f>STDEV('Part A'!$H$7:$H$272)*15.8745078664</f>
        <v>0.1699994359</v>
      </c>
      <c r="BS26" s="200">
        <f>STDEV('Part A'!$T$7:$T$272)*15.8745078664</f>
        <v>0.2083013864</v>
      </c>
      <c r="BT26" s="200">
        <f>STDEV('Part A'!$AF$7:$AF$272)*15.8745078664</f>
        <v>0.3728389118</v>
      </c>
      <c r="BU26" s="200">
        <f>STDEV('Part A'!$AR$7:$AR$272)*15.8745078664</f>
        <v>0.4384713557</v>
      </c>
      <c r="BV26" s="140"/>
      <c r="BW26" s="140"/>
      <c r="BX26" s="140"/>
      <c r="BY26" s="140"/>
    </row>
    <row r="27" ht="15.75" customHeight="1">
      <c r="A27" s="168"/>
      <c r="B27" s="169">
        <v>45414.0</v>
      </c>
      <c r="C27" s="170">
        <v>6223.71</v>
      </c>
      <c r="D27" s="170">
        <v>6241.52</v>
      </c>
      <c r="E27" s="170">
        <v>6132.56</v>
      </c>
      <c r="F27" s="170">
        <v>6176.34</v>
      </c>
      <c r="G27" s="171" t="s">
        <v>238</v>
      </c>
      <c r="H27" s="172">
        <f t="shared" si="1"/>
        <v>0.00711358198</v>
      </c>
      <c r="I27" s="172"/>
      <c r="J27" s="172"/>
      <c r="K27" s="188"/>
      <c r="L27" s="140"/>
      <c r="M27" s="140"/>
      <c r="N27" s="176">
        <f>IFERROR(__xludf.DUMMYFUNCTION("""COMPUTED_VALUE"""),45414.64583333333)</f>
        <v>45414.64583</v>
      </c>
      <c r="O27" s="177">
        <f>IFERROR(__xludf.DUMMYFUNCTION("""COMPUTED_VALUE"""),1143.0)</f>
        <v>1143</v>
      </c>
      <c r="P27" s="177">
        <f>IFERROR(__xludf.DUMMYFUNCTION("""COMPUTED_VALUE"""),1155.5)</f>
        <v>1155.5</v>
      </c>
      <c r="Q27" s="177">
        <f>IFERROR(__xludf.DUMMYFUNCTION("""COMPUTED_VALUE"""),1133.25)</f>
        <v>1133.25</v>
      </c>
      <c r="R27" s="177">
        <f>IFERROR(__xludf.DUMMYFUNCTION("""COMPUTED_VALUE"""),1139.45)</f>
        <v>1139.45</v>
      </c>
      <c r="S27" s="177">
        <f>IFERROR(__xludf.DUMMYFUNCTION("""COMPUTED_VALUE"""),2.5118334E7)</f>
        <v>25118334</v>
      </c>
      <c r="T27" s="177">
        <f t="shared" si="2"/>
        <v>-0.009564018138</v>
      </c>
      <c r="U27" s="178"/>
      <c r="V27" s="177"/>
      <c r="W27" s="189"/>
      <c r="X27" s="140"/>
      <c r="Y27" s="140"/>
      <c r="Z27" s="176">
        <f>IFERROR(__xludf.DUMMYFUNCTION("""COMPUTED_VALUE"""),45414.64583333333)</f>
        <v>45414.64583</v>
      </c>
      <c r="AA27" s="177">
        <f>IFERROR(__xludf.DUMMYFUNCTION("""COMPUTED_VALUE"""),359.0)</f>
        <v>359</v>
      </c>
      <c r="AB27" s="177">
        <f>IFERROR(__xludf.DUMMYFUNCTION("""COMPUTED_VALUE"""),363.6)</f>
        <v>363.6</v>
      </c>
      <c r="AC27" s="177">
        <f>IFERROR(__xludf.DUMMYFUNCTION("""COMPUTED_VALUE"""),348.45)</f>
        <v>348.45</v>
      </c>
      <c r="AD27" s="177">
        <f>IFERROR(__xludf.DUMMYFUNCTION("""COMPUTED_VALUE"""),352.95)</f>
        <v>352.95</v>
      </c>
      <c r="AE27" s="177">
        <f>IFERROR(__xludf.DUMMYFUNCTION("""COMPUTED_VALUE"""),1.9136966E7)</f>
        <v>19136966</v>
      </c>
      <c r="AF27" s="177">
        <f t="shared" si="3"/>
        <v>-0.005227846594</v>
      </c>
      <c r="AG27" s="177"/>
      <c r="AH27" s="177"/>
      <c r="AI27" s="189"/>
      <c r="AJ27" s="140"/>
      <c r="AK27" s="140"/>
      <c r="AL27" s="176">
        <f>IFERROR(__xludf.DUMMYFUNCTION("""COMPUTED_VALUE"""),45414.64583333333)</f>
        <v>45414.64583</v>
      </c>
      <c r="AM27" s="177">
        <f>IFERROR(__xludf.DUMMYFUNCTION("""COMPUTED_VALUE"""),3942.0)</f>
        <v>3942</v>
      </c>
      <c r="AN27" s="177">
        <f>IFERROR(__xludf.DUMMYFUNCTION("""COMPUTED_VALUE"""),3973.1)</f>
        <v>3973.1</v>
      </c>
      <c r="AO27" s="177">
        <f>IFERROR(__xludf.DUMMYFUNCTION("""COMPUTED_VALUE"""),3931.4)</f>
        <v>3931.4</v>
      </c>
      <c r="AP27" s="177">
        <f>IFERROR(__xludf.DUMMYFUNCTION("""COMPUTED_VALUE"""),3947.2)</f>
        <v>3947.2</v>
      </c>
      <c r="AQ27" s="177">
        <f>IFERROR(__xludf.DUMMYFUNCTION("""COMPUTED_VALUE"""),1008325.0)</f>
        <v>1008325</v>
      </c>
      <c r="AR27" s="177">
        <f t="shared" si="4"/>
        <v>0.001990731712</v>
      </c>
      <c r="AS27" s="177"/>
      <c r="AT27" s="177"/>
      <c r="AU27" s="189"/>
      <c r="AV27" s="140"/>
      <c r="AW27" s="140"/>
      <c r="AX27" s="176">
        <f>IFERROR(__xludf.DUMMYFUNCTION("""COMPUTED_VALUE"""),45414.64583333333)</f>
        <v>45414.64583</v>
      </c>
      <c r="AY27" s="177">
        <f>IFERROR(__xludf.DUMMYFUNCTION("""COMPUTED_VALUE"""),436.0)</f>
        <v>436</v>
      </c>
      <c r="AZ27" s="177">
        <f>IFERROR(__xludf.DUMMYFUNCTION("""COMPUTED_VALUE"""),442.6)</f>
        <v>442.6</v>
      </c>
      <c r="BA27" s="177">
        <f>IFERROR(__xludf.DUMMYFUNCTION("""COMPUTED_VALUE"""),434.85)</f>
        <v>434.85</v>
      </c>
      <c r="BB27" s="177">
        <f>IFERROR(__xludf.DUMMYFUNCTION("""COMPUTED_VALUE"""),439.0)</f>
        <v>439</v>
      </c>
      <c r="BC27" s="177">
        <f>IFERROR(__xludf.DUMMYFUNCTION("""COMPUTED_VALUE"""),2.3228909E7)</f>
        <v>23228909</v>
      </c>
      <c r="BD27" s="177">
        <f t="shared" si="5"/>
        <v>0.007660244398</v>
      </c>
      <c r="BE27" s="177"/>
      <c r="BF27" s="177"/>
      <c r="BG27" s="189"/>
      <c r="BH27" s="140"/>
      <c r="BI27" s="140"/>
      <c r="BJ27" s="140"/>
      <c r="BQ27" s="205" t="s">
        <v>242</v>
      </c>
      <c r="BR27" s="205" t="s">
        <v>243</v>
      </c>
      <c r="BS27" s="205" t="s">
        <v>244</v>
      </c>
      <c r="BT27" s="205" t="s">
        <v>245</v>
      </c>
      <c r="BU27" s="205" t="s">
        <v>246</v>
      </c>
      <c r="BV27" s="205" t="s">
        <v>247</v>
      </c>
      <c r="BW27" s="140"/>
      <c r="BX27" s="140"/>
      <c r="BY27" s="140"/>
    </row>
    <row r="28" ht="15.75" customHeight="1">
      <c r="A28" s="168"/>
      <c r="B28" s="169">
        <v>45415.0</v>
      </c>
      <c r="C28" s="170">
        <v>6181.12</v>
      </c>
      <c r="D28" s="170">
        <v>6221.12</v>
      </c>
      <c r="E28" s="170">
        <v>6107.12</v>
      </c>
      <c r="F28" s="170">
        <v>6171.38</v>
      </c>
      <c r="G28" s="171" t="s">
        <v>238</v>
      </c>
      <c r="H28" s="172">
        <f t="shared" si="1"/>
        <v>-0.0008033872272</v>
      </c>
      <c r="I28" s="172"/>
      <c r="J28" s="172"/>
      <c r="K28" s="188"/>
      <c r="L28" s="140"/>
      <c r="M28" s="140"/>
      <c r="N28" s="176">
        <f>IFERROR(__xludf.DUMMYFUNCTION("""COMPUTED_VALUE"""),45415.64583333333)</f>
        <v>45415.64583</v>
      </c>
      <c r="O28" s="177">
        <f>IFERROR(__xludf.DUMMYFUNCTION("""COMPUTED_VALUE"""),1141.3)</f>
        <v>1141.3</v>
      </c>
      <c r="P28" s="177">
        <f>IFERROR(__xludf.DUMMYFUNCTION("""COMPUTED_VALUE"""),1157.4)</f>
        <v>1157.4</v>
      </c>
      <c r="Q28" s="177">
        <f>IFERROR(__xludf.DUMMYFUNCTION("""COMPUTED_VALUE"""),1135.45)</f>
        <v>1135.45</v>
      </c>
      <c r="R28" s="177">
        <f>IFERROR(__xludf.DUMMYFUNCTION("""COMPUTED_VALUE"""),1142.05)</f>
        <v>1142.05</v>
      </c>
      <c r="S28" s="177">
        <f>IFERROR(__xludf.DUMMYFUNCTION("""COMPUTED_VALUE"""),1.9933604E7)</f>
        <v>19933604</v>
      </c>
      <c r="T28" s="177">
        <f t="shared" si="2"/>
        <v>0.002279203266</v>
      </c>
      <c r="U28" s="178"/>
      <c r="V28" s="177"/>
      <c r="W28" s="189"/>
      <c r="X28" s="140"/>
      <c r="Y28" s="140"/>
      <c r="Z28" s="176">
        <f>IFERROR(__xludf.DUMMYFUNCTION("""COMPUTED_VALUE"""),45415.64583333333)</f>
        <v>45415.64583</v>
      </c>
      <c r="AA28" s="177">
        <f>IFERROR(__xludf.DUMMYFUNCTION("""COMPUTED_VALUE"""),353.5)</f>
        <v>353.5</v>
      </c>
      <c r="AB28" s="177">
        <f>IFERROR(__xludf.DUMMYFUNCTION("""COMPUTED_VALUE"""),358.35)</f>
        <v>358.35</v>
      </c>
      <c r="AC28" s="177">
        <f>IFERROR(__xludf.DUMMYFUNCTION("""COMPUTED_VALUE"""),347.65)</f>
        <v>347.65</v>
      </c>
      <c r="AD28" s="177">
        <f>IFERROR(__xludf.DUMMYFUNCTION("""COMPUTED_VALUE"""),350.95)</f>
        <v>350.95</v>
      </c>
      <c r="AE28" s="177">
        <f>IFERROR(__xludf.DUMMYFUNCTION("""COMPUTED_VALUE"""),1.4060465E7)</f>
        <v>14060465</v>
      </c>
      <c r="AF28" s="177">
        <f t="shared" si="3"/>
        <v>-0.005682640665</v>
      </c>
      <c r="AG28" s="177"/>
      <c r="AH28" s="177"/>
      <c r="AI28" s="189"/>
      <c r="AJ28" s="140"/>
      <c r="AK28" s="140"/>
      <c r="AL28" s="176">
        <f>IFERROR(__xludf.DUMMYFUNCTION("""COMPUTED_VALUE"""),45415.64583333333)</f>
        <v>45415.64583</v>
      </c>
      <c r="AM28" s="177">
        <f>IFERROR(__xludf.DUMMYFUNCTION("""COMPUTED_VALUE"""),3952.25)</f>
        <v>3952.25</v>
      </c>
      <c r="AN28" s="177">
        <f>IFERROR(__xludf.DUMMYFUNCTION("""COMPUTED_VALUE"""),3967.0)</f>
        <v>3967</v>
      </c>
      <c r="AO28" s="177">
        <f>IFERROR(__xludf.DUMMYFUNCTION("""COMPUTED_VALUE"""),3880.0)</f>
        <v>3880</v>
      </c>
      <c r="AP28" s="177">
        <f>IFERROR(__xludf.DUMMYFUNCTION("""COMPUTED_VALUE"""),3920.2)</f>
        <v>3920.2</v>
      </c>
      <c r="AQ28" s="177">
        <f>IFERROR(__xludf.DUMMYFUNCTION("""COMPUTED_VALUE"""),1180369.0)</f>
        <v>1180369</v>
      </c>
      <c r="AR28" s="177">
        <f t="shared" si="4"/>
        <v>-0.006863793884</v>
      </c>
      <c r="AS28" s="177"/>
      <c r="AT28" s="177"/>
      <c r="AU28" s="189"/>
      <c r="AV28" s="140"/>
      <c r="AW28" s="140"/>
      <c r="AX28" s="176">
        <f>IFERROR(__xludf.DUMMYFUNCTION("""COMPUTED_VALUE"""),45415.64583333333)</f>
        <v>45415.64583</v>
      </c>
      <c r="AY28" s="177">
        <f>IFERROR(__xludf.DUMMYFUNCTION("""COMPUTED_VALUE"""),440.05)</f>
        <v>440.05</v>
      </c>
      <c r="AZ28" s="177">
        <f>IFERROR(__xludf.DUMMYFUNCTION("""COMPUTED_VALUE"""),440.05)</f>
        <v>440.05</v>
      </c>
      <c r="BA28" s="177">
        <f>IFERROR(__xludf.DUMMYFUNCTION("""COMPUTED_VALUE"""),431.35)</f>
        <v>431.35</v>
      </c>
      <c r="BB28" s="177">
        <f>IFERROR(__xludf.DUMMYFUNCTION("""COMPUTED_VALUE"""),436.45)</f>
        <v>436.45</v>
      </c>
      <c r="BC28" s="177">
        <f>IFERROR(__xludf.DUMMYFUNCTION("""COMPUTED_VALUE"""),2.2904276E7)</f>
        <v>22904276</v>
      </c>
      <c r="BD28" s="177">
        <f t="shared" si="5"/>
        <v>-0.005825591894</v>
      </c>
      <c r="BE28" s="177"/>
      <c r="BF28" s="177"/>
      <c r="BG28" s="189"/>
      <c r="BH28" s="140"/>
      <c r="BI28" s="140"/>
      <c r="BJ28" s="140"/>
      <c r="BQ28" s="205" t="s">
        <v>248</v>
      </c>
      <c r="BR28" s="201">
        <f t="array" ref="BR28">MMULT(BR24:BU24, TRANSPOSE(BR25:BU25))</f>
        <v>0.4091562898</v>
      </c>
      <c r="BS28" s="202">
        <f t="array" ref="BS28">MMULT(BR24:BU24, MMULT('Part A'!$BL$6:$BO$9, TRANSPOSE(BR24:BU24)))</f>
        <v>0.0192903878</v>
      </c>
      <c r="BT28" s="202">
        <f>SQRT(BS28)</f>
        <v>0.1388898405</v>
      </c>
      <c r="BU28" s="201">
        <f>SQRT(BS28)</f>
        <v>0.1388898405</v>
      </c>
      <c r="BV28" s="203">
        <f>(BR28-'Part A'!BI7)/(BU28)</f>
        <v>2.523987993</v>
      </c>
      <c r="BW28" s="140"/>
      <c r="BX28" s="140"/>
      <c r="BY28" s="140"/>
    </row>
    <row r="29" ht="15.75" customHeight="1">
      <c r="A29" s="168"/>
      <c r="B29" s="169">
        <v>45418.0</v>
      </c>
      <c r="C29" s="170">
        <v>6171.94</v>
      </c>
      <c r="D29" s="170">
        <v>6260.67</v>
      </c>
      <c r="E29" s="170">
        <v>6143.12</v>
      </c>
      <c r="F29" s="170">
        <v>6235.38</v>
      </c>
      <c r="G29" s="171" t="s">
        <v>238</v>
      </c>
      <c r="H29" s="172">
        <f t="shared" si="1"/>
        <v>0.01031704775</v>
      </c>
      <c r="I29" s="172"/>
      <c r="J29" s="172"/>
      <c r="K29" s="188"/>
      <c r="L29" s="140"/>
      <c r="M29" s="140"/>
      <c r="N29" s="176">
        <f>IFERROR(__xludf.DUMMYFUNCTION("""COMPUTED_VALUE"""),45418.64583333333)</f>
        <v>45418.64583</v>
      </c>
      <c r="O29" s="177">
        <f>IFERROR(__xludf.DUMMYFUNCTION("""COMPUTED_VALUE"""),1141.55)</f>
        <v>1141.55</v>
      </c>
      <c r="P29" s="177">
        <f>IFERROR(__xludf.DUMMYFUNCTION("""COMPUTED_VALUE"""),1158.45)</f>
        <v>1158.45</v>
      </c>
      <c r="Q29" s="177">
        <f>IFERROR(__xludf.DUMMYFUNCTION("""COMPUTED_VALUE"""),1138.1)</f>
        <v>1138.1</v>
      </c>
      <c r="R29" s="177">
        <f>IFERROR(__xludf.DUMMYFUNCTION("""COMPUTED_VALUE"""),1146.3)</f>
        <v>1146.3</v>
      </c>
      <c r="S29" s="177">
        <f>IFERROR(__xludf.DUMMYFUNCTION("""COMPUTED_VALUE"""),1.4970524E7)</f>
        <v>14970524</v>
      </c>
      <c r="T29" s="177">
        <f t="shared" si="2"/>
        <v>0.003714471026</v>
      </c>
      <c r="U29" s="178"/>
      <c r="V29" s="177"/>
      <c r="W29" s="189"/>
      <c r="X29" s="140"/>
      <c r="Y29" s="140"/>
      <c r="Z29" s="176">
        <f>IFERROR(__xludf.DUMMYFUNCTION("""COMPUTED_VALUE"""),45418.64583333333)</f>
        <v>45418.64583</v>
      </c>
      <c r="AA29" s="177">
        <f>IFERROR(__xludf.DUMMYFUNCTION("""COMPUTED_VALUE"""),353.8)</f>
        <v>353.8</v>
      </c>
      <c r="AB29" s="177">
        <f>IFERROR(__xludf.DUMMYFUNCTION("""COMPUTED_VALUE"""),356.0)</f>
        <v>356</v>
      </c>
      <c r="AC29" s="177">
        <f>IFERROR(__xludf.DUMMYFUNCTION("""COMPUTED_VALUE"""),345.45)</f>
        <v>345.45</v>
      </c>
      <c r="AD29" s="177">
        <f>IFERROR(__xludf.DUMMYFUNCTION("""COMPUTED_VALUE"""),351.15)</f>
        <v>351.15</v>
      </c>
      <c r="AE29" s="177">
        <f>IFERROR(__xludf.DUMMYFUNCTION("""COMPUTED_VALUE"""),7702154.0)</f>
        <v>7702154</v>
      </c>
      <c r="AF29" s="177">
        <f t="shared" si="3"/>
        <v>0.0005697194286</v>
      </c>
      <c r="AG29" s="177"/>
      <c r="AH29" s="177"/>
      <c r="AI29" s="189"/>
      <c r="AJ29" s="140"/>
      <c r="AK29" s="140"/>
      <c r="AL29" s="176">
        <f>IFERROR(__xludf.DUMMYFUNCTION("""COMPUTED_VALUE"""),45418.64583333333)</f>
        <v>45418.64583</v>
      </c>
      <c r="AM29" s="177">
        <f>IFERROR(__xludf.DUMMYFUNCTION("""COMPUTED_VALUE"""),3936.0)</f>
        <v>3936</v>
      </c>
      <c r="AN29" s="177">
        <f>IFERROR(__xludf.DUMMYFUNCTION("""COMPUTED_VALUE"""),3938.4)</f>
        <v>3938.4</v>
      </c>
      <c r="AO29" s="177">
        <f>IFERROR(__xludf.DUMMYFUNCTION("""COMPUTED_VALUE"""),3785.05)</f>
        <v>3785.05</v>
      </c>
      <c r="AP29" s="177">
        <f>IFERROR(__xludf.DUMMYFUNCTION("""COMPUTED_VALUE"""),3816.4)</f>
        <v>3816.4</v>
      </c>
      <c r="AQ29" s="177">
        <f>IFERROR(__xludf.DUMMYFUNCTION("""COMPUTED_VALUE"""),1613143.0)</f>
        <v>1613143</v>
      </c>
      <c r="AR29" s="177">
        <f t="shared" si="4"/>
        <v>-0.02683510301</v>
      </c>
      <c r="AS29" s="177"/>
      <c r="AT29" s="177"/>
      <c r="AU29" s="189"/>
      <c r="AV29" s="140"/>
      <c r="AW29" s="140"/>
      <c r="AX29" s="176">
        <f>IFERROR(__xludf.DUMMYFUNCTION("""COMPUTED_VALUE"""),45418.64583333333)</f>
        <v>45418.64583</v>
      </c>
      <c r="AY29" s="177">
        <f>IFERROR(__xludf.DUMMYFUNCTION("""COMPUTED_VALUE"""),438.0)</f>
        <v>438</v>
      </c>
      <c r="AZ29" s="177">
        <f>IFERROR(__xludf.DUMMYFUNCTION("""COMPUTED_VALUE"""),440.45)</f>
        <v>440.45</v>
      </c>
      <c r="BA29" s="177">
        <f>IFERROR(__xludf.DUMMYFUNCTION("""COMPUTED_VALUE"""),433.35)</f>
        <v>433.35</v>
      </c>
      <c r="BB29" s="177">
        <f>IFERROR(__xludf.DUMMYFUNCTION("""COMPUTED_VALUE"""),434.75)</f>
        <v>434.75</v>
      </c>
      <c r="BC29" s="177">
        <f>IFERROR(__xludf.DUMMYFUNCTION("""COMPUTED_VALUE"""),1.0355056E7)</f>
        <v>10355056</v>
      </c>
      <c r="BD29" s="177">
        <f t="shared" si="5"/>
        <v>-0.003902667947</v>
      </c>
      <c r="BE29" s="177"/>
      <c r="BF29" s="177"/>
      <c r="BG29" s="189"/>
      <c r="BH29" s="140"/>
      <c r="BI29" s="140"/>
      <c r="BJ29" s="140"/>
      <c r="BQ29" s="140"/>
      <c r="BR29" s="140"/>
      <c r="BS29" s="140"/>
      <c r="BT29" s="140"/>
      <c r="BU29" s="140"/>
      <c r="BV29" s="140"/>
      <c r="BW29" s="140"/>
      <c r="BX29" s="140"/>
      <c r="BY29" s="140"/>
    </row>
    <row r="30" ht="15.75" customHeight="1">
      <c r="A30" s="168"/>
      <c r="B30" s="169">
        <v>45419.0</v>
      </c>
      <c r="C30" s="170">
        <v>6237.71</v>
      </c>
      <c r="D30" s="170">
        <v>6252.52</v>
      </c>
      <c r="E30" s="170">
        <v>6200.12</v>
      </c>
      <c r="F30" s="170">
        <v>6209.12</v>
      </c>
      <c r="G30" s="171" t="s">
        <v>238</v>
      </c>
      <c r="H30" s="172">
        <f t="shared" si="1"/>
        <v>-0.004220344566</v>
      </c>
      <c r="I30" s="172"/>
      <c r="J30" s="172"/>
      <c r="K30" s="188"/>
      <c r="L30" s="140"/>
      <c r="M30" s="140"/>
      <c r="N30" s="176">
        <f>IFERROR(__xludf.DUMMYFUNCTION("""COMPUTED_VALUE"""),45419.64583333333)</f>
        <v>45419.64583</v>
      </c>
      <c r="O30" s="177">
        <f>IFERROR(__xludf.DUMMYFUNCTION("""COMPUTED_VALUE"""),1147.95)</f>
        <v>1147.95</v>
      </c>
      <c r="P30" s="177">
        <f>IFERROR(__xludf.DUMMYFUNCTION("""COMPUTED_VALUE"""),1152.75)</f>
        <v>1152.75</v>
      </c>
      <c r="Q30" s="177">
        <f>IFERROR(__xludf.DUMMYFUNCTION("""COMPUTED_VALUE"""),1126.3)</f>
        <v>1126.3</v>
      </c>
      <c r="R30" s="177">
        <f>IFERROR(__xludf.DUMMYFUNCTION("""COMPUTED_VALUE"""),1131.9)</f>
        <v>1131.9</v>
      </c>
      <c r="S30" s="177">
        <f>IFERROR(__xludf.DUMMYFUNCTION("""COMPUTED_VALUE"""),1.5097728E7)</f>
        <v>15097728</v>
      </c>
      <c r="T30" s="177">
        <f t="shared" si="2"/>
        <v>-0.01264172748</v>
      </c>
      <c r="U30" s="178"/>
      <c r="V30" s="177"/>
      <c r="W30" s="189"/>
      <c r="X30" s="140"/>
      <c r="Y30" s="140"/>
      <c r="Z30" s="176">
        <f>IFERROR(__xludf.DUMMYFUNCTION("""COMPUTED_VALUE"""),45419.64583333333)</f>
        <v>45419.64583</v>
      </c>
      <c r="AA30" s="177">
        <f>IFERROR(__xludf.DUMMYFUNCTION("""COMPUTED_VALUE"""),347.0)</f>
        <v>347</v>
      </c>
      <c r="AB30" s="177">
        <f>IFERROR(__xludf.DUMMYFUNCTION("""COMPUTED_VALUE"""),348.8)</f>
        <v>348.8</v>
      </c>
      <c r="AC30" s="177">
        <f>IFERROR(__xludf.DUMMYFUNCTION("""COMPUTED_VALUE"""),335.5)</f>
        <v>335.5</v>
      </c>
      <c r="AD30" s="177">
        <f>IFERROR(__xludf.DUMMYFUNCTION("""COMPUTED_VALUE"""),338.2)</f>
        <v>338.2</v>
      </c>
      <c r="AE30" s="177">
        <f>IFERROR(__xludf.DUMMYFUNCTION("""COMPUTED_VALUE"""),1.2770435E7)</f>
        <v>12770435</v>
      </c>
      <c r="AF30" s="177">
        <f t="shared" si="3"/>
        <v>-0.03757604614</v>
      </c>
      <c r="AG30" s="177"/>
      <c r="AH30" s="177"/>
      <c r="AI30" s="189"/>
      <c r="AJ30" s="140"/>
      <c r="AK30" s="140"/>
      <c r="AL30" s="176">
        <f>IFERROR(__xludf.DUMMYFUNCTION("""COMPUTED_VALUE"""),45419.64583333333)</f>
        <v>45419.64583</v>
      </c>
      <c r="AM30" s="177">
        <f>IFERROR(__xludf.DUMMYFUNCTION("""COMPUTED_VALUE"""),3815.45)</f>
        <v>3815.45</v>
      </c>
      <c r="AN30" s="177">
        <f>IFERROR(__xludf.DUMMYFUNCTION("""COMPUTED_VALUE"""),3839.0)</f>
        <v>3839</v>
      </c>
      <c r="AO30" s="177">
        <f>IFERROR(__xludf.DUMMYFUNCTION("""COMPUTED_VALUE"""),3693.4)</f>
        <v>3693.4</v>
      </c>
      <c r="AP30" s="177">
        <f>IFERROR(__xludf.DUMMYFUNCTION("""COMPUTED_VALUE"""),3715.0)</f>
        <v>3715</v>
      </c>
      <c r="AQ30" s="177">
        <f>IFERROR(__xludf.DUMMYFUNCTION("""COMPUTED_VALUE"""),1975562.0)</f>
        <v>1975562</v>
      </c>
      <c r="AR30" s="177">
        <f t="shared" si="4"/>
        <v>-0.02692889173</v>
      </c>
      <c r="AS30" s="177"/>
      <c r="AT30" s="177"/>
      <c r="AU30" s="189"/>
      <c r="AV30" s="140"/>
      <c r="AW30" s="140"/>
      <c r="AX30" s="176">
        <f>IFERROR(__xludf.DUMMYFUNCTION("""COMPUTED_VALUE"""),45419.64583333333)</f>
        <v>45419.64583</v>
      </c>
      <c r="AY30" s="177">
        <f>IFERROR(__xludf.DUMMYFUNCTION("""COMPUTED_VALUE"""),436.9)</f>
        <v>436.9</v>
      </c>
      <c r="AZ30" s="177">
        <f>IFERROR(__xludf.DUMMYFUNCTION("""COMPUTED_VALUE"""),446.0)</f>
        <v>446</v>
      </c>
      <c r="BA30" s="177">
        <f>IFERROR(__xludf.DUMMYFUNCTION("""COMPUTED_VALUE"""),435.2)</f>
        <v>435.2</v>
      </c>
      <c r="BB30" s="177">
        <f>IFERROR(__xludf.DUMMYFUNCTION("""COMPUTED_VALUE"""),440.35)</f>
        <v>440.35</v>
      </c>
      <c r="BC30" s="177">
        <f>IFERROR(__xludf.DUMMYFUNCTION("""COMPUTED_VALUE"""),2.5968921E7)</f>
        <v>25968921</v>
      </c>
      <c r="BD30" s="177">
        <f t="shared" si="5"/>
        <v>0.01279871202</v>
      </c>
      <c r="BE30" s="177"/>
      <c r="BF30" s="177"/>
      <c r="BG30" s="189"/>
      <c r="BH30" s="140"/>
      <c r="BI30" s="140"/>
      <c r="BJ30" s="140"/>
      <c r="BQ30" s="140"/>
      <c r="BR30" s="140"/>
      <c r="BS30" s="140"/>
      <c r="BT30" s="140"/>
      <c r="BU30" s="140"/>
      <c r="BV30" s="140"/>
      <c r="BW30" s="140"/>
      <c r="BX30" s="140"/>
      <c r="BY30" s="140"/>
    </row>
    <row r="31" ht="15.75" customHeight="1">
      <c r="A31" s="168"/>
      <c r="B31" s="169">
        <v>45420.0</v>
      </c>
      <c r="C31" s="170">
        <v>6209.71</v>
      </c>
      <c r="D31" s="170">
        <v>6231.12</v>
      </c>
      <c r="E31" s="170">
        <v>6184.12</v>
      </c>
      <c r="F31" s="170">
        <v>6192.12</v>
      </c>
      <c r="G31" s="171" t="s">
        <v>238</v>
      </c>
      <c r="H31" s="172">
        <f t="shared" si="1"/>
        <v>-0.002741663035</v>
      </c>
      <c r="I31" s="172"/>
      <c r="J31" s="172"/>
      <c r="K31" s="188"/>
      <c r="L31" s="140"/>
      <c r="M31" s="140"/>
      <c r="N31" s="176">
        <f>IFERROR(__xludf.DUMMYFUNCTION("""COMPUTED_VALUE"""),45420.64583333333)</f>
        <v>45420.64583</v>
      </c>
      <c r="O31" s="177">
        <f>IFERROR(__xludf.DUMMYFUNCTION("""COMPUTED_VALUE"""),1126.55)</f>
        <v>1126.55</v>
      </c>
      <c r="P31" s="177">
        <f>IFERROR(__xludf.DUMMYFUNCTION("""COMPUTED_VALUE"""),1132.0)</f>
        <v>1132</v>
      </c>
      <c r="Q31" s="177">
        <f>IFERROR(__xludf.DUMMYFUNCTION("""COMPUTED_VALUE"""),1116.05)</f>
        <v>1116.05</v>
      </c>
      <c r="R31" s="177">
        <f>IFERROR(__xludf.DUMMYFUNCTION("""COMPUTED_VALUE"""),1123.0)</f>
        <v>1123</v>
      </c>
      <c r="S31" s="177">
        <f>IFERROR(__xludf.DUMMYFUNCTION("""COMPUTED_VALUE"""),1.991309E7)</f>
        <v>19913090</v>
      </c>
      <c r="T31" s="177">
        <f t="shared" si="2"/>
        <v>-0.0078939609</v>
      </c>
      <c r="U31" s="178"/>
      <c r="V31" s="177"/>
      <c r="W31" s="189"/>
      <c r="X31" s="140"/>
      <c r="Y31" s="140"/>
      <c r="Z31" s="176">
        <f>IFERROR(__xludf.DUMMYFUNCTION("""COMPUTED_VALUE"""),45420.64583333333)</f>
        <v>45420.64583</v>
      </c>
      <c r="AA31" s="177">
        <f>IFERROR(__xludf.DUMMYFUNCTION("""COMPUTED_VALUE"""),336.0)</f>
        <v>336</v>
      </c>
      <c r="AB31" s="177">
        <f>IFERROR(__xludf.DUMMYFUNCTION("""COMPUTED_VALUE"""),342.15)</f>
        <v>342.15</v>
      </c>
      <c r="AC31" s="177">
        <f>IFERROR(__xludf.DUMMYFUNCTION("""COMPUTED_VALUE"""),333.75)</f>
        <v>333.75</v>
      </c>
      <c r="AD31" s="177">
        <f>IFERROR(__xludf.DUMMYFUNCTION("""COMPUTED_VALUE"""),337.3)</f>
        <v>337.3</v>
      </c>
      <c r="AE31" s="177">
        <f>IFERROR(__xludf.DUMMYFUNCTION("""COMPUTED_VALUE"""),9756671.0)</f>
        <v>9756671</v>
      </c>
      <c r="AF31" s="177">
        <f t="shared" si="3"/>
        <v>-0.002664694397</v>
      </c>
      <c r="AG31" s="177"/>
      <c r="AH31" s="177"/>
      <c r="AI31" s="189"/>
      <c r="AJ31" s="140"/>
      <c r="AK31" s="140"/>
      <c r="AL31" s="176">
        <f>IFERROR(__xludf.DUMMYFUNCTION("""COMPUTED_VALUE"""),45420.64583333333)</f>
        <v>45420.64583</v>
      </c>
      <c r="AM31" s="177">
        <f>IFERROR(__xludf.DUMMYFUNCTION("""COMPUTED_VALUE"""),3703.0)</f>
        <v>3703</v>
      </c>
      <c r="AN31" s="177">
        <f>IFERROR(__xludf.DUMMYFUNCTION("""COMPUTED_VALUE"""),3883.2)</f>
        <v>3883.2</v>
      </c>
      <c r="AO31" s="177">
        <f>IFERROR(__xludf.DUMMYFUNCTION("""COMPUTED_VALUE"""),3671.0)</f>
        <v>3671</v>
      </c>
      <c r="AP31" s="177">
        <f>IFERROR(__xludf.DUMMYFUNCTION("""COMPUTED_VALUE"""),3856.5)</f>
        <v>3856.5</v>
      </c>
      <c r="AQ31" s="177">
        <f>IFERROR(__xludf.DUMMYFUNCTION("""COMPUTED_VALUE"""),1993745.0)</f>
        <v>1993745</v>
      </c>
      <c r="AR31" s="177">
        <f t="shared" si="4"/>
        <v>0.03738135822</v>
      </c>
      <c r="AS31" s="177"/>
      <c r="AT31" s="177"/>
      <c r="AU31" s="189"/>
      <c r="AV31" s="140"/>
      <c r="AW31" s="140"/>
      <c r="AX31" s="176">
        <f>IFERROR(__xludf.DUMMYFUNCTION("""COMPUTED_VALUE"""),45420.64583333333)</f>
        <v>45420.64583</v>
      </c>
      <c r="AY31" s="177">
        <f>IFERROR(__xludf.DUMMYFUNCTION("""COMPUTED_VALUE"""),441.25)</f>
        <v>441.25</v>
      </c>
      <c r="AZ31" s="177">
        <f>IFERROR(__xludf.DUMMYFUNCTION("""COMPUTED_VALUE"""),444.7)</f>
        <v>444.7</v>
      </c>
      <c r="BA31" s="177">
        <f>IFERROR(__xludf.DUMMYFUNCTION("""COMPUTED_VALUE"""),438.2)</f>
        <v>438.2</v>
      </c>
      <c r="BB31" s="177">
        <f>IFERROR(__xludf.DUMMYFUNCTION("""COMPUTED_VALUE"""),441.0)</f>
        <v>441</v>
      </c>
      <c r="BC31" s="177">
        <f>IFERROR(__xludf.DUMMYFUNCTION("""COMPUTED_VALUE"""),1.0511646E7)</f>
        <v>10511646</v>
      </c>
      <c r="BD31" s="177">
        <f t="shared" si="5"/>
        <v>0.001475010195</v>
      </c>
      <c r="BE31" s="177"/>
      <c r="BF31" s="177"/>
      <c r="BG31" s="189"/>
      <c r="BH31" s="140"/>
      <c r="BI31" s="140"/>
      <c r="BJ31" s="140"/>
      <c r="BK31" s="140"/>
      <c r="BL31" s="140"/>
      <c r="BM31" s="140"/>
      <c r="BN31" s="140"/>
      <c r="BO31" s="140"/>
      <c r="BP31" s="140"/>
      <c r="BQ31" s="140"/>
      <c r="BR31" s="140"/>
      <c r="BS31" s="140"/>
      <c r="BT31" s="140"/>
      <c r="BU31" s="140"/>
      <c r="BV31" s="140"/>
      <c r="BW31" s="140"/>
      <c r="BX31" s="140"/>
      <c r="BY31" s="140"/>
    </row>
    <row r="32" ht="15.75" customHeight="1">
      <c r="A32" s="168"/>
      <c r="B32" s="169">
        <v>45421.0</v>
      </c>
      <c r="C32" s="170">
        <v>6194.71</v>
      </c>
      <c r="D32" s="170">
        <v>6297.52</v>
      </c>
      <c r="E32" s="170">
        <v>6190.78</v>
      </c>
      <c r="F32" s="170">
        <v>6293.71</v>
      </c>
      <c r="G32" s="171" t="s">
        <v>238</v>
      </c>
      <c r="H32" s="172">
        <f t="shared" si="1"/>
        <v>0.01627320601</v>
      </c>
      <c r="I32" s="172"/>
      <c r="J32" s="172"/>
      <c r="K32" s="188"/>
      <c r="L32" s="140"/>
      <c r="M32" s="140"/>
      <c r="N32" s="176">
        <f>IFERROR(__xludf.DUMMYFUNCTION("""COMPUTED_VALUE"""),45421.64583333333)</f>
        <v>45421.64583</v>
      </c>
      <c r="O32" s="177">
        <f>IFERROR(__xludf.DUMMYFUNCTION("""COMPUTED_VALUE"""),1120.55)</f>
        <v>1120.55</v>
      </c>
      <c r="P32" s="177">
        <f>IFERROR(__xludf.DUMMYFUNCTION("""COMPUTED_VALUE"""),1128.85)</f>
        <v>1128.85</v>
      </c>
      <c r="Q32" s="177">
        <f>IFERROR(__xludf.DUMMYFUNCTION("""COMPUTED_VALUE"""),1110.0)</f>
        <v>1110</v>
      </c>
      <c r="R32" s="177">
        <f>IFERROR(__xludf.DUMMYFUNCTION("""COMPUTED_VALUE"""),1115.7)</f>
        <v>1115.7</v>
      </c>
      <c r="S32" s="177">
        <f>IFERROR(__xludf.DUMMYFUNCTION("""COMPUTED_VALUE"""),1.2229853E7)</f>
        <v>12229853</v>
      </c>
      <c r="T32" s="177">
        <f t="shared" si="2"/>
        <v>-0.006521665139</v>
      </c>
      <c r="U32" s="178"/>
      <c r="V32" s="177"/>
      <c r="W32" s="189"/>
      <c r="X32" s="140"/>
      <c r="Y32" s="140"/>
      <c r="Z32" s="176">
        <f>IFERROR(__xludf.DUMMYFUNCTION("""COMPUTED_VALUE"""),45421.64583333333)</f>
        <v>45421.64583</v>
      </c>
      <c r="AA32" s="177">
        <f>IFERROR(__xludf.DUMMYFUNCTION("""COMPUTED_VALUE"""),338.3)</f>
        <v>338.3</v>
      </c>
      <c r="AB32" s="177">
        <f>IFERROR(__xludf.DUMMYFUNCTION("""COMPUTED_VALUE"""),341.35)</f>
        <v>341.35</v>
      </c>
      <c r="AC32" s="177">
        <f>IFERROR(__xludf.DUMMYFUNCTION("""COMPUTED_VALUE"""),325.85)</f>
        <v>325.85</v>
      </c>
      <c r="AD32" s="177">
        <f>IFERROR(__xludf.DUMMYFUNCTION("""COMPUTED_VALUE"""),327.85)</f>
        <v>327.85</v>
      </c>
      <c r="AE32" s="177">
        <f>IFERROR(__xludf.DUMMYFUNCTION("""COMPUTED_VALUE"""),6656525.0)</f>
        <v>6656525</v>
      </c>
      <c r="AF32" s="177">
        <f t="shared" si="3"/>
        <v>-0.02841655536</v>
      </c>
      <c r="AG32" s="177"/>
      <c r="AH32" s="177"/>
      <c r="AI32" s="189"/>
      <c r="AJ32" s="140"/>
      <c r="AK32" s="140"/>
      <c r="AL32" s="176">
        <f>IFERROR(__xludf.DUMMYFUNCTION("""COMPUTED_VALUE"""),45421.64583333333)</f>
        <v>45421.64583</v>
      </c>
      <c r="AM32" s="177">
        <f>IFERROR(__xludf.DUMMYFUNCTION("""COMPUTED_VALUE"""),3895.8)</f>
        <v>3895.8</v>
      </c>
      <c r="AN32" s="177">
        <f>IFERROR(__xludf.DUMMYFUNCTION("""COMPUTED_VALUE"""),3954.0)</f>
        <v>3954</v>
      </c>
      <c r="AO32" s="177">
        <f>IFERROR(__xludf.DUMMYFUNCTION("""COMPUTED_VALUE"""),3820.45)</f>
        <v>3820.45</v>
      </c>
      <c r="AP32" s="177">
        <f>IFERROR(__xludf.DUMMYFUNCTION("""COMPUTED_VALUE"""),3846.65)</f>
        <v>3846.65</v>
      </c>
      <c r="AQ32" s="177">
        <f>IFERROR(__xludf.DUMMYFUNCTION("""COMPUTED_VALUE"""),2335375.0)</f>
        <v>2335375</v>
      </c>
      <c r="AR32" s="177">
        <f t="shared" si="4"/>
        <v>-0.002557396745</v>
      </c>
      <c r="AS32" s="177"/>
      <c r="AT32" s="177"/>
      <c r="AU32" s="189"/>
      <c r="AV32" s="140"/>
      <c r="AW32" s="140"/>
      <c r="AX32" s="176">
        <f>IFERROR(__xludf.DUMMYFUNCTION("""COMPUTED_VALUE"""),45421.64583333333)</f>
        <v>45421.64583</v>
      </c>
      <c r="AY32" s="177">
        <f>IFERROR(__xludf.DUMMYFUNCTION("""COMPUTED_VALUE"""),440.05)</f>
        <v>440.05</v>
      </c>
      <c r="AZ32" s="177">
        <f>IFERROR(__xludf.DUMMYFUNCTION("""COMPUTED_VALUE"""),441.5)</f>
        <v>441.5</v>
      </c>
      <c r="BA32" s="177">
        <f>IFERROR(__xludf.DUMMYFUNCTION("""COMPUTED_VALUE"""),423.35)</f>
        <v>423.35</v>
      </c>
      <c r="BB32" s="177">
        <f>IFERROR(__xludf.DUMMYFUNCTION("""COMPUTED_VALUE"""),425.1)</f>
        <v>425.1</v>
      </c>
      <c r="BC32" s="177">
        <f>IFERROR(__xludf.DUMMYFUNCTION("""COMPUTED_VALUE"""),2.3412609E7)</f>
        <v>23412609</v>
      </c>
      <c r="BD32" s="177">
        <f t="shared" si="5"/>
        <v>-0.03672044008</v>
      </c>
      <c r="BE32" s="177"/>
      <c r="BF32" s="177"/>
      <c r="BG32" s="189"/>
      <c r="BH32" s="140"/>
      <c r="BI32" s="140"/>
      <c r="BJ32" s="140"/>
      <c r="BK32" s="140"/>
      <c r="BL32" s="140"/>
      <c r="BM32" s="140"/>
      <c r="BN32" s="140"/>
      <c r="BO32" s="140"/>
      <c r="BP32" s="140"/>
      <c r="BQ32" s="140"/>
      <c r="BR32" s="140"/>
      <c r="BS32" s="140"/>
      <c r="BT32" s="140"/>
      <c r="BU32" s="140"/>
      <c r="BV32" s="140"/>
      <c r="BW32" s="140"/>
      <c r="BX32" s="140"/>
      <c r="BY32" s="140"/>
    </row>
    <row r="33" ht="15.75" customHeight="1">
      <c r="A33" s="168"/>
      <c r="B33" s="169">
        <v>45422.0</v>
      </c>
      <c r="C33" s="170">
        <v>6295.12</v>
      </c>
      <c r="D33" s="170">
        <v>6385.52</v>
      </c>
      <c r="E33" s="170">
        <v>6292.12</v>
      </c>
      <c r="F33" s="170">
        <v>6338.78</v>
      </c>
      <c r="G33" s="171" t="s">
        <v>238</v>
      </c>
      <c r="H33" s="172">
        <f t="shared" si="1"/>
        <v>0.007135598957</v>
      </c>
      <c r="I33" s="172"/>
      <c r="J33" s="172"/>
      <c r="K33" s="188"/>
      <c r="L33" s="140"/>
      <c r="M33" s="140"/>
      <c r="N33" s="176">
        <f>IFERROR(__xludf.DUMMYFUNCTION("""COMPUTED_VALUE"""),45422.64583333333)</f>
        <v>45422.64583</v>
      </c>
      <c r="O33" s="177">
        <f>IFERROR(__xludf.DUMMYFUNCTION("""COMPUTED_VALUE"""),1118.0)</f>
        <v>1118</v>
      </c>
      <c r="P33" s="177">
        <f>IFERROR(__xludf.DUMMYFUNCTION("""COMPUTED_VALUE"""),1128.9)</f>
        <v>1128.9</v>
      </c>
      <c r="Q33" s="177">
        <f>IFERROR(__xludf.DUMMYFUNCTION("""COMPUTED_VALUE"""),1112.05)</f>
        <v>1112.05</v>
      </c>
      <c r="R33" s="177">
        <f>IFERROR(__xludf.DUMMYFUNCTION("""COMPUTED_VALUE"""),1117.05)</f>
        <v>1117.05</v>
      </c>
      <c r="S33" s="177">
        <f>IFERROR(__xludf.DUMMYFUNCTION("""COMPUTED_VALUE"""),8573656.0)</f>
        <v>8573656</v>
      </c>
      <c r="T33" s="177">
        <f t="shared" si="2"/>
        <v>0.001209271226</v>
      </c>
      <c r="U33" s="178"/>
      <c r="V33" s="177"/>
      <c r="W33" s="189"/>
      <c r="X33" s="140"/>
      <c r="Y33" s="140"/>
      <c r="Z33" s="176">
        <f>IFERROR(__xludf.DUMMYFUNCTION("""COMPUTED_VALUE"""),45422.64583333333)</f>
        <v>45422.64583</v>
      </c>
      <c r="AA33" s="177">
        <f>IFERROR(__xludf.DUMMYFUNCTION("""COMPUTED_VALUE"""),324.85)</f>
        <v>324.85</v>
      </c>
      <c r="AB33" s="177">
        <f>IFERROR(__xludf.DUMMYFUNCTION("""COMPUTED_VALUE"""),332.75)</f>
        <v>332.75</v>
      </c>
      <c r="AC33" s="177">
        <f>IFERROR(__xludf.DUMMYFUNCTION("""COMPUTED_VALUE"""),322.65)</f>
        <v>322.65</v>
      </c>
      <c r="AD33" s="177">
        <f>IFERROR(__xludf.DUMMYFUNCTION("""COMPUTED_VALUE"""),330.55)</f>
        <v>330.55</v>
      </c>
      <c r="AE33" s="177">
        <f>IFERROR(__xludf.DUMMYFUNCTION("""COMPUTED_VALUE"""),6438304.0)</f>
        <v>6438304</v>
      </c>
      <c r="AF33" s="177">
        <f t="shared" si="3"/>
        <v>0.00820174707</v>
      </c>
      <c r="AG33" s="177"/>
      <c r="AH33" s="177"/>
      <c r="AI33" s="189"/>
      <c r="AJ33" s="140"/>
      <c r="AK33" s="140"/>
      <c r="AL33" s="176">
        <f>IFERROR(__xludf.DUMMYFUNCTION("""COMPUTED_VALUE"""),45422.64583333333)</f>
        <v>45422.64583</v>
      </c>
      <c r="AM33" s="177">
        <f>IFERROR(__xludf.DUMMYFUNCTION("""COMPUTED_VALUE"""),3860.0)</f>
        <v>3860</v>
      </c>
      <c r="AN33" s="177">
        <f>IFERROR(__xludf.DUMMYFUNCTION("""COMPUTED_VALUE"""),3907.7)</f>
        <v>3907.7</v>
      </c>
      <c r="AO33" s="177">
        <f>IFERROR(__xludf.DUMMYFUNCTION("""COMPUTED_VALUE"""),3820.65)</f>
        <v>3820.65</v>
      </c>
      <c r="AP33" s="177">
        <f>IFERROR(__xludf.DUMMYFUNCTION("""COMPUTED_VALUE"""),3872.9)</f>
        <v>3872.9</v>
      </c>
      <c r="AQ33" s="177">
        <f>IFERROR(__xludf.DUMMYFUNCTION("""COMPUTED_VALUE"""),1462534.0)</f>
        <v>1462534</v>
      </c>
      <c r="AR33" s="177">
        <f t="shared" si="4"/>
        <v>0.006800940775</v>
      </c>
      <c r="AS33" s="177"/>
      <c r="AT33" s="177"/>
      <c r="AU33" s="189"/>
      <c r="AV33" s="140"/>
      <c r="AW33" s="140"/>
      <c r="AX33" s="176">
        <f>IFERROR(__xludf.DUMMYFUNCTION("""COMPUTED_VALUE"""),45422.64583333333)</f>
        <v>45422.64583</v>
      </c>
      <c r="AY33" s="177">
        <f>IFERROR(__xludf.DUMMYFUNCTION("""COMPUTED_VALUE"""),426.5)</f>
        <v>426.5</v>
      </c>
      <c r="AZ33" s="177">
        <f>IFERROR(__xludf.DUMMYFUNCTION("""COMPUTED_VALUE"""),436.35)</f>
        <v>436.35</v>
      </c>
      <c r="BA33" s="177">
        <f>IFERROR(__xludf.DUMMYFUNCTION("""COMPUTED_VALUE"""),426.5)</f>
        <v>426.5</v>
      </c>
      <c r="BB33" s="177">
        <f>IFERROR(__xludf.DUMMYFUNCTION("""COMPUTED_VALUE"""),433.35)</f>
        <v>433.35</v>
      </c>
      <c r="BC33" s="177">
        <f>IFERROR(__xludf.DUMMYFUNCTION("""COMPUTED_VALUE"""),1.3985963E7)</f>
        <v>13985963</v>
      </c>
      <c r="BD33" s="177">
        <f t="shared" si="5"/>
        <v>0.01922128022</v>
      </c>
      <c r="BE33" s="177"/>
      <c r="BF33" s="177"/>
      <c r="BG33" s="189"/>
      <c r="BH33" s="140"/>
      <c r="BI33" s="140"/>
      <c r="BJ33" s="140"/>
      <c r="BK33" s="140"/>
      <c r="BL33" s="140"/>
      <c r="BM33" s="140"/>
      <c r="BN33" s="140"/>
      <c r="BO33" s="140"/>
      <c r="BP33" s="140"/>
      <c r="BQ33" s="140"/>
      <c r="BR33" s="140"/>
      <c r="BS33" s="140"/>
      <c r="BT33" s="140"/>
      <c r="BU33" s="140"/>
      <c r="BV33" s="140"/>
      <c r="BW33" s="140"/>
      <c r="BX33" s="140"/>
      <c r="BY33" s="140"/>
    </row>
    <row r="34" ht="15.75" customHeight="1">
      <c r="A34" s="168"/>
      <c r="B34" s="169">
        <v>45425.0</v>
      </c>
      <c r="C34" s="170">
        <v>6346.12</v>
      </c>
      <c r="D34" s="170">
        <v>6352.12</v>
      </c>
      <c r="E34" s="170">
        <v>6261.84</v>
      </c>
      <c r="F34" s="170">
        <v>6267.71</v>
      </c>
      <c r="G34" s="171" t="s">
        <v>238</v>
      </c>
      <c r="H34" s="172">
        <f t="shared" si="1"/>
        <v>-0.01127526424</v>
      </c>
      <c r="I34" s="172"/>
      <c r="J34" s="172"/>
      <c r="K34" s="188"/>
      <c r="L34" s="140"/>
      <c r="M34" s="140"/>
      <c r="N34" s="176">
        <f>IFERROR(__xludf.DUMMYFUNCTION("""COMPUTED_VALUE"""),45425.64583333333)</f>
        <v>45425.64583</v>
      </c>
      <c r="O34" s="177">
        <f>IFERROR(__xludf.DUMMYFUNCTION("""COMPUTED_VALUE"""),1112.4)</f>
        <v>1112.4</v>
      </c>
      <c r="P34" s="177">
        <f>IFERROR(__xludf.DUMMYFUNCTION("""COMPUTED_VALUE"""),1130.65)</f>
        <v>1130.65</v>
      </c>
      <c r="Q34" s="177">
        <f>IFERROR(__xludf.DUMMYFUNCTION("""COMPUTED_VALUE"""),1106.7)</f>
        <v>1106.7</v>
      </c>
      <c r="R34" s="177">
        <f>IFERROR(__xludf.DUMMYFUNCTION("""COMPUTED_VALUE"""),1128.0)</f>
        <v>1128</v>
      </c>
      <c r="S34" s="177">
        <f>IFERROR(__xludf.DUMMYFUNCTION("""COMPUTED_VALUE"""),9707983.0)</f>
        <v>9707983</v>
      </c>
      <c r="T34" s="177">
        <f t="shared" si="2"/>
        <v>0.009754871233</v>
      </c>
      <c r="U34" s="178"/>
      <c r="V34" s="177"/>
      <c r="W34" s="189"/>
      <c r="X34" s="140"/>
      <c r="Y34" s="140"/>
      <c r="Z34" s="176">
        <f>IFERROR(__xludf.DUMMYFUNCTION("""COMPUTED_VALUE"""),45425.64583333333)</f>
        <v>45425.64583</v>
      </c>
      <c r="AA34" s="177">
        <f>IFERROR(__xludf.DUMMYFUNCTION("""COMPUTED_VALUE"""),329.0)</f>
        <v>329</v>
      </c>
      <c r="AB34" s="177">
        <f>IFERROR(__xludf.DUMMYFUNCTION("""COMPUTED_VALUE"""),332.25)</f>
        <v>332.25</v>
      </c>
      <c r="AC34" s="177">
        <f>IFERROR(__xludf.DUMMYFUNCTION("""COMPUTED_VALUE"""),321.25)</f>
        <v>321.25</v>
      </c>
      <c r="AD34" s="177">
        <f>IFERROR(__xludf.DUMMYFUNCTION("""COMPUTED_VALUE"""),328.3)</f>
        <v>328.3</v>
      </c>
      <c r="AE34" s="177">
        <f>IFERROR(__xludf.DUMMYFUNCTION("""COMPUTED_VALUE"""),6016682.0)</f>
        <v>6016682</v>
      </c>
      <c r="AF34" s="177">
        <f t="shared" si="3"/>
        <v>-0.006830109272</v>
      </c>
      <c r="AG34" s="177"/>
      <c r="AH34" s="177"/>
      <c r="AI34" s="189"/>
      <c r="AJ34" s="140"/>
      <c r="AK34" s="140"/>
      <c r="AL34" s="176">
        <f>IFERROR(__xludf.DUMMYFUNCTION("""COMPUTED_VALUE"""),45425.64583333333)</f>
        <v>45425.64583</v>
      </c>
      <c r="AM34" s="177">
        <f>IFERROR(__xludf.DUMMYFUNCTION("""COMPUTED_VALUE"""),3875.5)</f>
        <v>3875.5</v>
      </c>
      <c r="AN34" s="177">
        <f>IFERROR(__xludf.DUMMYFUNCTION("""COMPUTED_VALUE"""),3937.0)</f>
        <v>3937</v>
      </c>
      <c r="AO34" s="177">
        <f>IFERROR(__xludf.DUMMYFUNCTION("""COMPUTED_VALUE"""),3762.6)</f>
        <v>3762.6</v>
      </c>
      <c r="AP34" s="177">
        <f>IFERROR(__xludf.DUMMYFUNCTION("""COMPUTED_VALUE"""),3921.75)</f>
        <v>3921.75</v>
      </c>
      <c r="AQ34" s="177">
        <f>IFERROR(__xludf.DUMMYFUNCTION("""COMPUTED_VALUE"""),1619124.0)</f>
        <v>1619124</v>
      </c>
      <c r="AR34" s="177">
        <f t="shared" si="4"/>
        <v>0.01253440233</v>
      </c>
      <c r="AS34" s="177"/>
      <c r="AT34" s="177"/>
      <c r="AU34" s="189"/>
      <c r="AV34" s="140"/>
      <c r="AW34" s="140"/>
      <c r="AX34" s="176">
        <f>IFERROR(__xludf.DUMMYFUNCTION("""COMPUTED_VALUE"""),45425.64583333333)</f>
        <v>45425.64583</v>
      </c>
      <c r="AY34" s="177">
        <f>IFERROR(__xludf.DUMMYFUNCTION("""COMPUTED_VALUE"""),433.25)</f>
        <v>433.25</v>
      </c>
      <c r="AZ34" s="177">
        <f>IFERROR(__xludf.DUMMYFUNCTION("""COMPUTED_VALUE"""),435.45)</f>
        <v>435.45</v>
      </c>
      <c r="BA34" s="177">
        <f>IFERROR(__xludf.DUMMYFUNCTION("""COMPUTED_VALUE"""),429.5)</f>
        <v>429.5</v>
      </c>
      <c r="BB34" s="177">
        <f>IFERROR(__xludf.DUMMYFUNCTION("""COMPUTED_VALUE"""),431.85)</f>
        <v>431.85</v>
      </c>
      <c r="BC34" s="177">
        <f>IFERROR(__xludf.DUMMYFUNCTION("""COMPUTED_VALUE"""),7302959.0)</f>
        <v>7302959</v>
      </c>
      <c r="BD34" s="177">
        <f t="shared" si="5"/>
        <v>-0.003467409854</v>
      </c>
      <c r="BE34" s="177"/>
      <c r="BF34" s="177"/>
      <c r="BG34" s="189"/>
      <c r="BH34" s="140"/>
      <c r="BI34" s="140"/>
      <c r="BJ34" s="140"/>
      <c r="BK34" s="140"/>
      <c r="BL34" s="140"/>
      <c r="BM34" s="140"/>
      <c r="BN34" s="140"/>
      <c r="BO34" s="140"/>
      <c r="BP34" s="140"/>
      <c r="BQ34" s="140"/>
      <c r="BR34" s="140"/>
      <c r="BS34" s="140"/>
      <c r="BT34" s="140"/>
      <c r="BU34" s="140"/>
      <c r="BV34" s="140"/>
      <c r="BW34" s="140"/>
      <c r="BX34" s="140"/>
      <c r="BY34" s="140"/>
    </row>
    <row r="35" ht="15.75" customHeight="1">
      <c r="A35" s="168"/>
      <c r="B35" s="169">
        <v>45426.0</v>
      </c>
      <c r="C35" s="170">
        <v>6269.12</v>
      </c>
      <c r="D35" s="170">
        <v>6334.12</v>
      </c>
      <c r="E35" s="170">
        <v>6267.12</v>
      </c>
      <c r="F35" s="170">
        <v>6325.52</v>
      </c>
      <c r="G35" s="171" t="s">
        <v>238</v>
      </c>
      <c r="H35" s="172">
        <f t="shared" si="1"/>
        <v>0.009181188001</v>
      </c>
      <c r="I35" s="172"/>
      <c r="J35" s="172"/>
      <c r="K35" s="188"/>
      <c r="L35" s="140"/>
      <c r="M35" s="140"/>
      <c r="N35" s="176">
        <f>IFERROR(__xludf.DUMMYFUNCTION("""COMPUTED_VALUE"""),45426.64583333333)</f>
        <v>45426.64583</v>
      </c>
      <c r="O35" s="177">
        <f>IFERROR(__xludf.DUMMYFUNCTION("""COMPUTED_VALUE"""),1125.9)</f>
        <v>1125.9</v>
      </c>
      <c r="P35" s="177">
        <f>IFERROR(__xludf.DUMMYFUNCTION("""COMPUTED_VALUE"""),1127.9)</f>
        <v>1127.9</v>
      </c>
      <c r="Q35" s="177">
        <f>IFERROR(__xludf.DUMMYFUNCTION("""COMPUTED_VALUE"""),1118.55)</f>
        <v>1118.55</v>
      </c>
      <c r="R35" s="177">
        <f>IFERROR(__xludf.DUMMYFUNCTION("""COMPUTED_VALUE"""),1120.55)</f>
        <v>1120.55</v>
      </c>
      <c r="S35" s="177">
        <f>IFERROR(__xludf.DUMMYFUNCTION("""COMPUTED_VALUE"""),8944262.0)</f>
        <v>8944262</v>
      </c>
      <c r="T35" s="177">
        <f t="shared" si="2"/>
        <v>-0.006626516876</v>
      </c>
      <c r="U35" s="178"/>
      <c r="V35" s="177"/>
      <c r="W35" s="189"/>
      <c r="X35" s="140"/>
      <c r="Y35" s="140"/>
      <c r="Z35" s="176">
        <f>IFERROR(__xludf.DUMMYFUNCTION("""COMPUTED_VALUE"""),45426.64583333333)</f>
        <v>45426.64583</v>
      </c>
      <c r="AA35" s="177">
        <f>IFERROR(__xludf.DUMMYFUNCTION("""COMPUTED_VALUE"""),330.25)</f>
        <v>330.25</v>
      </c>
      <c r="AB35" s="177">
        <f>IFERROR(__xludf.DUMMYFUNCTION("""COMPUTED_VALUE"""),342.0)</f>
        <v>342</v>
      </c>
      <c r="AC35" s="177">
        <f>IFERROR(__xludf.DUMMYFUNCTION("""COMPUTED_VALUE"""),328.05)</f>
        <v>328.05</v>
      </c>
      <c r="AD35" s="177">
        <f>IFERROR(__xludf.DUMMYFUNCTION("""COMPUTED_VALUE"""),339.5)</f>
        <v>339.5</v>
      </c>
      <c r="AE35" s="177">
        <f>IFERROR(__xludf.DUMMYFUNCTION("""COMPUTED_VALUE"""),8910910.0)</f>
        <v>8910910</v>
      </c>
      <c r="AF35" s="177">
        <f t="shared" si="3"/>
        <v>0.03354612249</v>
      </c>
      <c r="AG35" s="177"/>
      <c r="AH35" s="177"/>
      <c r="AI35" s="189"/>
      <c r="AJ35" s="140"/>
      <c r="AK35" s="140"/>
      <c r="AL35" s="176">
        <f>IFERROR(__xludf.DUMMYFUNCTION("""COMPUTED_VALUE"""),45426.64583333333)</f>
        <v>45426.64583</v>
      </c>
      <c r="AM35" s="177">
        <f>IFERROR(__xludf.DUMMYFUNCTION("""COMPUTED_VALUE"""),3979.65)</f>
        <v>3979.65</v>
      </c>
      <c r="AN35" s="177">
        <f>IFERROR(__xludf.DUMMYFUNCTION("""COMPUTED_VALUE"""),4086.25)</f>
        <v>4086.25</v>
      </c>
      <c r="AO35" s="177">
        <f>IFERROR(__xludf.DUMMYFUNCTION("""COMPUTED_VALUE"""),3976.0)</f>
        <v>3976</v>
      </c>
      <c r="AP35" s="177">
        <f>IFERROR(__xludf.DUMMYFUNCTION("""COMPUTED_VALUE"""),4074.7)</f>
        <v>4074.7</v>
      </c>
      <c r="AQ35" s="177">
        <f>IFERROR(__xludf.DUMMYFUNCTION("""COMPUTED_VALUE"""),2964966.0)</f>
        <v>2964966</v>
      </c>
      <c r="AR35" s="177">
        <f t="shared" si="4"/>
        <v>0.0382591416</v>
      </c>
      <c r="AS35" s="177"/>
      <c r="AT35" s="177"/>
      <c r="AU35" s="189"/>
      <c r="AV35" s="140"/>
      <c r="AW35" s="140"/>
      <c r="AX35" s="176">
        <f>IFERROR(__xludf.DUMMYFUNCTION("""COMPUTED_VALUE"""),45426.64583333333)</f>
        <v>45426.64583</v>
      </c>
      <c r="AY35" s="177">
        <f>IFERROR(__xludf.DUMMYFUNCTION("""COMPUTED_VALUE"""),430.5)</f>
        <v>430.5</v>
      </c>
      <c r="AZ35" s="177">
        <f>IFERROR(__xludf.DUMMYFUNCTION("""COMPUTED_VALUE"""),433.3)</f>
        <v>433.3</v>
      </c>
      <c r="BA35" s="177">
        <f>IFERROR(__xludf.DUMMYFUNCTION("""COMPUTED_VALUE"""),428.55)</f>
        <v>428.55</v>
      </c>
      <c r="BB35" s="177">
        <f>IFERROR(__xludf.DUMMYFUNCTION("""COMPUTED_VALUE"""),429.7)</f>
        <v>429.7</v>
      </c>
      <c r="BC35" s="177">
        <f>IFERROR(__xludf.DUMMYFUNCTION("""COMPUTED_VALUE"""),1.1000103E7)</f>
        <v>11000103</v>
      </c>
      <c r="BD35" s="177">
        <f t="shared" si="5"/>
        <v>-0.004991014945</v>
      </c>
      <c r="BE35" s="177"/>
      <c r="BF35" s="177"/>
      <c r="BG35" s="189"/>
      <c r="BH35" s="140"/>
      <c r="BI35" s="140"/>
      <c r="BJ35" s="140"/>
      <c r="BK35" s="140"/>
      <c r="BL35" s="140"/>
      <c r="BM35" s="140"/>
      <c r="BN35" s="140"/>
      <c r="BO35" s="140"/>
      <c r="BP35" s="140"/>
      <c r="BQ35" s="140"/>
      <c r="BR35" s="140"/>
      <c r="BS35" s="140"/>
      <c r="BT35" s="140"/>
      <c r="BU35" s="140"/>
      <c r="BV35" s="140"/>
      <c r="BW35" s="140"/>
      <c r="BX35" s="140"/>
      <c r="BY35" s="140"/>
    </row>
    <row r="36" ht="15.75" customHeight="1">
      <c r="A36" s="168"/>
      <c r="B36" s="169">
        <v>45427.0</v>
      </c>
      <c r="C36" s="170">
        <v>6328.78</v>
      </c>
      <c r="D36" s="170">
        <v>6410.94</v>
      </c>
      <c r="E36" s="170">
        <v>6312.12</v>
      </c>
      <c r="F36" s="170">
        <v>6397.71</v>
      </c>
      <c r="G36" s="171" t="s">
        <v>238</v>
      </c>
      <c r="H36" s="172">
        <f t="shared" si="1"/>
        <v>0.01134786916</v>
      </c>
      <c r="I36" s="172"/>
      <c r="J36" s="172"/>
      <c r="K36" s="188"/>
      <c r="L36" s="140"/>
      <c r="M36" s="140"/>
      <c r="N36" s="176">
        <f>IFERROR(__xludf.DUMMYFUNCTION("""COMPUTED_VALUE"""),45427.64583333333)</f>
        <v>45427.64583</v>
      </c>
      <c r="O36" s="177">
        <f>IFERROR(__xludf.DUMMYFUNCTION("""COMPUTED_VALUE"""),1122.1)</f>
        <v>1122.1</v>
      </c>
      <c r="P36" s="177">
        <f>IFERROR(__xludf.DUMMYFUNCTION("""COMPUTED_VALUE"""),1127.8)</f>
        <v>1127.8</v>
      </c>
      <c r="Q36" s="177">
        <f>IFERROR(__xludf.DUMMYFUNCTION("""COMPUTED_VALUE"""),1113.5)</f>
        <v>1113.5</v>
      </c>
      <c r="R36" s="177">
        <f>IFERROR(__xludf.DUMMYFUNCTION("""COMPUTED_VALUE"""),1124.35)</f>
        <v>1124.35</v>
      </c>
      <c r="S36" s="177">
        <f>IFERROR(__xludf.DUMMYFUNCTION("""COMPUTED_VALUE"""),1.0743423E7)</f>
        <v>10743423</v>
      </c>
      <c r="T36" s="177">
        <f t="shared" si="2"/>
        <v>0.003385454701</v>
      </c>
      <c r="U36" s="178"/>
      <c r="V36" s="177"/>
      <c r="W36" s="189"/>
      <c r="X36" s="140"/>
      <c r="Y36" s="140"/>
      <c r="Z36" s="176">
        <f>IFERROR(__xludf.DUMMYFUNCTION("""COMPUTED_VALUE"""),45427.64583333333)</f>
        <v>45427.64583</v>
      </c>
      <c r="AA36" s="177">
        <f>IFERROR(__xludf.DUMMYFUNCTION("""COMPUTED_VALUE"""),342.45)</f>
        <v>342.45</v>
      </c>
      <c r="AB36" s="177">
        <f>IFERROR(__xludf.DUMMYFUNCTION("""COMPUTED_VALUE"""),347.9)</f>
        <v>347.9</v>
      </c>
      <c r="AC36" s="177">
        <f>IFERROR(__xludf.DUMMYFUNCTION("""COMPUTED_VALUE"""),340.0)</f>
        <v>340</v>
      </c>
      <c r="AD36" s="177">
        <f>IFERROR(__xludf.DUMMYFUNCTION("""COMPUTED_VALUE"""),341.8)</f>
        <v>341.8</v>
      </c>
      <c r="AE36" s="177">
        <f>IFERROR(__xludf.DUMMYFUNCTION("""COMPUTED_VALUE"""),9691825.0)</f>
        <v>9691825</v>
      </c>
      <c r="AF36" s="177">
        <f t="shared" si="3"/>
        <v>0.006751823683</v>
      </c>
      <c r="AG36" s="177"/>
      <c r="AH36" s="177"/>
      <c r="AI36" s="189"/>
      <c r="AJ36" s="140"/>
      <c r="AK36" s="140"/>
      <c r="AL36" s="176">
        <f>IFERROR(__xludf.DUMMYFUNCTION("""COMPUTED_VALUE"""),45427.64583333333)</f>
        <v>45427.64583</v>
      </c>
      <c r="AM36" s="177">
        <f>IFERROR(__xludf.DUMMYFUNCTION("""COMPUTED_VALUE"""),4105.8)</f>
        <v>4105.8</v>
      </c>
      <c r="AN36" s="177">
        <f>IFERROR(__xludf.DUMMYFUNCTION("""COMPUTED_VALUE"""),4193.6)</f>
        <v>4193.6</v>
      </c>
      <c r="AO36" s="177">
        <f>IFERROR(__xludf.DUMMYFUNCTION("""COMPUTED_VALUE"""),4051.0)</f>
        <v>4051</v>
      </c>
      <c r="AP36" s="177">
        <f>IFERROR(__xludf.DUMMYFUNCTION("""COMPUTED_VALUE"""),4182.35)</f>
        <v>4182.35</v>
      </c>
      <c r="AQ36" s="177">
        <f>IFERROR(__xludf.DUMMYFUNCTION("""COMPUTED_VALUE"""),2310941.0)</f>
        <v>2310941</v>
      </c>
      <c r="AR36" s="177">
        <f t="shared" si="4"/>
        <v>0.02607616517</v>
      </c>
      <c r="AS36" s="177"/>
      <c r="AT36" s="177"/>
      <c r="AU36" s="189"/>
      <c r="AV36" s="140"/>
      <c r="AW36" s="140"/>
      <c r="AX36" s="176">
        <f>IFERROR(__xludf.DUMMYFUNCTION("""COMPUTED_VALUE"""),45427.64583333333)</f>
        <v>45427.64583</v>
      </c>
      <c r="AY36" s="177">
        <f>IFERROR(__xludf.DUMMYFUNCTION("""COMPUTED_VALUE"""),430.75)</f>
        <v>430.75</v>
      </c>
      <c r="AZ36" s="177">
        <f>IFERROR(__xludf.DUMMYFUNCTION("""COMPUTED_VALUE"""),433.25)</f>
        <v>433.25</v>
      </c>
      <c r="BA36" s="177">
        <f>IFERROR(__xludf.DUMMYFUNCTION("""COMPUTED_VALUE"""),426.75)</f>
        <v>426.75</v>
      </c>
      <c r="BB36" s="177">
        <f>IFERROR(__xludf.DUMMYFUNCTION("""COMPUTED_VALUE"""),427.8)</f>
        <v>427.8</v>
      </c>
      <c r="BC36" s="177">
        <f>IFERROR(__xludf.DUMMYFUNCTION("""COMPUTED_VALUE"""),7565080.0)</f>
        <v>7565080</v>
      </c>
      <c r="BD36" s="177">
        <f t="shared" si="5"/>
        <v>-0.004431494133</v>
      </c>
      <c r="BE36" s="177"/>
      <c r="BF36" s="177"/>
      <c r="BG36" s="189"/>
      <c r="BH36" s="140"/>
      <c r="BI36" s="140"/>
      <c r="BJ36" s="140"/>
      <c r="BK36" s="140"/>
      <c r="BL36" s="140"/>
      <c r="BM36" s="140"/>
      <c r="BN36" s="140"/>
      <c r="BO36" s="140"/>
      <c r="BP36" s="140"/>
      <c r="BQ36" s="140"/>
      <c r="BR36" s="140"/>
      <c r="BS36" s="140"/>
      <c r="BT36" s="140"/>
      <c r="BU36" s="140"/>
      <c r="BV36" s="140"/>
      <c r="BW36" s="140"/>
      <c r="BX36" s="140"/>
      <c r="BY36" s="140"/>
    </row>
    <row r="37" ht="15.75" customHeight="1">
      <c r="A37" s="168"/>
      <c r="B37" s="169">
        <v>45428.0</v>
      </c>
      <c r="C37" s="170">
        <v>6399.12</v>
      </c>
      <c r="D37" s="170">
        <v>6429.12</v>
      </c>
      <c r="E37" s="170">
        <v>6362.12</v>
      </c>
      <c r="F37" s="170">
        <v>6374.12</v>
      </c>
      <c r="G37" s="171" t="s">
        <v>238</v>
      </c>
      <c r="H37" s="172">
        <f t="shared" si="1"/>
        <v>-0.003694071535</v>
      </c>
      <c r="I37" s="172"/>
      <c r="J37" s="172"/>
      <c r="K37" s="188"/>
      <c r="L37" s="140"/>
      <c r="M37" s="140"/>
      <c r="N37" s="176">
        <f>IFERROR(__xludf.DUMMYFUNCTION("""COMPUTED_VALUE"""),45428.64583333333)</f>
        <v>45428.64583</v>
      </c>
      <c r="O37" s="177">
        <f>IFERROR(__xludf.DUMMYFUNCTION("""COMPUTED_VALUE"""),1133.0)</f>
        <v>1133</v>
      </c>
      <c r="P37" s="177">
        <f>IFERROR(__xludf.DUMMYFUNCTION("""COMPUTED_VALUE"""),1136.55)</f>
        <v>1136.55</v>
      </c>
      <c r="Q37" s="177">
        <f>IFERROR(__xludf.DUMMYFUNCTION("""COMPUTED_VALUE"""),1112.8)</f>
        <v>1112.8</v>
      </c>
      <c r="R37" s="177">
        <f>IFERROR(__xludf.DUMMYFUNCTION("""COMPUTED_VALUE"""),1131.05)</f>
        <v>1131.05</v>
      </c>
      <c r="S37" s="177">
        <f>IFERROR(__xludf.DUMMYFUNCTION("""COMPUTED_VALUE"""),1.4265565E7)</f>
        <v>14265565</v>
      </c>
      <c r="T37" s="177">
        <f t="shared" si="2"/>
        <v>0.005941313921</v>
      </c>
      <c r="U37" s="178"/>
      <c r="V37" s="177"/>
      <c r="W37" s="189"/>
      <c r="X37" s="140"/>
      <c r="Y37" s="140"/>
      <c r="Z37" s="176">
        <f>IFERROR(__xludf.DUMMYFUNCTION("""COMPUTED_VALUE"""),45428.64583333333)</f>
        <v>45428.64583</v>
      </c>
      <c r="AA37" s="177">
        <f>IFERROR(__xludf.DUMMYFUNCTION("""COMPUTED_VALUE"""),342.7)</f>
        <v>342.7</v>
      </c>
      <c r="AB37" s="177">
        <f>IFERROR(__xludf.DUMMYFUNCTION("""COMPUTED_VALUE"""),343.8)</f>
        <v>343.8</v>
      </c>
      <c r="AC37" s="177">
        <f>IFERROR(__xludf.DUMMYFUNCTION("""COMPUTED_VALUE"""),337.55)</f>
        <v>337.55</v>
      </c>
      <c r="AD37" s="177">
        <f>IFERROR(__xludf.DUMMYFUNCTION("""COMPUTED_VALUE"""),341.0)</f>
        <v>341</v>
      </c>
      <c r="AE37" s="177">
        <f>IFERROR(__xludf.DUMMYFUNCTION("""COMPUTED_VALUE"""),6688038.0)</f>
        <v>6688038</v>
      </c>
      <c r="AF37" s="177">
        <f t="shared" si="3"/>
        <v>-0.002343293398</v>
      </c>
      <c r="AG37" s="177"/>
      <c r="AH37" s="177"/>
      <c r="AI37" s="189"/>
      <c r="AJ37" s="140"/>
      <c r="AK37" s="140"/>
      <c r="AL37" s="176">
        <f>IFERROR(__xludf.DUMMYFUNCTION("""COMPUTED_VALUE"""),45428.64583333333)</f>
        <v>45428.64583</v>
      </c>
      <c r="AM37" s="177">
        <f>IFERROR(__xludf.DUMMYFUNCTION("""COMPUTED_VALUE"""),4215.0)</f>
        <v>4215</v>
      </c>
      <c r="AN37" s="177">
        <f>IFERROR(__xludf.DUMMYFUNCTION("""COMPUTED_VALUE"""),4656.4)</f>
        <v>4656.4</v>
      </c>
      <c r="AO37" s="177">
        <f>IFERROR(__xludf.DUMMYFUNCTION("""COMPUTED_VALUE"""),4157.0)</f>
        <v>4157</v>
      </c>
      <c r="AP37" s="177">
        <f>IFERROR(__xludf.DUMMYFUNCTION("""COMPUTED_VALUE"""),4603.7)</f>
        <v>4603.7</v>
      </c>
      <c r="AQ37" s="177">
        <f>IFERROR(__xludf.DUMMYFUNCTION("""COMPUTED_VALUE"""),1.0028325E7)</f>
        <v>10028325</v>
      </c>
      <c r="AR37" s="177">
        <f t="shared" si="4"/>
        <v>0.09598703849</v>
      </c>
      <c r="AS37" s="177"/>
      <c r="AT37" s="177"/>
      <c r="AU37" s="189"/>
      <c r="AV37" s="140"/>
      <c r="AW37" s="140"/>
      <c r="AX37" s="176">
        <f>IFERROR(__xludf.DUMMYFUNCTION("""COMPUTED_VALUE"""),45428.64583333333)</f>
        <v>45428.64583</v>
      </c>
      <c r="AY37" s="177">
        <f>IFERROR(__xludf.DUMMYFUNCTION("""COMPUTED_VALUE"""),430.0)</f>
        <v>430</v>
      </c>
      <c r="AZ37" s="177">
        <f>IFERROR(__xludf.DUMMYFUNCTION("""COMPUTED_VALUE"""),432.6)</f>
        <v>432.6</v>
      </c>
      <c r="BA37" s="177">
        <f>IFERROR(__xludf.DUMMYFUNCTION("""COMPUTED_VALUE"""),422.9)</f>
        <v>422.9</v>
      </c>
      <c r="BB37" s="177">
        <f>IFERROR(__xludf.DUMMYFUNCTION("""COMPUTED_VALUE"""),431.45)</f>
        <v>431.45</v>
      </c>
      <c r="BC37" s="177">
        <f>IFERROR(__xludf.DUMMYFUNCTION("""COMPUTED_VALUE"""),2.3025186E7)</f>
        <v>23025186</v>
      </c>
      <c r="BD37" s="177">
        <f t="shared" si="5"/>
        <v>0.008495832306</v>
      </c>
      <c r="BE37" s="177"/>
      <c r="BF37" s="177"/>
      <c r="BG37" s="189"/>
      <c r="BH37" s="140"/>
      <c r="BI37" s="140"/>
      <c r="BJ37" s="140"/>
      <c r="BK37" s="140"/>
      <c r="BL37" s="140"/>
      <c r="BM37" s="140"/>
      <c r="BN37" s="140"/>
      <c r="BO37" s="140"/>
      <c r="BP37" s="140"/>
      <c r="BQ37" s="140"/>
      <c r="BR37" s="140"/>
      <c r="BS37" s="140"/>
      <c r="BT37" s="140"/>
      <c r="BU37" s="140"/>
      <c r="BV37" s="140"/>
      <c r="BW37" s="140"/>
      <c r="BX37" s="140"/>
      <c r="BY37" s="140"/>
    </row>
    <row r="38" ht="15.75" customHeight="1">
      <c r="A38" s="168"/>
      <c r="B38" s="169">
        <v>45429.0</v>
      </c>
      <c r="C38" s="170">
        <v>6376.78</v>
      </c>
      <c r="D38" s="170">
        <v>6488.78</v>
      </c>
      <c r="E38" s="170">
        <v>6372.12</v>
      </c>
      <c r="F38" s="170">
        <v>6465.52</v>
      </c>
      <c r="G38" s="171" t="s">
        <v>238</v>
      </c>
      <c r="H38" s="172">
        <f t="shared" si="1"/>
        <v>0.01423739979</v>
      </c>
      <c r="I38" s="172"/>
      <c r="J38" s="172"/>
      <c r="K38" s="188"/>
      <c r="L38" s="140"/>
      <c r="M38" s="140"/>
      <c r="N38" s="176">
        <f>IFERROR(__xludf.DUMMYFUNCTION("""COMPUTED_VALUE"""),45429.64583333333)</f>
        <v>45429.64583</v>
      </c>
      <c r="O38" s="177">
        <f>IFERROR(__xludf.DUMMYFUNCTION("""COMPUTED_VALUE"""),1131.05)</f>
        <v>1131.05</v>
      </c>
      <c r="P38" s="177">
        <f>IFERROR(__xludf.DUMMYFUNCTION("""COMPUTED_VALUE"""),1144.0)</f>
        <v>1144</v>
      </c>
      <c r="Q38" s="177">
        <f>IFERROR(__xludf.DUMMYFUNCTION("""COMPUTED_VALUE"""),1120.6)</f>
        <v>1120.6</v>
      </c>
      <c r="R38" s="177">
        <f>IFERROR(__xludf.DUMMYFUNCTION("""COMPUTED_VALUE"""),1130.5)</f>
        <v>1130.5</v>
      </c>
      <c r="S38" s="177">
        <f>IFERROR(__xludf.DUMMYFUNCTION("""COMPUTED_VALUE"""),8641784.0)</f>
        <v>8641784</v>
      </c>
      <c r="T38" s="177">
        <f t="shared" si="2"/>
        <v>-0.0004863920858</v>
      </c>
      <c r="U38" s="178"/>
      <c r="V38" s="177"/>
      <c r="W38" s="189"/>
      <c r="X38" s="140"/>
      <c r="Y38" s="140"/>
      <c r="Z38" s="176">
        <f>IFERROR(__xludf.DUMMYFUNCTION("""COMPUTED_VALUE"""),45429.64583333333)</f>
        <v>45429.64583</v>
      </c>
      <c r="AA38" s="177">
        <f>IFERROR(__xludf.DUMMYFUNCTION("""COMPUTED_VALUE"""),343.4)</f>
        <v>343.4</v>
      </c>
      <c r="AB38" s="177">
        <f>IFERROR(__xludf.DUMMYFUNCTION("""COMPUTED_VALUE"""),349.0)</f>
        <v>349</v>
      </c>
      <c r="AC38" s="177">
        <f>IFERROR(__xludf.DUMMYFUNCTION("""COMPUTED_VALUE"""),342.5)</f>
        <v>342.5</v>
      </c>
      <c r="AD38" s="177">
        <f>IFERROR(__xludf.DUMMYFUNCTION("""COMPUTED_VALUE"""),344.45)</f>
        <v>344.45</v>
      </c>
      <c r="AE38" s="177">
        <f>IFERROR(__xludf.DUMMYFUNCTION("""COMPUTED_VALUE"""),8269010.0)</f>
        <v>8269010</v>
      </c>
      <c r="AF38" s="177">
        <f t="shared" si="3"/>
        <v>0.01006646476</v>
      </c>
      <c r="AG38" s="177"/>
      <c r="AH38" s="177"/>
      <c r="AI38" s="189"/>
      <c r="AJ38" s="140"/>
      <c r="AK38" s="140"/>
      <c r="AL38" s="176">
        <f>IFERROR(__xludf.DUMMYFUNCTION("""COMPUTED_VALUE"""),45429.64583333333)</f>
        <v>45429.64583</v>
      </c>
      <c r="AM38" s="177">
        <f>IFERROR(__xludf.DUMMYFUNCTION("""COMPUTED_VALUE"""),4644.95)</f>
        <v>4644.95</v>
      </c>
      <c r="AN38" s="177">
        <f>IFERROR(__xludf.DUMMYFUNCTION("""COMPUTED_VALUE"""),4665.95)</f>
        <v>4665.95</v>
      </c>
      <c r="AO38" s="177">
        <f>IFERROR(__xludf.DUMMYFUNCTION("""COMPUTED_VALUE"""),4485.05)</f>
        <v>4485.05</v>
      </c>
      <c r="AP38" s="177">
        <f>IFERROR(__xludf.DUMMYFUNCTION("""COMPUTED_VALUE"""),4531.7)</f>
        <v>4531.7</v>
      </c>
      <c r="AQ38" s="177">
        <f>IFERROR(__xludf.DUMMYFUNCTION("""COMPUTED_VALUE"""),5664667.0)</f>
        <v>5664667</v>
      </c>
      <c r="AR38" s="177">
        <f t="shared" si="4"/>
        <v>-0.01576318297</v>
      </c>
      <c r="AS38" s="177"/>
      <c r="AT38" s="177"/>
      <c r="AU38" s="189"/>
      <c r="AV38" s="140"/>
      <c r="AW38" s="140"/>
      <c r="AX38" s="176">
        <f>IFERROR(__xludf.DUMMYFUNCTION("""COMPUTED_VALUE"""),45429.64583333333)</f>
        <v>45429.64583</v>
      </c>
      <c r="AY38" s="177">
        <f>IFERROR(__xludf.DUMMYFUNCTION("""COMPUTED_VALUE"""),432.4)</f>
        <v>432.4</v>
      </c>
      <c r="AZ38" s="177">
        <f>IFERROR(__xludf.DUMMYFUNCTION("""COMPUTED_VALUE"""),437.5)</f>
        <v>437.5</v>
      </c>
      <c r="BA38" s="177">
        <f>IFERROR(__xludf.DUMMYFUNCTION("""COMPUTED_VALUE"""),428.9)</f>
        <v>428.9</v>
      </c>
      <c r="BB38" s="177">
        <f>IFERROR(__xludf.DUMMYFUNCTION("""COMPUTED_VALUE"""),436.3)</f>
        <v>436.3</v>
      </c>
      <c r="BC38" s="177">
        <f>IFERROR(__xludf.DUMMYFUNCTION("""COMPUTED_VALUE"""),1.1453714E7)</f>
        <v>11453714</v>
      </c>
      <c r="BD38" s="177">
        <f t="shared" si="5"/>
        <v>0.01117845118</v>
      </c>
      <c r="BE38" s="177"/>
      <c r="BF38" s="177"/>
      <c r="BG38" s="189"/>
      <c r="BH38" s="140"/>
      <c r="BI38" s="140"/>
      <c r="BJ38" s="140"/>
      <c r="BK38" s="140"/>
      <c r="BL38" s="140"/>
      <c r="BM38" s="140"/>
      <c r="BN38" s="140"/>
      <c r="BO38" s="140"/>
      <c r="BP38" s="140"/>
      <c r="BQ38" s="140"/>
      <c r="BR38" s="140"/>
      <c r="BS38" s="140"/>
      <c r="BT38" s="140"/>
      <c r="BU38" s="140"/>
      <c r="BV38" s="140"/>
      <c r="BW38" s="140"/>
      <c r="BX38" s="140"/>
      <c r="BY38" s="140"/>
    </row>
    <row r="39" ht="15.75" customHeight="1">
      <c r="A39" s="168"/>
      <c r="B39" s="169">
        <v>45433.0</v>
      </c>
      <c r="C39" s="170">
        <v>6498.12</v>
      </c>
      <c r="D39" s="170">
        <v>6518.78</v>
      </c>
      <c r="E39" s="170">
        <v>6445.52</v>
      </c>
      <c r="F39" s="170">
        <v>6479.12</v>
      </c>
      <c r="G39" s="171" t="s">
        <v>238</v>
      </c>
      <c r="H39" s="172">
        <f t="shared" si="1"/>
        <v>0.002101256582</v>
      </c>
      <c r="I39" s="172"/>
      <c r="J39" s="172"/>
      <c r="K39" s="188"/>
      <c r="L39" s="140"/>
      <c r="M39" s="140"/>
      <c r="N39" s="176">
        <f>IFERROR(__xludf.DUMMYFUNCTION("""COMPUTED_VALUE"""),45433.64583333333)</f>
        <v>45433.64583</v>
      </c>
      <c r="O39" s="177">
        <f>IFERROR(__xludf.DUMMYFUNCTION("""COMPUTED_VALUE"""),1122.2)</f>
        <v>1122.2</v>
      </c>
      <c r="P39" s="177">
        <f>IFERROR(__xludf.DUMMYFUNCTION("""COMPUTED_VALUE"""),1133.8)</f>
        <v>1133.8</v>
      </c>
      <c r="Q39" s="177">
        <f>IFERROR(__xludf.DUMMYFUNCTION("""COMPUTED_VALUE"""),1116.25)</f>
        <v>1116.25</v>
      </c>
      <c r="R39" s="177">
        <f>IFERROR(__xludf.DUMMYFUNCTION("""COMPUTED_VALUE"""),1120.95)</f>
        <v>1120.95</v>
      </c>
      <c r="S39" s="177">
        <f>IFERROR(__xludf.DUMMYFUNCTION("""COMPUTED_VALUE"""),1.04529E7)</f>
        <v>10452900</v>
      </c>
      <c r="T39" s="177">
        <f t="shared" si="2"/>
        <v>-0.008483472674</v>
      </c>
      <c r="U39" s="178"/>
      <c r="V39" s="177"/>
      <c r="W39" s="189"/>
      <c r="X39" s="140"/>
      <c r="Y39" s="140"/>
      <c r="Z39" s="176">
        <f>IFERROR(__xludf.DUMMYFUNCTION("""COMPUTED_VALUE"""),45433.64583333333)</f>
        <v>45433.64583</v>
      </c>
      <c r="AA39" s="177">
        <f>IFERROR(__xludf.DUMMYFUNCTION("""COMPUTED_VALUE"""),347.0)</f>
        <v>347</v>
      </c>
      <c r="AB39" s="177">
        <f>IFERROR(__xludf.DUMMYFUNCTION("""COMPUTED_VALUE"""),347.55)</f>
        <v>347.55</v>
      </c>
      <c r="AC39" s="177">
        <f>IFERROR(__xludf.DUMMYFUNCTION("""COMPUTED_VALUE"""),338.15)</f>
        <v>338.15</v>
      </c>
      <c r="AD39" s="177">
        <f>IFERROR(__xludf.DUMMYFUNCTION("""COMPUTED_VALUE"""),339.05)</f>
        <v>339.05</v>
      </c>
      <c r="AE39" s="177">
        <f>IFERROR(__xludf.DUMMYFUNCTION("""COMPUTED_VALUE"""),7533289.0)</f>
        <v>7533289</v>
      </c>
      <c r="AF39" s="177">
        <f t="shared" si="3"/>
        <v>-0.01580135291</v>
      </c>
      <c r="AG39" s="177"/>
      <c r="AH39" s="177"/>
      <c r="AI39" s="189"/>
      <c r="AJ39" s="140"/>
      <c r="AK39" s="140"/>
      <c r="AL39" s="176">
        <f>IFERROR(__xludf.DUMMYFUNCTION("""COMPUTED_VALUE"""),45433.64583333333)</f>
        <v>45433.64583</v>
      </c>
      <c r="AM39" s="177">
        <f>IFERROR(__xludf.DUMMYFUNCTION("""COMPUTED_VALUE"""),4750.0)</f>
        <v>4750</v>
      </c>
      <c r="AN39" s="177">
        <f>IFERROR(__xludf.DUMMYFUNCTION("""COMPUTED_VALUE"""),4870.0)</f>
        <v>4870</v>
      </c>
      <c r="AO39" s="177">
        <f>IFERROR(__xludf.DUMMYFUNCTION("""COMPUTED_VALUE"""),4725.15)</f>
        <v>4725.15</v>
      </c>
      <c r="AP39" s="177">
        <f>IFERROR(__xludf.DUMMYFUNCTION("""COMPUTED_VALUE"""),4782.25)</f>
        <v>4782.25</v>
      </c>
      <c r="AQ39" s="177">
        <f>IFERROR(__xludf.DUMMYFUNCTION("""COMPUTED_VALUE"""),5540182.0)</f>
        <v>5540182</v>
      </c>
      <c r="AR39" s="177">
        <f t="shared" si="4"/>
        <v>0.05381400202</v>
      </c>
      <c r="AS39" s="177"/>
      <c r="AT39" s="177"/>
      <c r="AU39" s="189"/>
      <c r="AV39" s="140"/>
      <c r="AW39" s="140"/>
      <c r="AX39" s="176">
        <f>IFERROR(__xludf.DUMMYFUNCTION("""COMPUTED_VALUE"""),45433.64583333333)</f>
        <v>45433.64583</v>
      </c>
      <c r="AY39" s="177">
        <f>IFERROR(__xludf.DUMMYFUNCTION("""COMPUTED_VALUE"""),436.0)</f>
        <v>436</v>
      </c>
      <c r="AZ39" s="177">
        <f>IFERROR(__xludf.DUMMYFUNCTION("""COMPUTED_VALUE"""),437.1)</f>
        <v>437.1</v>
      </c>
      <c r="BA39" s="177">
        <f>IFERROR(__xludf.DUMMYFUNCTION("""COMPUTED_VALUE"""),433.2)</f>
        <v>433.2</v>
      </c>
      <c r="BB39" s="177">
        <f>IFERROR(__xludf.DUMMYFUNCTION("""COMPUTED_VALUE"""),434.8)</f>
        <v>434.8</v>
      </c>
      <c r="BC39" s="177">
        <f>IFERROR(__xludf.DUMMYFUNCTION("""COMPUTED_VALUE"""),1.0760726E7)</f>
        <v>10760726</v>
      </c>
      <c r="BD39" s="177">
        <f t="shared" si="5"/>
        <v>-0.003443924883</v>
      </c>
      <c r="BE39" s="177"/>
      <c r="BF39" s="177"/>
      <c r="BG39" s="189"/>
      <c r="BH39" s="140"/>
      <c r="BI39" s="140"/>
      <c r="BJ39" s="140"/>
      <c r="BK39" s="140"/>
      <c r="BL39" s="140"/>
      <c r="BM39" s="140"/>
      <c r="BN39" s="140"/>
      <c r="BO39" s="140"/>
      <c r="BP39" s="140"/>
      <c r="BQ39" s="140"/>
      <c r="BR39" s="140"/>
      <c r="BS39" s="140"/>
      <c r="BT39" s="140"/>
      <c r="BU39" s="140"/>
      <c r="BV39" s="140"/>
      <c r="BW39" s="140"/>
      <c r="BX39" s="140"/>
      <c r="BY39" s="140"/>
    </row>
    <row r="40" ht="15.75" customHeight="1">
      <c r="A40" s="168"/>
      <c r="B40" s="169">
        <v>45434.0</v>
      </c>
      <c r="C40" s="170">
        <v>6483.52</v>
      </c>
      <c r="D40" s="170">
        <v>6498.12</v>
      </c>
      <c r="E40" s="170">
        <v>6355.12</v>
      </c>
      <c r="F40" s="170">
        <v>6362.78</v>
      </c>
      <c r="G40" s="171" t="s">
        <v>238</v>
      </c>
      <c r="H40" s="172">
        <f t="shared" si="1"/>
        <v>-0.01811930991</v>
      </c>
      <c r="I40" s="172"/>
      <c r="J40" s="172"/>
      <c r="K40" s="188"/>
      <c r="L40" s="140"/>
      <c r="M40" s="140"/>
      <c r="N40" s="176">
        <f>IFERROR(__xludf.DUMMYFUNCTION("""COMPUTED_VALUE"""),45434.64583333333)</f>
        <v>45434.64583</v>
      </c>
      <c r="O40" s="177">
        <f>IFERROR(__xludf.DUMMYFUNCTION("""COMPUTED_VALUE"""),1125.0)</f>
        <v>1125</v>
      </c>
      <c r="P40" s="177">
        <f>IFERROR(__xludf.DUMMYFUNCTION("""COMPUTED_VALUE"""),1125.9)</f>
        <v>1125.9</v>
      </c>
      <c r="Q40" s="177">
        <f>IFERROR(__xludf.DUMMYFUNCTION("""COMPUTED_VALUE"""),1098.1)</f>
        <v>1098.1</v>
      </c>
      <c r="R40" s="177">
        <f>IFERROR(__xludf.DUMMYFUNCTION("""COMPUTED_VALUE"""),1111.1)</f>
        <v>1111.1</v>
      </c>
      <c r="S40" s="177">
        <f>IFERROR(__xludf.DUMMYFUNCTION("""COMPUTED_VALUE"""),1.7527411E7)</f>
        <v>17527411</v>
      </c>
      <c r="T40" s="177">
        <f t="shared" si="2"/>
        <v>-0.008826024454</v>
      </c>
      <c r="U40" s="178"/>
      <c r="V40" s="177"/>
      <c r="W40" s="189"/>
      <c r="X40" s="140"/>
      <c r="Y40" s="140"/>
      <c r="Z40" s="176">
        <f>IFERROR(__xludf.DUMMYFUNCTION("""COMPUTED_VALUE"""),45434.64583333333)</f>
        <v>45434.64583</v>
      </c>
      <c r="AA40" s="177">
        <f>IFERROR(__xludf.DUMMYFUNCTION("""COMPUTED_VALUE"""),342.5)</f>
        <v>342.5</v>
      </c>
      <c r="AB40" s="177">
        <f>IFERROR(__xludf.DUMMYFUNCTION("""COMPUTED_VALUE"""),345.25)</f>
        <v>345.25</v>
      </c>
      <c r="AC40" s="177">
        <f>IFERROR(__xludf.DUMMYFUNCTION("""COMPUTED_VALUE"""),336.75)</f>
        <v>336.75</v>
      </c>
      <c r="AD40" s="177">
        <f>IFERROR(__xludf.DUMMYFUNCTION("""COMPUTED_VALUE"""),339.5)</f>
        <v>339.5</v>
      </c>
      <c r="AE40" s="177">
        <f>IFERROR(__xludf.DUMMYFUNCTION("""COMPUTED_VALUE"""),8139260.0)</f>
        <v>8139260</v>
      </c>
      <c r="AF40" s="177">
        <f t="shared" si="3"/>
        <v>0.001326357869</v>
      </c>
      <c r="AG40" s="177"/>
      <c r="AH40" s="177"/>
      <c r="AI40" s="189"/>
      <c r="AJ40" s="140"/>
      <c r="AK40" s="140"/>
      <c r="AL40" s="176">
        <f>IFERROR(__xludf.DUMMYFUNCTION("""COMPUTED_VALUE"""),45434.64583333333)</f>
        <v>45434.64583</v>
      </c>
      <c r="AM40" s="177">
        <f>IFERROR(__xludf.DUMMYFUNCTION("""COMPUTED_VALUE"""),4810.0)</f>
        <v>4810</v>
      </c>
      <c r="AN40" s="177">
        <f>IFERROR(__xludf.DUMMYFUNCTION("""COMPUTED_VALUE"""),4960.6)</f>
        <v>4960.6</v>
      </c>
      <c r="AO40" s="177">
        <f>IFERROR(__xludf.DUMMYFUNCTION("""COMPUTED_VALUE"""),4735.0)</f>
        <v>4735</v>
      </c>
      <c r="AP40" s="177">
        <f>IFERROR(__xludf.DUMMYFUNCTION("""COMPUTED_VALUE"""),4921.2)</f>
        <v>4921.2</v>
      </c>
      <c r="AQ40" s="177">
        <f>IFERROR(__xludf.DUMMYFUNCTION("""COMPUTED_VALUE"""),5032087.0)</f>
        <v>5032087</v>
      </c>
      <c r="AR40" s="177">
        <f t="shared" si="4"/>
        <v>0.02864125615</v>
      </c>
      <c r="AS40" s="177"/>
      <c r="AT40" s="177"/>
      <c r="AU40" s="189"/>
      <c r="AV40" s="140"/>
      <c r="AW40" s="140"/>
      <c r="AX40" s="176">
        <f>IFERROR(__xludf.DUMMYFUNCTION("""COMPUTED_VALUE"""),45434.64583333333)</f>
        <v>45434.64583</v>
      </c>
      <c r="AY40" s="177">
        <f>IFERROR(__xludf.DUMMYFUNCTION("""COMPUTED_VALUE"""),437.35)</f>
        <v>437.35</v>
      </c>
      <c r="AZ40" s="177">
        <f>IFERROR(__xludf.DUMMYFUNCTION("""COMPUTED_VALUE"""),441.95)</f>
        <v>441.95</v>
      </c>
      <c r="BA40" s="177">
        <f>IFERROR(__xludf.DUMMYFUNCTION("""COMPUTED_VALUE"""),435.4)</f>
        <v>435.4</v>
      </c>
      <c r="BB40" s="177">
        <f>IFERROR(__xludf.DUMMYFUNCTION("""COMPUTED_VALUE"""),439.9)</f>
        <v>439.9</v>
      </c>
      <c r="BC40" s="177">
        <f>IFERROR(__xludf.DUMMYFUNCTION("""COMPUTED_VALUE"""),1.0627595E7)</f>
        <v>10627595</v>
      </c>
      <c r="BD40" s="177">
        <f t="shared" si="5"/>
        <v>0.01166127311</v>
      </c>
      <c r="BE40" s="177"/>
      <c r="BF40" s="177"/>
      <c r="BG40" s="189"/>
      <c r="BH40" s="140"/>
      <c r="BI40" s="140"/>
      <c r="BJ40" s="140"/>
      <c r="BK40" s="140"/>
      <c r="BL40" s="140"/>
      <c r="BM40" s="140"/>
      <c r="BN40" s="140"/>
      <c r="BO40" s="140"/>
      <c r="BP40" s="140"/>
      <c r="BQ40" s="140"/>
      <c r="BR40" s="140"/>
      <c r="BS40" s="140"/>
      <c r="BT40" s="140"/>
      <c r="BU40" s="140"/>
      <c r="BV40" s="140"/>
      <c r="BW40" s="140"/>
      <c r="BX40" s="140"/>
      <c r="BY40" s="140"/>
    </row>
    <row r="41" ht="15.75" customHeight="1">
      <c r="A41" s="168"/>
      <c r="B41" s="169">
        <v>45435.0</v>
      </c>
      <c r="C41" s="170">
        <v>6365.12</v>
      </c>
      <c r="D41" s="170">
        <v>6381.52</v>
      </c>
      <c r="E41" s="170">
        <v>6227.71</v>
      </c>
      <c r="F41" s="170">
        <v>6232.12</v>
      </c>
      <c r="G41" s="171" t="s">
        <v>238</v>
      </c>
      <c r="H41" s="172">
        <f t="shared" si="1"/>
        <v>-0.02074882493</v>
      </c>
      <c r="I41" s="172"/>
      <c r="J41" s="172"/>
      <c r="K41" s="188"/>
      <c r="L41" s="140"/>
      <c r="M41" s="140"/>
      <c r="N41" s="176">
        <f>IFERROR(__xludf.DUMMYFUNCTION("""COMPUTED_VALUE"""),45435.64583333333)</f>
        <v>45435.64583</v>
      </c>
      <c r="O41" s="177">
        <f>IFERROR(__xludf.DUMMYFUNCTION("""COMPUTED_VALUE"""),1115.55)</f>
        <v>1115.55</v>
      </c>
      <c r="P41" s="177">
        <f>IFERROR(__xludf.DUMMYFUNCTION("""COMPUTED_VALUE"""),1137.0)</f>
        <v>1137</v>
      </c>
      <c r="Q41" s="177">
        <f>IFERROR(__xludf.DUMMYFUNCTION("""COMPUTED_VALUE"""),1111.4)</f>
        <v>1111.4</v>
      </c>
      <c r="R41" s="177">
        <f>IFERROR(__xludf.DUMMYFUNCTION("""COMPUTED_VALUE"""),1134.5)</f>
        <v>1134.5</v>
      </c>
      <c r="S41" s="177">
        <f>IFERROR(__xludf.DUMMYFUNCTION("""COMPUTED_VALUE"""),1.3787687E7)</f>
        <v>13787687</v>
      </c>
      <c r="T41" s="177">
        <f t="shared" si="2"/>
        <v>0.02084150963</v>
      </c>
      <c r="U41" s="178"/>
      <c r="V41" s="177"/>
      <c r="W41" s="189"/>
      <c r="X41" s="140"/>
      <c r="Y41" s="140"/>
      <c r="Z41" s="176">
        <f>IFERROR(__xludf.DUMMYFUNCTION("""COMPUTED_VALUE"""),45435.64583333333)</f>
        <v>45435.64583</v>
      </c>
      <c r="AA41" s="177">
        <f>IFERROR(__xludf.DUMMYFUNCTION("""COMPUTED_VALUE"""),341.65)</f>
        <v>341.65</v>
      </c>
      <c r="AB41" s="177">
        <f>IFERROR(__xludf.DUMMYFUNCTION("""COMPUTED_VALUE"""),347.65)</f>
        <v>347.65</v>
      </c>
      <c r="AC41" s="177">
        <f>IFERROR(__xludf.DUMMYFUNCTION("""COMPUTED_VALUE"""),340.15)</f>
        <v>340.15</v>
      </c>
      <c r="AD41" s="177">
        <f>IFERROR(__xludf.DUMMYFUNCTION("""COMPUTED_VALUE"""),343.8)</f>
        <v>343.8</v>
      </c>
      <c r="AE41" s="177">
        <f>IFERROR(__xludf.DUMMYFUNCTION("""COMPUTED_VALUE"""),6693276.0)</f>
        <v>6693276</v>
      </c>
      <c r="AF41" s="177">
        <f t="shared" si="3"/>
        <v>0.01258614595</v>
      </c>
      <c r="AG41" s="177"/>
      <c r="AH41" s="177"/>
      <c r="AI41" s="189"/>
      <c r="AJ41" s="140"/>
      <c r="AK41" s="140"/>
      <c r="AL41" s="176">
        <f>IFERROR(__xludf.DUMMYFUNCTION("""COMPUTED_VALUE"""),45435.64583333333)</f>
        <v>45435.64583</v>
      </c>
      <c r="AM41" s="177">
        <f>IFERROR(__xludf.DUMMYFUNCTION("""COMPUTED_VALUE"""),4944.0)</f>
        <v>4944</v>
      </c>
      <c r="AN41" s="177">
        <f>IFERROR(__xludf.DUMMYFUNCTION("""COMPUTED_VALUE"""),4993.0)</f>
        <v>4993</v>
      </c>
      <c r="AO41" s="177">
        <f>IFERROR(__xludf.DUMMYFUNCTION("""COMPUTED_VALUE"""),4908.0)</f>
        <v>4908</v>
      </c>
      <c r="AP41" s="177">
        <f>IFERROR(__xludf.DUMMYFUNCTION("""COMPUTED_VALUE"""),4949.9)</f>
        <v>4949.9</v>
      </c>
      <c r="AQ41" s="177">
        <f>IFERROR(__xludf.DUMMYFUNCTION("""COMPUTED_VALUE"""),3335143.0)</f>
        <v>3335143</v>
      </c>
      <c r="AR41" s="177">
        <f t="shared" si="4"/>
        <v>0.005814971152</v>
      </c>
      <c r="AS41" s="177"/>
      <c r="AT41" s="177"/>
      <c r="AU41" s="189"/>
      <c r="AV41" s="140"/>
      <c r="AW41" s="140"/>
      <c r="AX41" s="176">
        <f>IFERROR(__xludf.DUMMYFUNCTION("""COMPUTED_VALUE"""),45435.64583333333)</f>
        <v>45435.64583</v>
      </c>
      <c r="AY41" s="177">
        <f>IFERROR(__xludf.DUMMYFUNCTION("""COMPUTED_VALUE"""),441.4)</f>
        <v>441.4</v>
      </c>
      <c r="AZ41" s="177">
        <f>IFERROR(__xludf.DUMMYFUNCTION("""COMPUTED_VALUE"""),444.9)</f>
        <v>444.9</v>
      </c>
      <c r="BA41" s="177">
        <f>IFERROR(__xludf.DUMMYFUNCTION("""COMPUTED_VALUE"""),436.55)</f>
        <v>436.55</v>
      </c>
      <c r="BB41" s="177">
        <f>IFERROR(__xludf.DUMMYFUNCTION("""COMPUTED_VALUE"""),441.35)</f>
        <v>441.35</v>
      </c>
      <c r="BC41" s="177">
        <f>IFERROR(__xludf.DUMMYFUNCTION("""COMPUTED_VALUE"""),2.6234369E7)</f>
        <v>26234369</v>
      </c>
      <c r="BD41" s="177">
        <f t="shared" si="5"/>
        <v>0.003290783112</v>
      </c>
      <c r="BE41" s="177"/>
      <c r="BF41" s="177"/>
      <c r="BG41" s="189"/>
      <c r="BH41" s="140"/>
      <c r="BI41" s="140"/>
      <c r="BJ41" s="140"/>
      <c r="BK41" s="140"/>
      <c r="BL41" s="140"/>
      <c r="BM41" s="140"/>
      <c r="BN41" s="140"/>
      <c r="BO41" s="140"/>
      <c r="BP41" s="140"/>
      <c r="BQ41" s="140"/>
      <c r="BR41" s="140"/>
      <c r="BS41" s="140"/>
      <c r="BT41" s="140"/>
      <c r="BU41" s="140"/>
      <c r="BV41" s="140"/>
      <c r="BW41" s="140"/>
      <c r="BX41" s="140"/>
      <c r="BY41" s="140"/>
    </row>
    <row r="42" ht="15.75" customHeight="1">
      <c r="A42" s="168"/>
      <c r="B42" s="169">
        <v>45436.0</v>
      </c>
      <c r="C42" s="170">
        <v>6233.12</v>
      </c>
      <c r="D42" s="170">
        <v>6271.52</v>
      </c>
      <c r="E42" s="170">
        <v>6225.12</v>
      </c>
      <c r="F42" s="170">
        <v>6231.12</v>
      </c>
      <c r="G42" s="171" t="s">
        <v>238</v>
      </c>
      <c r="H42" s="172">
        <f t="shared" si="1"/>
        <v>-0.0001604719162</v>
      </c>
      <c r="I42" s="172"/>
      <c r="J42" s="172"/>
      <c r="K42" s="188"/>
      <c r="L42" s="140"/>
      <c r="M42" s="140"/>
      <c r="N42" s="176">
        <f>IFERROR(__xludf.DUMMYFUNCTION("""COMPUTED_VALUE"""),45436.64583333333)</f>
        <v>45436.64583</v>
      </c>
      <c r="O42" s="177">
        <f>IFERROR(__xludf.DUMMYFUNCTION("""COMPUTED_VALUE"""),1130.0)</f>
        <v>1130</v>
      </c>
      <c r="P42" s="177">
        <f>IFERROR(__xludf.DUMMYFUNCTION("""COMPUTED_VALUE"""),1135.0)</f>
        <v>1135</v>
      </c>
      <c r="Q42" s="177">
        <f>IFERROR(__xludf.DUMMYFUNCTION("""COMPUTED_VALUE"""),1124.15)</f>
        <v>1124.15</v>
      </c>
      <c r="R42" s="177">
        <f>IFERROR(__xludf.DUMMYFUNCTION("""COMPUTED_VALUE"""),1131.95)</f>
        <v>1131.95</v>
      </c>
      <c r="S42" s="177">
        <f>IFERROR(__xludf.DUMMYFUNCTION("""COMPUTED_VALUE"""),6312670.0)</f>
        <v>6312670</v>
      </c>
      <c r="T42" s="177">
        <f t="shared" si="2"/>
        <v>-0.002250216044</v>
      </c>
      <c r="U42" s="178"/>
      <c r="V42" s="177"/>
      <c r="W42" s="189"/>
      <c r="X42" s="140"/>
      <c r="Y42" s="140"/>
      <c r="Z42" s="176">
        <f>IFERROR(__xludf.DUMMYFUNCTION("""COMPUTED_VALUE"""),45436.64583333333)</f>
        <v>45436.64583</v>
      </c>
      <c r="AA42" s="177">
        <f>IFERROR(__xludf.DUMMYFUNCTION("""COMPUTED_VALUE"""),346.15)</f>
        <v>346.15</v>
      </c>
      <c r="AB42" s="177">
        <f>IFERROR(__xludf.DUMMYFUNCTION("""COMPUTED_VALUE"""),356.45)</f>
        <v>356.45</v>
      </c>
      <c r="AC42" s="177">
        <f>IFERROR(__xludf.DUMMYFUNCTION("""COMPUTED_VALUE"""),343.05)</f>
        <v>343.05</v>
      </c>
      <c r="AD42" s="177">
        <f>IFERROR(__xludf.DUMMYFUNCTION("""COMPUTED_VALUE"""),346.7)</f>
        <v>346.7</v>
      </c>
      <c r="AE42" s="177">
        <f>IFERROR(__xludf.DUMMYFUNCTION("""COMPUTED_VALUE"""),2.2371674E7)</f>
        <v>22371674</v>
      </c>
      <c r="AF42" s="177">
        <f t="shared" si="3"/>
        <v>0.008399759742</v>
      </c>
      <c r="AG42" s="177"/>
      <c r="AH42" s="177"/>
      <c r="AI42" s="189"/>
      <c r="AJ42" s="140"/>
      <c r="AK42" s="140"/>
      <c r="AL42" s="176">
        <f>IFERROR(__xludf.DUMMYFUNCTION("""COMPUTED_VALUE"""),45436.64583333333)</f>
        <v>45436.64583</v>
      </c>
      <c r="AM42" s="177">
        <f>IFERROR(__xludf.DUMMYFUNCTION("""COMPUTED_VALUE"""),4950.0)</f>
        <v>4950</v>
      </c>
      <c r="AN42" s="177">
        <f>IFERROR(__xludf.DUMMYFUNCTION("""COMPUTED_VALUE"""),5378.0)</f>
        <v>5378</v>
      </c>
      <c r="AO42" s="177">
        <f>IFERROR(__xludf.DUMMYFUNCTION("""COMPUTED_VALUE"""),4921.1)</f>
        <v>4921.1</v>
      </c>
      <c r="AP42" s="177">
        <f>IFERROR(__xludf.DUMMYFUNCTION("""COMPUTED_VALUE"""),5166.65)</f>
        <v>5166.65</v>
      </c>
      <c r="AQ42" s="177">
        <f>IFERROR(__xludf.DUMMYFUNCTION("""COMPUTED_VALUE"""),9073866.0)</f>
        <v>9073866</v>
      </c>
      <c r="AR42" s="177">
        <f t="shared" si="4"/>
        <v>0.04285713509</v>
      </c>
      <c r="AS42" s="177"/>
      <c r="AT42" s="177"/>
      <c r="AU42" s="189"/>
      <c r="AV42" s="140"/>
      <c r="AW42" s="140"/>
      <c r="AX42" s="176">
        <f>IFERROR(__xludf.DUMMYFUNCTION("""COMPUTED_VALUE"""),45436.64583333333)</f>
        <v>45436.64583</v>
      </c>
      <c r="AY42" s="177">
        <f>IFERROR(__xludf.DUMMYFUNCTION("""COMPUTED_VALUE"""),441.0)</f>
        <v>441</v>
      </c>
      <c r="AZ42" s="177">
        <f>IFERROR(__xludf.DUMMYFUNCTION("""COMPUTED_VALUE"""),442.45)</f>
        <v>442.45</v>
      </c>
      <c r="BA42" s="177">
        <f>IFERROR(__xludf.DUMMYFUNCTION("""COMPUTED_VALUE"""),435.3)</f>
        <v>435.3</v>
      </c>
      <c r="BB42" s="177">
        <f>IFERROR(__xludf.DUMMYFUNCTION("""COMPUTED_VALUE"""),436.2)</f>
        <v>436.2</v>
      </c>
      <c r="BC42" s="177">
        <f>IFERROR(__xludf.DUMMYFUNCTION("""COMPUTED_VALUE"""),1.2761457E7)</f>
        <v>12761457</v>
      </c>
      <c r="BD42" s="177">
        <f t="shared" si="5"/>
        <v>-0.0117373577</v>
      </c>
      <c r="BE42" s="177"/>
      <c r="BF42" s="177"/>
      <c r="BG42" s="189"/>
      <c r="BH42" s="140"/>
      <c r="BI42" s="140"/>
      <c r="BJ42" s="140"/>
      <c r="BK42" s="140"/>
      <c r="BL42" s="140"/>
      <c r="BM42" s="140"/>
      <c r="BN42" s="140"/>
      <c r="BO42" s="140"/>
      <c r="BP42" s="140"/>
      <c r="BQ42" s="140"/>
      <c r="BR42" s="140"/>
      <c r="BS42" s="140"/>
      <c r="BT42" s="140"/>
      <c r="BU42" s="140"/>
      <c r="BV42" s="140"/>
      <c r="BW42" s="140"/>
      <c r="BX42" s="140"/>
      <c r="BY42" s="140"/>
    </row>
    <row r="43" ht="15.75" customHeight="1">
      <c r="A43" s="168"/>
      <c r="B43" s="169">
        <v>45439.0</v>
      </c>
      <c r="C43" s="170">
        <v>6233.71</v>
      </c>
      <c r="D43" s="170">
        <v>6303.16</v>
      </c>
      <c r="E43" s="170">
        <v>6228.12</v>
      </c>
      <c r="F43" s="170">
        <v>6280.12</v>
      </c>
      <c r="G43" s="171" t="s">
        <v>238</v>
      </c>
      <c r="H43" s="172">
        <f t="shared" si="1"/>
        <v>0.007832996655</v>
      </c>
      <c r="I43" s="172"/>
      <c r="J43" s="172"/>
      <c r="K43" s="188"/>
      <c r="L43" s="140"/>
      <c r="M43" s="140"/>
      <c r="N43" s="176">
        <f>IFERROR(__xludf.DUMMYFUNCTION("""COMPUTED_VALUE"""),45439.64583333333)</f>
        <v>45439.64583</v>
      </c>
      <c r="O43" s="177">
        <f>IFERROR(__xludf.DUMMYFUNCTION("""COMPUTED_VALUE"""),1131.9)</f>
        <v>1131.9</v>
      </c>
      <c r="P43" s="177">
        <f>IFERROR(__xludf.DUMMYFUNCTION("""COMPUTED_VALUE"""),1147.8)</f>
        <v>1147.8</v>
      </c>
      <c r="Q43" s="177">
        <f>IFERROR(__xludf.DUMMYFUNCTION("""COMPUTED_VALUE"""),1121.55)</f>
        <v>1121.55</v>
      </c>
      <c r="R43" s="177">
        <f>IFERROR(__xludf.DUMMYFUNCTION("""COMPUTED_VALUE"""),1129.8)</f>
        <v>1129.8</v>
      </c>
      <c r="S43" s="177">
        <f>IFERROR(__xludf.DUMMYFUNCTION("""COMPUTED_VALUE"""),1.1599857E7)</f>
        <v>11599857</v>
      </c>
      <c r="T43" s="177">
        <f t="shared" si="2"/>
        <v>-0.001901183285</v>
      </c>
      <c r="U43" s="178"/>
      <c r="V43" s="177"/>
      <c r="W43" s="189"/>
      <c r="X43" s="140"/>
      <c r="Y43" s="140"/>
      <c r="Z43" s="176">
        <f>IFERROR(__xludf.DUMMYFUNCTION("""COMPUTED_VALUE"""),45439.64583333333)</f>
        <v>45439.64583</v>
      </c>
      <c r="AA43" s="177">
        <f>IFERROR(__xludf.DUMMYFUNCTION("""COMPUTED_VALUE"""),347.0)</f>
        <v>347</v>
      </c>
      <c r="AB43" s="177">
        <f>IFERROR(__xludf.DUMMYFUNCTION("""COMPUTED_VALUE"""),352.0)</f>
        <v>352</v>
      </c>
      <c r="AC43" s="177">
        <f>IFERROR(__xludf.DUMMYFUNCTION("""COMPUTED_VALUE"""),340.8)</f>
        <v>340.8</v>
      </c>
      <c r="AD43" s="177">
        <f>IFERROR(__xludf.DUMMYFUNCTION("""COMPUTED_VALUE"""),342.75)</f>
        <v>342.75</v>
      </c>
      <c r="AE43" s="177">
        <f>IFERROR(__xludf.DUMMYFUNCTION("""COMPUTED_VALUE"""),7873067.0)</f>
        <v>7873067</v>
      </c>
      <c r="AF43" s="177">
        <f t="shared" si="3"/>
        <v>-0.01145853425</v>
      </c>
      <c r="AG43" s="177"/>
      <c r="AH43" s="177"/>
      <c r="AI43" s="189"/>
      <c r="AJ43" s="140"/>
      <c r="AK43" s="140"/>
      <c r="AL43" s="176">
        <f>IFERROR(__xludf.DUMMYFUNCTION("""COMPUTED_VALUE"""),45439.64583333333)</f>
        <v>45439.64583</v>
      </c>
      <c r="AM43" s="177">
        <f>IFERROR(__xludf.DUMMYFUNCTION("""COMPUTED_VALUE"""),5192.5)</f>
        <v>5192.5</v>
      </c>
      <c r="AN43" s="177">
        <f>IFERROR(__xludf.DUMMYFUNCTION("""COMPUTED_VALUE"""),5223.2)</f>
        <v>5223.2</v>
      </c>
      <c r="AO43" s="177">
        <f>IFERROR(__xludf.DUMMYFUNCTION("""COMPUTED_VALUE"""),5025.3)</f>
        <v>5025.3</v>
      </c>
      <c r="AP43" s="177">
        <f>IFERROR(__xludf.DUMMYFUNCTION("""COMPUTED_VALUE"""),5142.35)</f>
        <v>5142.35</v>
      </c>
      <c r="AQ43" s="177">
        <f>IFERROR(__xludf.DUMMYFUNCTION("""COMPUTED_VALUE"""),4228002.0)</f>
        <v>4228002</v>
      </c>
      <c r="AR43" s="177">
        <f t="shared" si="4"/>
        <v>-0.004714336018</v>
      </c>
      <c r="AS43" s="177"/>
      <c r="AT43" s="177"/>
      <c r="AU43" s="189"/>
      <c r="AV43" s="140"/>
      <c r="AW43" s="140"/>
      <c r="AX43" s="176">
        <f>IFERROR(__xludf.DUMMYFUNCTION("""COMPUTED_VALUE"""),45439.64583333333)</f>
        <v>45439.64583</v>
      </c>
      <c r="AY43" s="177">
        <f>IFERROR(__xludf.DUMMYFUNCTION("""COMPUTED_VALUE"""),438.8)</f>
        <v>438.8</v>
      </c>
      <c r="AZ43" s="177">
        <f>IFERROR(__xludf.DUMMYFUNCTION("""COMPUTED_VALUE"""),438.9)</f>
        <v>438.9</v>
      </c>
      <c r="BA43" s="177">
        <f>IFERROR(__xludf.DUMMYFUNCTION("""COMPUTED_VALUE"""),430.7)</f>
        <v>430.7</v>
      </c>
      <c r="BB43" s="177">
        <f>IFERROR(__xludf.DUMMYFUNCTION("""COMPUTED_VALUE"""),431.5)</f>
        <v>431.5</v>
      </c>
      <c r="BC43" s="177">
        <f>IFERROR(__xludf.DUMMYFUNCTION("""COMPUTED_VALUE"""),1.182705E7)</f>
        <v>11827050</v>
      </c>
      <c r="BD43" s="177">
        <f t="shared" si="5"/>
        <v>-0.01083334324</v>
      </c>
      <c r="BE43" s="177"/>
      <c r="BF43" s="177"/>
      <c r="BG43" s="189"/>
      <c r="BH43" s="140"/>
      <c r="BI43" s="140"/>
      <c r="BJ43" s="140"/>
      <c r="BK43" s="140"/>
      <c r="BL43" s="140"/>
      <c r="BM43" s="140"/>
      <c r="BN43" s="140"/>
      <c r="BO43" s="140"/>
      <c r="BP43" s="140"/>
      <c r="BQ43" s="140"/>
      <c r="BR43" s="140"/>
      <c r="BS43" s="140"/>
      <c r="BT43" s="140"/>
      <c r="BU43" s="140"/>
      <c r="BV43" s="140"/>
      <c r="BW43" s="140"/>
      <c r="BX43" s="140"/>
      <c r="BY43" s="140"/>
    </row>
    <row r="44" ht="15.75" customHeight="1">
      <c r="A44" s="168"/>
      <c r="B44" s="169">
        <v>45440.0</v>
      </c>
      <c r="C44" s="170">
        <v>6283.12</v>
      </c>
      <c r="D44" s="170">
        <v>6322.12</v>
      </c>
      <c r="E44" s="170">
        <v>6255.12</v>
      </c>
      <c r="F44" s="170">
        <v>6313.12</v>
      </c>
      <c r="G44" s="171" t="s">
        <v>238</v>
      </c>
      <c r="H44" s="172">
        <f t="shared" si="1"/>
        <v>0.005240919022</v>
      </c>
      <c r="I44" s="172"/>
      <c r="J44" s="172"/>
      <c r="K44" s="188"/>
      <c r="L44" s="140"/>
      <c r="M44" s="140"/>
      <c r="N44" s="176">
        <f>IFERROR(__xludf.DUMMYFUNCTION("""COMPUTED_VALUE"""),45440.64583333333)</f>
        <v>45440.64583</v>
      </c>
      <c r="O44" s="177">
        <f>IFERROR(__xludf.DUMMYFUNCTION("""COMPUTED_VALUE"""),1132.5)</f>
        <v>1132.5</v>
      </c>
      <c r="P44" s="177">
        <f>IFERROR(__xludf.DUMMYFUNCTION("""COMPUTED_VALUE"""),1135.2)</f>
        <v>1135.2</v>
      </c>
      <c r="Q44" s="177">
        <f>IFERROR(__xludf.DUMMYFUNCTION("""COMPUTED_VALUE"""),1125.0)</f>
        <v>1125</v>
      </c>
      <c r="R44" s="177">
        <f>IFERROR(__xludf.DUMMYFUNCTION("""COMPUTED_VALUE"""),1126.95)</f>
        <v>1126.95</v>
      </c>
      <c r="S44" s="177">
        <f>IFERROR(__xludf.DUMMYFUNCTION("""COMPUTED_VALUE"""),9311718.0)</f>
        <v>9311718</v>
      </c>
      <c r="T44" s="177">
        <f t="shared" si="2"/>
        <v>-0.002525757408</v>
      </c>
      <c r="U44" s="178"/>
      <c r="V44" s="177"/>
      <c r="W44" s="189"/>
      <c r="X44" s="140"/>
      <c r="Y44" s="140"/>
      <c r="Z44" s="176">
        <f>IFERROR(__xludf.DUMMYFUNCTION("""COMPUTED_VALUE"""),45440.64583333333)</f>
        <v>45440.64583</v>
      </c>
      <c r="AA44" s="177">
        <f>IFERROR(__xludf.DUMMYFUNCTION("""COMPUTED_VALUE"""),346.0)</f>
        <v>346</v>
      </c>
      <c r="AB44" s="177">
        <f>IFERROR(__xludf.DUMMYFUNCTION("""COMPUTED_VALUE"""),350.95)</f>
        <v>350.95</v>
      </c>
      <c r="AC44" s="177">
        <f>IFERROR(__xludf.DUMMYFUNCTION("""COMPUTED_VALUE"""),340.05)</f>
        <v>340.05</v>
      </c>
      <c r="AD44" s="177">
        <f>IFERROR(__xludf.DUMMYFUNCTION("""COMPUTED_VALUE"""),341.4)</f>
        <v>341.4</v>
      </c>
      <c r="AE44" s="177">
        <f>IFERROR(__xludf.DUMMYFUNCTION("""COMPUTED_VALUE"""),1.0680935E7)</f>
        <v>10680935</v>
      </c>
      <c r="AF44" s="177">
        <f t="shared" si="3"/>
        <v>-0.003946508082</v>
      </c>
      <c r="AG44" s="177"/>
      <c r="AH44" s="177"/>
      <c r="AI44" s="189"/>
      <c r="AJ44" s="140"/>
      <c r="AK44" s="140"/>
      <c r="AL44" s="176">
        <f>IFERROR(__xludf.DUMMYFUNCTION("""COMPUTED_VALUE"""),45440.64583333333)</f>
        <v>45440.64583</v>
      </c>
      <c r="AM44" s="177">
        <f>IFERROR(__xludf.DUMMYFUNCTION("""COMPUTED_VALUE"""),5139.0)</f>
        <v>5139</v>
      </c>
      <c r="AN44" s="177">
        <f>IFERROR(__xludf.DUMMYFUNCTION("""COMPUTED_VALUE"""),5207.9)</f>
        <v>5207.9</v>
      </c>
      <c r="AO44" s="177">
        <f>IFERROR(__xludf.DUMMYFUNCTION("""COMPUTED_VALUE"""),4955.0)</f>
        <v>4955</v>
      </c>
      <c r="AP44" s="177">
        <f>IFERROR(__xludf.DUMMYFUNCTION("""COMPUTED_VALUE"""),5019.75)</f>
        <v>5019.75</v>
      </c>
      <c r="AQ44" s="177">
        <f>IFERROR(__xludf.DUMMYFUNCTION("""COMPUTED_VALUE"""),4402348.0)</f>
        <v>4402348</v>
      </c>
      <c r="AR44" s="177">
        <f t="shared" si="4"/>
        <v>-0.02413004176</v>
      </c>
      <c r="AS44" s="177"/>
      <c r="AT44" s="177"/>
      <c r="AU44" s="189"/>
      <c r="AV44" s="140"/>
      <c r="AW44" s="140"/>
      <c r="AX44" s="176">
        <f>IFERROR(__xludf.DUMMYFUNCTION("""COMPUTED_VALUE"""),45440.64583333333)</f>
        <v>45440.64583</v>
      </c>
      <c r="AY44" s="177">
        <f>IFERROR(__xludf.DUMMYFUNCTION("""COMPUTED_VALUE"""),432.1)</f>
        <v>432.1</v>
      </c>
      <c r="AZ44" s="177">
        <f>IFERROR(__xludf.DUMMYFUNCTION("""COMPUTED_VALUE"""),432.5)</f>
        <v>432.5</v>
      </c>
      <c r="BA44" s="177">
        <f>IFERROR(__xludf.DUMMYFUNCTION("""COMPUTED_VALUE"""),428.25)</f>
        <v>428.25</v>
      </c>
      <c r="BB44" s="177">
        <f>IFERROR(__xludf.DUMMYFUNCTION("""COMPUTED_VALUE"""),429.0)</f>
        <v>429</v>
      </c>
      <c r="BC44" s="177">
        <f>IFERROR(__xludf.DUMMYFUNCTION("""COMPUTED_VALUE"""),9310198.0)</f>
        <v>9310198</v>
      </c>
      <c r="BD44" s="177">
        <f t="shared" si="5"/>
        <v>-0.005810591595</v>
      </c>
      <c r="BE44" s="177"/>
      <c r="BF44" s="177"/>
      <c r="BG44" s="189"/>
      <c r="BH44" s="140"/>
      <c r="BI44" s="140"/>
      <c r="BJ44" s="140"/>
      <c r="BK44" s="140"/>
      <c r="BL44" s="140"/>
      <c r="BM44" s="140"/>
      <c r="BN44" s="140"/>
      <c r="BO44" s="140"/>
      <c r="BP44" s="140"/>
      <c r="BQ44" s="140"/>
      <c r="BR44" s="140"/>
      <c r="BS44" s="140"/>
      <c r="BT44" s="140"/>
      <c r="BU44" s="140"/>
      <c r="BV44" s="140"/>
      <c r="BW44" s="140"/>
      <c r="BX44" s="140"/>
      <c r="BY44" s="140"/>
    </row>
    <row r="45" ht="15.75" customHeight="1">
      <c r="A45" s="168"/>
      <c r="B45" s="169">
        <v>45441.0</v>
      </c>
      <c r="C45" s="170">
        <v>6308.78</v>
      </c>
      <c r="D45" s="170">
        <v>6322.12</v>
      </c>
      <c r="E45" s="170">
        <v>6257.71</v>
      </c>
      <c r="F45" s="170">
        <v>6263.12</v>
      </c>
      <c r="G45" s="171" t="s">
        <v>238</v>
      </c>
      <c r="H45" s="172">
        <f t="shared" si="1"/>
        <v>-0.007951544094</v>
      </c>
      <c r="I45" s="172"/>
      <c r="J45" s="172"/>
      <c r="K45" s="188"/>
      <c r="L45" s="140"/>
      <c r="M45" s="140"/>
      <c r="N45" s="176">
        <f>IFERROR(__xludf.DUMMYFUNCTION("""COMPUTED_VALUE"""),45441.64583333333)</f>
        <v>45441.64583</v>
      </c>
      <c r="O45" s="177">
        <f>IFERROR(__xludf.DUMMYFUNCTION("""COMPUTED_VALUE"""),1115.05)</f>
        <v>1115.05</v>
      </c>
      <c r="P45" s="177">
        <f>IFERROR(__xludf.DUMMYFUNCTION("""COMPUTED_VALUE"""),1123.55)</f>
        <v>1123.55</v>
      </c>
      <c r="Q45" s="177">
        <f>IFERROR(__xludf.DUMMYFUNCTION("""COMPUTED_VALUE"""),1098.5)</f>
        <v>1098.5</v>
      </c>
      <c r="R45" s="177">
        <f>IFERROR(__xludf.DUMMYFUNCTION("""COMPUTED_VALUE"""),1102.0)</f>
        <v>1102</v>
      </c>
      <c r="S45" s="177">
        <f>IFERROR(__xludf.DUMMYFUNCTION("""COMPUTED_VALUE"""),1.9268547E7)</f>
        <v>19268547</v>
      </c>
      <c r="T45" s="177">
        <f t="shared" si="2"/>
        <v>-0.02238815777</v>
      </c>
      <c r="U45" s="178"/>
      <c r="V45" s="177"/>
      <c r="W45" s="189"/>
      <c r="X45" s="140"/>
      <c r="Y45" s="140"/>
      <c r="Z45" s="176">
        <f>IFERROR(__xludf.DUMMYFUNCTION("""COMPUTED_VALUE"""),45441.64583333333)</f>
        <v>45441.64583</v>
      </c>
      <c r="AA45" s="177">
        <f>IFERROR(__xludf.DUMMYFUNCTION("""COMPUTED_VALUE"""),343.0)</f>
        <v>343</v>
      </c>
      <c r="AB45" s="177">
        <f>IFERROR(__xludf.DUMMYFUNCTION("""COMPUTED_VALUE"""),345.3)</f>
        <v>345.3</v>
      </c>
      <c r="AC45" s="177">
        <f>IFERROR(__xludf.DUMMYFUNCTION("""COMPUTED_VALUE"""),340.25)</f>
        <v>340.25</v>
      </c>
      <c r="AD45" s="177">
        <f>IFERROR(__xludf.DUMMYFUNCTION("""COMPUTED_VALUE"""),340.95)</f>
        <v>340.95</v>
      </c>
      <c r="AE45" s="177">
        <f>IFERROR(__xludf.DUMMYFUNCTION("""COMPUTED_VALUE"""),6954616.0)</f>
        <v>6954616</v>
      </c>
      <c r="AF45" s="177">
        <f t="shared" si="3"/>
        <v>-0.001318971394</v>
      </c>
      <c r="AG45" s="177"/>
      <c r="AH45" s="177"/>
      <c r="AI45" s="189"/>
      <c r="AJ45" s="140"/>
      <c r="AK45" s="140"/>
      <c r="AL45" s="176">
        <f>IFERROR(__xludf.DUMMYFUNCTION("""COMPUTED_VALUE"""),45441.64583333333)</f>
        <v>45441.64583</v>
      </c>
      <c r="AM45" s="177">
        <f>IFERROR(__xludf.DUMMYFUNCTION("""COMPUTED_VALUE"""),5000.0)</f>
        <v>5000</v>
      </c>
      <c r="AN45" s="177">
        <f>IFERROR(__xludf.DUMMYFUNCTION("""COMPUTED_VALUE"""),5152.0)</f>
        <v>5152</v>
      </c>
      <c r="AO45" s="177">
        <f>IFERROR(__xludf.DUMMYFUNCTION("""COMPUTED_VALUE"""),4950.0)</f>
        <v>4950</v>
      </c>
      <c r="AP45" s="177">
        <f>IFERROR(__xludf.DUMMYFUNCTION("""COMPUTED_VALUE"""),5051.75)</f>
        <v>5051.75</v>
      </c>
      <c r="AQ45" s="177">
        <f>IFERROR(__xludf.DUMMYFUNCTION("""COMPUTED_VALUE"""),4225666.0)</f>
        <v>4225666</v>
      </c>
      <c r="AR45" s="177">
        <f t="shared" si="4"/>
        <v>0.006354586245</v>
      </c>
      <c r="AS45" s="177"/>
      <c r="AT45" s="177"/>
      <c r="AU45" s="189"/>
      <c r="AV45" s="140"/>
      <c r="AW45" s="140"/>
      <c r="AX45" s="176">
        <f>IFERROR(__xludf.DUMMYFUNCTION("""COMPUTED_VALUE"""),45441.64583333333)</f>
        <v>45441.64583</v>
      </c>
      <c r="AY45" s="177">
        <f>IFERROR(__xludf.DUMMYFUNCTION("""COMPUTED_VALUE"""),425.5)</f>
        <v>425.5</v>
      </c>
      <c r="AZ45" s="177">
        <f>IFERROR(__xludf.DUMMYFUNCTION("""COMPUTED_VALUE"""),432.4)</f>
        <v>432.4</v>
      </c>
      <c r="BA45" s="177">
        <f>IFERROR(__xludf.DUMMYFUNCTION("""COMPUTED_VALUE"""),425.5)</f>
        <v>425.5</v>
      </c>
      <c r="BB45" s="177">
        <f>IFERROR(__xludf.DUMMYFUNCTION("""COMPUTED_VALUE"""),430.95)</f>
        <v>430.95</v>
      </c>
      <c r="BC45" s="177">
        <f>IFERROR(__xludf.DUMMYFUNCTION("""COMPUTED_VALUE"""),1.0430363E7)</f>
        <v>10430363</v>
      </c>
      <c r="BD45" s="177">
        <f t="shared" si="5"/>
        <v>0.004535155165</v>
      </c>
      <c r="BE45" s="177"/>
      <c r="BF45" s="177"/>
      <c r="BG45" s="189"/>
      <c r="BH45" s="140"/>
      <c r="BI45" s="140"/>
      <c r="BJ45" s="140"/>
      <c r="BK45" s="140"/>
      <c r="BL45" s="140"/>
      <c r="BM45" s="140"/>
      <c r="BN45" s="140"/>
      <c r="BO45" s="140"/>
      <c r="BP45" s="140"/>
      <c r="BQ45" s="140"/>
      <c r="BR45" s="140"/>
      <c r="BS45" s="140"/>
      <c r="BT45" s="140"/>
      <c r="BU45" s="140"/>
      <c r="BV45" s="140"/>
      <c r="BW45" s="140"/>
      <c r="BX45" s="140"/>
      <c r="BY45" s="140"/>
    </row>
    <row r="46" ht="15.75" customHeight="1">
      <c r="A46" s="168"/>
      <c r="B46" s="169">
        <v>45442.0</v>
      </c>
      <c r="C46" s="170">
        <v>6264.78</v>
      </c>
      <c r="D46" s="170">
        <v>6297.52</v>
      </c>
      <c r="E46" s="170">
        <v>6228.78</v>
      </c>
      <c r="F46" s="170">
        <v>6277.71</v>
      </c>
      <c r="G46" s="171" t="s">
        <v>238</v>
      </c>
      <c r="H46" s="172">
        <f t="shared" si="1"/>
        <v>0.002326800791</v>
      </c>
      <c r="I46" s="172"/>
      <c r="J46" s="172"/>
      <c r="K46" s="188"/>
      <c r="L46" s="140"/>
      <c r="M46" s="140"/>
      <c r="N46" s="176">
        <f>IFERROR(__xludf.DUMMYFUNCTION("""COMPUTED_VALUE"""),45442.64583333333)</f>
        <v>45442.64583</v>
      </c>
      <c r="O46" s="177">
        <f>IFERROR(__xludf.DUMMYFUNCTION("""COMPUTED_VALUE"""),1097.0)</f>
        <v>1097</v>
      </c>
      <c r="P46" s="177">
        <f>IFERROR(__xludf.DUMMYFUNCTION("""COMPUTED_VALUE"""),1121.0)</f>
        <v>1121</v>
      </c>
      <c r="Q46" s="177">
        <f>IFERROR(__xludf.DUMMYFUNCTION("""COMPUTED_VALUE"""),1096.9)</f>
        <v>1096.9</v>
      </c>
      <c r="R46" s="177">
        <f>IFERROR(__xludf.DUMMYFUNCTION("""COMPUTED_VALUE"""),1113.7)</f>
        <v>1113.7</v>
      </c>
      <c r="S46" s="177">
        <f>IFERROR(__xludf.DUMMYFUNCTION("""COMPUTED_VALUE"""),1.5255387E7)</f>
        <v>15255387</v>
      </c>
      <c r="T46" s="177">
        <f t="shared" si="2"/>
        <v>0.01056109469</v>
      </c>
      <c r="U46" s="178"/>
      <c r="V46" s="177"/>
      <c r="W46" s="189"/>
      <c r="X46" s="140"/>
      <c r="Y46" s="140"/>
      <c r="Z46" s="176">
        <f>IFERROR(__xludf.DUMMYFUNCTION("""COMPUTED_VALUE"""),45442.64583333333)</f>
        <v>45442.64583</v>
      </c>
      <c r="AA46" s="177">
        <f>IFERROR(__xludf.DUMMYFUNCTION("""COMPUTED_VALUE"""),340.8)</f>
        <v>340.8</v>
      </c>
      <c r="AB46" s="177">
        <f>IFERROR(__xludf.DUMMYFUNCTION("""COMPUTED_VALUE"""),346.4)</f>
        <v>346.4</v>
      </c>
      <c r="AC46" s="177">
        <f>IFERROR(__xludf.DUMMYFUNCTION("""COMPUTED_VALUE"""),338.7)</f>
        <v>338.7</v>
      </c>
      <c r="AD46" s="177">
        <f>IFERROR(__xludf.DUMMYFUNCTION("""COMPUTED_VALUE"""),343.75)</f>
        <v>343.75</v>
      </c>
      <c r="AE46" s="177">
        <f>IFERROR(__xludf.DUMMYFUNCTION("""COMPUTED_VALUE"""),1.0307057E7)</f>
        <v>10307057</v>
      </c>
      <c r="AF46" s="177">
        <f t="shared" si="3"/>
        <v>0.008178810014</v>
      </c>
      <c r="AG46" s="177"/>
      <c r="AH46" s="177"/>
      <c r="AI46" s="189"/>
      <c r="AJ46" s="140"/>
      <c r="AK46" s="140"/>
      <c r="AL46" s="176">
        <f>IFERROR(__xludf.DUMMYFUNCTION("""COMPUTED_VALUE"""),45442.64583333333)</f>
        <v>45442.64583</v>
      </c>
      <c r="AM46" s="177">
        <f>IFERROR(__xludf.DUMMYFUNCTION("""COMPUTED_VALUE"""),5062.05)</f>
        <v>5062.05</v>
      </c>
      <c r="AN46" s="177">
        <f>IFERROR(__xludf.DUMMYFUNCTION("""COMPUTED_VALUE"""),5090.0)</f>
        <v>5090</v>
      </c>
      <c r="AO46" s="177">
        <f>IFERROR(__xludf.DUMMYFUNCTION("""COMPUTED_VALUE"""),4953.05)</f>
        <v>4953.05</v>
      </c>
      <c r="AP46" s="177">
        <f>IFERROR(__xludf.DUMMYFUNCTION("""COMPUTED_VALUE"""),4976.25)</f>
        <v>4976.25</v>
      </c>
      <c r="AQ46" s="177">
        <f>IFERROR(__xludf.DUMMYFUNCTION("""COMPUTED_VALUE"""),2751972.0)</f>
        <v>2751972</v>
      </c>
      <c r="AR46" s="177">
        <f t="shared" si="4"/>
        <v>-0.01505812258</v>
      </c>
      <c r="AS46" s="177"/>
      <c r="AT46" s="177"/>
      <c r="AU46" s="189"/>
      <c r="AV46" s="140"/>
      <c r="AW46" s="140"/>
      <c r="AX46" s="176">
        <f>IFERROR(__xludf.DUMMYFUNCTION("""COMPUTED_VALUE"""),45442.64583333333)</f>
        <v>45442.64583</v>
      </c>
      <c r="AY46" s="177">
        <f>IFERROR(__xludf.DUMMYFUNCTION("""COMPUTED_VALUE"""),428.5)</f>
        <v>428.5</v>
      </c>
      <c r="AZ46" s="177">
        <f>IFERROR(__xludf.DUMMYFUNCTION("""COMPUTED_VALUE"""),430.95)</f>
        <v>430.95</v>
      </c>
      <c r="BA46" s="177">
        <f>IFERROR(__xludf.DUMMYFUNCTION("""COMPUTED_VALUE"""),422.35)</f>
        <v>422.35</v>
      </c>
      <c r="BB46" s="177">
        <f>IFERROR(__xludf.DUMMYFUNCTION("""COMPUTED_VALUE"""),423.85)</f>
        <v>423.85</v>
      </c>
      <c r="BC46" s="177">
        <f>IFERROR(__xludf.DUMMYFUNCTION("""COMPUTED_VALUE"""),2.0524428E7)</f>
        <v>20524428</v>
      </c>
      <c r="BD46" s="177">
        <f t="shared" si="5"/>
        <v>-0.01661245504</v>
      </c>
      <c r="BE46" s="177"/>
      <c r="BF46" s="177"/>
      <c r="BG46" s="189"/>
      <c r="BH46" s="140"/>
      <c r="BI46" s="140"/>
      <c r="BJ46" s="140"/>
      <c r="BK46" s="140"/>
      <c r="BL46" s="140"/>
      <c r="BM46" s="140"/>
      <c r="BN46" s="140"/>
      <c r="BO46" s="140"/>
      <c r="BP46" s="140"/>
      <c r="BQ46" s="140"/>
      <c r="BR46" s="140"/>
      <c r="BS46" s="140"/>
      <c r="BT46" s="140"/>
      <c r="BU46" s="140"/>
      <c r="BV46" s="140"/>
      <c r="BW46" s="140"/>
      <c r="BX46" s="140"/>
      <c r="BY46" s="140"/>
    </row>
    <row r="47" ht="15.75" customHeight="1">
      <c r="A47" s="168"/>
      <c r="B47" s="169">
        <v>45443.0</v>
      </c>
      <c r="C47" s="170">
        <v>6275.12</v>
      </c>
      <c r="D47" s="170">
        <v>6324.78</v>
      </c>
      <c r="E47" s="170">
        <v>6226.12</v>
      </c>
      <c r="F47" s="170">
        <v>6240.78</v>
      </c>
      <c r="G47" s="171" t="s">
        <v>238</v>
      </c>
      <c r="H47" s="172">
        <f t="shared" si="1"/>
        <v>-0.005900089728</v>
      </c>
      <c r="I47" s="172"/>
      <c r="J47" s="172"/>
      <c r="K47" s="188"/>
      <c r="L47" s="140"/>
      <c r="M47" s="140"/>
      <c r="N47" s="176">
        <f>IFERROR(__xludf.DUMMYFUNCTION("""COMPUTED_VALUE"""),45443.64583333333)</f>
        <v>45443.64583</v>
      </c>
      <c r="O47" s="177">
        <f>IFERROR(__xludf.DUMMYFUNCTION("""COMPUTED_VALUE"""),1118.0)</f>
        <v>1118</v>
      </c>
      <c r="P47" s="177">
        <f>IFERROR(__xludf.DUMMYFUNCTION("""COMPUTED_VALUE"""),1130.6)</f>
        <v>1130.6</v>
      </c>
      <c r="Q47" s="177">
        <f>IFERROR(__xludf.DUMMYFUNCTION("""COMPUTED_VALUE"""),1111.25)</f>
        <v>1111.25</v>
      </c>
      <c r="R47" s="177">
        <f>IFERROR(__xludf.DUMMYFUNCTION("""COMPUTED_VALUE"""),1121.05)</f>
        <v>1121.05</v>
      </c>
      <c r="S47" s="177">
        <f>IFERROR(__xludf.DUMMYFUNCTION("""COMPUTED_VALUE"""),2.6197718E7)</f>
        <v>26197718</v>
      </c>
      <c r="T47" s="177">
        <f t="shared" si="2"/>
        <v>0.006577940711</v>
      </c>
      <c r="U47" s="178"/>
      <c r="V47" s="177"/>
      <c r="W47" s="189"/>
      <c r="X47" s="140"/>
      <c r="Y47" s="140"/>
      <c r="Z47" s="176">
        <f>IFERROR(__xludf.DUMMYFUNCTION("""COMPUTED_VALUE"""),45443.64583333333)</f>
        <v>45443.64583</v>
      </c>
      <c r="AA47" s="177">
        <f>IFERROR(__xludf.DUMMYFUNCTION("""COMPUTED_VALUE"""),347.2)</f>
        <v>347.2</v>
      </c>
      <c r="AB47" s="177">
        <f>IFERROR(__xludf.DUMMYFUNCTION("""COMPUTED_VALUE"""),350.7)</f>
        <v>350.7</v>
      </c>
      <c r="AC47" s="177">
        <f>IFERROR(__xludf.DUMMYFUNCTION("""COMPUTED_VALUE"""),342.0)</f>
        <v>342</v>
      </c>
      <c r="AD47" s="177">
        <f>IFERROR(__xludf.DUMMYFUNCTION("""COMPUTED_VALUE"""),348.15)</f>
        <v>348.15</v>
      </c>
      <c r="AE47" s="177">
        <f>IFERROR(__xludf.DUMMYFUNCTION("""COMPUTED_VALUE"""),1.10651268E8)</f>
        <v>110651268</v>
      </c>
      <c r="AF47" s="177">
        <f t="shared" si="3"/>
        <v>0.01271877241</v>
      </c>
      <c r="AG47" s="177"/>
      <c r="AH47" s="177"/>
      <c r="AI47" s="189"/>
      <c r="AJ47" s="140"/>
      <c r="AK47" s="140"/>
      <c r="AL47" s="176">
        <f>IFERROR(__xludf.DUMMYFUNCTION("""COMPUTED_VALUE"""),45443.64583333333)</f>
        <v>45443.64583</v>
      </c>
      <c r="AM47" s="177">
        <f>IFERROR(__xludf.DUMMYFUNCTION("""COMPUTED_VALUE"""),5020.0)</f>
        <v>5020</v>
      </c>
      <c r="AN47" s="177">
        <f>IFERROR(__xludf.DUMMYFUNCTION("""COMPUTED_VALUE"""),5042.8)</f>
        <v>5042.8</v>
      </c>
      <c r="AO47" s="177">
        <f>IFERROR(__xludf.DUMMYFUNCTION("""COMPUTED_VALUE"""),4862.2)</f>
        <v>4862.2</v>
      </c>
      <c r="AP47" s="177">
        <f>IFERROR(__xludf.DUMMYFUNCTION("""COMPUTED_VALUE"""),4973.85)</f>
        <v>4973.85</v>
      </c>
      <c r="AQ47" s="177">
        <f>IFERROR(__xludf.DUMMYFUNCTION("""COMPUTED_VALUE"""),3912234.0)</f>
        <v>3912234</v>
      </c>
      <c r="AR47" s="177">
        <f t="shared" si="4"/>
        <v>-0.0004824072213</v>
      </c>
      <c r="AS47" s="177"/>
      <c r="AT47" s="177"/>
      <c r="AU47" s="189"/>
      <c r="AV47" s="140"/>
      <c r="AW47" s="140"/>
      <c r="AX47" s="176">
        <f>IFERROR(__xludf.DUMMYFUNCTION("""COMPUTED_VALUE"""),45443.64583333333)</f>
        <v>45443.64583</v>
      </c>
      <c r="AY47" s="177">
        <f>IFERROR(__xludf.DUMMYFUNCTION("""COMPUTED_VALUE"""),426.75)</f>
        <v>426.75</v>
      </c>
      <c r="AZ47" s="177">
        <f>IFERROR(__xludf.DUMMYFUNCTION("""COMPUTED_VALUE"""),429.55)</f>
        <v>429.55</v>
      </c>
      <c r="BA47" s="177">
        <f>IFERROR(__xludf.DUMMYFUNCTION("""COMPUTED_VALUE"""),424.25)</f>
        <v>424.25</v>
      </c>
      <c r="BB47" s="177">
        <f>IFERROR(__xludf.DUMMYFUNCTION("""COMPUTED_VALUE"""),426.45)</f>
        <v>426.45</v>
      </c>
      <c r="BC47" s="177">
        <f>IFERROR(__xludf.DUMMYFUNCTION("""COMPUTED_VALUE"""),2.8214102E7)</f>
        <v>28214102</v>
      </c>
      <c r="BD47" s="177">
        <f t="shared" si="5"/>
        <v>0.006115507711</v>
      </c>
      <c r="BE47" s="177"/>
      <c r="BF47" s="177"/>
      <c r="BG47" s="189"/>
      <c r="BH47" s="140"/>
      <c r="BI47" s="140"/>
      <c r="BJ47" s="140"/>
      <c r="BK47" s="140"/>
      <c r="BL47" s="140"/>
      <c r="BM47" s="140"/>
      <c r="BN47" s="140"/>
      <c r="BO47" s="140"/>
      <c r="BP47" s="140"/>
      <c r="BQ47" s="140"/>
      <c r="BR47" s="140"/>
      <c r="BS47" s="140"/>
      <c r="BT47" s="140"/>
      <c r="BU47" s="140"/>
      <c r="BV47" s="140"/>
      <c r="BW47" s="140"/>
      <c r="BX47" s="140"/>
      <c r="BY47" s="140"/>
    </row>
    <row r="48" ht="15.75" customHeight="1">
      <c r="A48" s="168"/>
      <c r="B48" s="169">
        <v>45446.0</v>
      </c>
      <c r="C48" s="170">
        <v>6240.12</v>
      </c>
      <c r="D48" s="170">
        <v>6291.71</v>
      </c>
      <c r="E48" s="170">
        <v>6181.12</v>
      </c>
      <c r="F48" s="170">
        <v>6275.52</v>
      </c>
      <c r="G48" s="171" t="s">
        <v>238</v>
      </c>
      <c r="H48" s="172">
        <f t="shared" si="1"/>
        <v>0.005551175541</v>
      </c>
      <c r="I48" s="172"/>
      <c r="J48" s="172"/>
      <c r="K48" s="188"/>
      <c r="L48" s="140"/>
      <c r="M48" s="140"/>
      <c r="N48" s="176">
        <f>IFERROR(__xludf.DUMMYFUNCTION("""COMPUTED_VALUE"""),45446.64583333333)</f>
        <v>45446.64583</v>
      </c>
      <c r="O48" s="177">
        <f>IFERROR(__xludf.DUMMYFUNCTION("""COMPUTED_VALUE"""),1170.0)</f>
        <v>1170</v>
      </c>
      <c r="P48" s="177">
        <f>IFERROR(__xludf.DUMMYFUNCTION("""COMPUTED_VALUE"""),1173.0)</f>
        <v>1173</v>
      </c>
      <c r="Q48" s="177">
        <f>IFERROR(__xludf.DUMMYFUNCTION("""COMPUTED_VALUE"""),1136.3)</f>
        <v>1136.3</v>
      </c>
      <c r="R48" s="177">
        <f>IFERROR(__xludf.DUMMYFUNCTION("""COMPUTED_VALUE"""),1160.0)</f>
        <v>1160</v>
      </c>
      <c r="S48" s="177">
        <f>IFERROR(__xludf.DUMMYFUNCTION("""COMPUTED_VALUE"""),2.5699977E7)</f>
        <v>25699977</v>
      </c>
      <c r="T48" s="177">
        <f t="shared" si="2"/>
        <v>0.03415425899</v>
      </c>
      <c r="U48" s="178"/>
      <c r="V48" s="177"/>
      <c r="W48" s="189"/>
      <c r="X48" s="140"/>
      <c r="Y48" s="140"/>
      <c r="Z48" s="176">
        <f>IFERROR(__xludf.DUMMYFUNCTION("""COMPUTED_VALUE"""),45446.64583333333)</f>
        <v>45446.64583</v>
      </c>
      <c r="AA48" s="177">
        <f>IFERROR(__xludf.DUMMYFUNCTION("""COMPUTED_VALUE"""),360.5)</f>
        <v>360.5</v>
      </c>
      <c r="AB48" s="177">
        <f>IFERROR(__xludf.DUMMYFUNCTION("""COMPUTED_VALUE"""),369.9)</f>
        <v>369.9</v>
      </c>
      <c r="AC48" s="177">
        <f>IFERROR(__xludf.DUMMYFUNCTION("""COMPUTED_VALUE"""),341.7)</f>
        <v>341.7</v>
      </c>
      <c r="AD48" s="177">
        <f>IFERROR(__xludf.DUMMYFUNCTION("""COMPUTED_VALUE"""),364.0)</f>
        <v>364</v>
      </c>
      <c r="AE48" s="177">
        <f>IFERROR(__xludf.DUMMYFUNCTION("""COMPUTED_VALUE"""),2.9686486E7)</f>
        <v>29686486</v>
      </c>
      <c r="AF48" s="177">
        <f t="shared" si="3"/>
        <v>0.04452044625</v>
      </c>
      <c r="AG48" s="177"/>
      <c r="AH48" s="177"/>
      <c r="AI48" s="189"/>
      <c r="AJ48" s="140"/>
      <c r="AK48" s="140"/>
      <c r="AL48" s="176">
        <f>IFERROR(__xludf.DUMMYFUNCTION("""COMPUTED_VALUE"""),45446.64583333333)</f>
        <v>45446.64583</v>
      </c>
      <c r="AM48" s="177">
        <f>IFERROR(__xludf.DUMMYFUNCTION("""COMPUTED_VALUE"""),5444.0)</f>
        <v>5444</v>
      </c>
      <c r="AN48" s="177">
        <f>IFERROR(__xludf.DUMMYFUNCTION("""COMPUTED_VALUE"""),5444.0)</f>
        <v>5444</v>
      </c>
      <c r="AO48" s="177">
        <f>IFERROR(__xludf.DUMMYFUNCTION("""COMPUTED_VALUE"""),5162.3)</f>
        <v>5162.3</v>
      </c>
      <c r="AP48" s="177">
        <f>IFERROR(__xludf.DUMMYFUNCTION("""COMPUTED_VALUE"""),5273.65)</f>
        <v>5273.65</v>
      </c>
      <c r="AQ48" s="177">
        <f>IFERROR(__xludf.DUMMYFUNCTION("""COMPUTED_VALUE"""),4619434.0)</f>
        <v>4619434</v>
      </c>
      <c r="AR48" s="177">
        <f t="shared" si="4"/>
        <v>0.05852853433</v>
      </c>
      <c r="AS48" s="177"/>
      <c r="AT48" s="177"/>
      <c r="AU48" s="189"/>
      <c r="AV48" s="140"/>
      <c r="AW48" s="140"/>
      <c r="AX48" s="176">
        <f>IFERROR(__xludf.DUMMYFUNCTION("""COMPUTED_VALUE"""),45446.64583333333)</f>
        <v>45446.64583</v>
      </c>
      <c r="AY48" s="177">
        <f>IFERROR(__xludf.DUMMYFUNCTION("""COMPUTED_VALUE"""),434.0)</f>
        <v>434</v>
      </c>
      <c r="AZ48" s="177">
        <f>IFERROR(__xludf.DUMMYFUNCTION("""COMPUTED_VALUE"""),434.9)</f>
        <v>434.9</v>
      </c>
      <c r="BA48" s="177">
        <f>IFERROR(__xludf.DUMMYFUNCTION("""COMPUTED_VALUE"""),428.65)</f>
        <v>428.65</v>
      </c>
      <c r="BB48" s="177">
        <f>IFERROR(__xludf.DUMMYFUNCTION("""COMPUTED_VALUE"""),430.35)</f>
        <v>430.35</v>
      </c>
      <c r="BC48" s="177">
        <f>IFERROR(__xludf.DUMMYFUNCTION("""COMPUTED_VALUE"""),1.5519148E7)</f>
        <v>15519148</v>
      </c>
      <c r="BD48" s="177">
        <f t="shared" si="5"/>
        <v>0.00910370433</v>
      </c>
      <c r="BE48" s="177"/>
      <c r="BF48" s="177"/>
      <c r="BG48" s="189"/>
      <c r="BH48" s="140"/>
      <c r="BI48" s="140"/>
      <c r="BJ48" s="140"/>
      <c r="BK48" s="140"/>
      <c r="BL48" s="140"/>
      <c r="BM48" s="140"/>
      <c r="BN48" s="140"/>
      <c r="BO48" s="140"/>
      <c r="BP48" s="140"/>
      <c r="BQ48" s="140"/>
      <c r="BR48" s="140"/>
      <c r="BS48" s="140"/>
      <c r="BT48" s="140"/>
      <c r="BU48" s="140"/>
      <c r="BV48" s="140"/>
      <c r="BW48" s="140"/>
      <c r="BX48" s="140"/>
      <c r="BY48" s="140"/>
    </row>
    <row r="49" ht="15.75" customHeight="1">
      <c r="A49" s="168"/>
      <c r="B49" s="169">
        <v>45447.0</v>
      </c>
      <c r="C49" s="170">
        <v>6280.78</v>
      </c>
      <c r="D49" s="170">
        <v>6312.12</v>
      </c>
      <c r="E49" s="170">
        <v>6220.78</v>
      </c>
      <c r="F49" s="170">
        <v>6245.52</v>
      </c>
      <c r="G49" s="171" t="s">
        <v>238</v>
      </c>
      <c r="H49" s="172">
        <f t="shared" si="1"/>
        <v>-0.004791943386</v>
      </c>
      <c r="I49" s="172"/>
      <c r="J49" s="172"/>
      <c r="K49" s="188"/>
      <c r="L49" s="140"/>
      <c r="M49" s="140"/>
      <c r="N49" s="176">
        <f>IFERROR(__xludf.DUMMYFUNCTION("""COMPUTED_VALUE"""),45447.64583333333)</f>
        <v>45447.64583</v>
      </c>
      <c r="O49" s="177">
        <f>IFERROR(__xludf.DUMMYFUNCTION("""COMPUTED_VALUE"""),1157.9)</f>
        <v>1157.9</v>
      </c>
      <c r="P49" s="177">
        <f>IFERROR(__xludf.DUMMYFUNCTION("""COMPUTED_VALUE"""),1159.4)</f>
        <v>1159.4</v>
      </c>
      <c r="Q49" s="177">
        <f>IFERROR(__xludf.DUMMYFUNCTION("""COMPUTED_VALUE"""),1053.55)</f>
        <v>1053.55</v>
      </c>
      <c r="R49" s="177">
        <f>IFERROR(__xludf.DUMMYFUNCTION("""COMPUTED_VALUE"""),1071.45)</f>
        <v>1071.45</v>
      </c>
      <c r="S49" s="177">
        <f>IFERROR(__xludf.DUMMYFUNCTION("""COMPUTED_VALUE"""),4.3476837E7)</f>
        <v>43476837</v>
      </c>
      <c r="T49" s="177">
        <f t="shared" si="2"/>
        <v>-0.07940713383</v>
      </c>
      <c r="U49" s="178"/>
      <c r="V49" s="177"/>
      <c r="W49" s="189"/>
      <c r="X49" s="140"/>
      <c r="Y49" s="140"/>
      <c r="Z49" s="176">
        <f>IFERROR(__xludf.DUMMYFUNCTION("""COMPUTED_VALUE"""),45447.64583333333)</f>
        <v>45447.64583</v>
      </c>
      <c r="AA49" s="177">
        <f>IFERROR(__xludf.DUMMYFUNCTION("""COMPUTED_VALUE"""),363.0)</f>
        <v>363</v>
      </c>
      <c r="AB49" s="177">
        <f>IFERROR(__xludf.DUMMYFUNCTION("""COMPUTED_VALUE"""),363.0)</f>
        <v>363</v>
      </c>
      <c r="AC49" s="177">
        <f>IFERROR(__xludf.DUMMYFUNCTION("""COMPUTED_VALUE"""),292.0)</f>
        <v>292</v>
      </c>
      <c r="AD49" s="177">
        <f>IFERROR(__xludf.DUMMYFUNCTION("""COMPUTED_VALUE"""),307.95)</f>
        <v>307.95</v>
      </c>
      <c r="AE49" s="177">
        <f>IFERROR(__xludf.DUMMYFUNCTION("""COMPUTED_VALUE"""),2.8901481E7)</f>
        <v>28901481</v>
      </c>
      <c r="AF49" s="177">
        <f t="shared" si="3"/>
        <v>-0.1672164355</v>
      </c>
      <c r="AG49" s="177"/>
      <c r="AH49" s="177"/>
      <c r="AI49" s="189"/>
      <c r="AJ49" s="140"/>
      <c r="AK49" s="140"/>
      <c r="AL49" s="176">
        <f>IFERROR(__xludf.DUMMYFUNCTION("""COMPUTED_VALUE"""),45447.64583333333)</f>
        <v>45447.64583</v>
      </c>
      <c r="AM49" s="177">
        <f>IFERROR(__xludf.DUMMYFUNCTION("""COMPUTED_VALUE"""),5145.0)</f>
        <v>5145</v>
      </c>
      <c r="AN49" s="177">
        <f>IFERROR(__xludf.DUMMYFUNCTION("""COMPUTED_VALUE"""),5145.0)</f>
        <v>5145</v>
      </c>
      <c r="AO49" s="177">
        <f>IFERROR(__xludf.DUMMYFUNCTION("""COMPUTED_VALUE"""),3955.25)</f>
        <v>3955.25</v>
      </c>
      <c r="AP49" s="177">
        <f>IFERROR(__xludf.DUMMYFUNCTION("""COMPUTED_VALUE"""),4333.35)</f>
        <v>4333.35</v>
      </c>
      <c r="AQ49" s="177">
        <f>IFERROR(__xludf.DUMMYFUNCTION("""COMPUTED_VALUE"""),1.5486676E7)</f>
        <v>15486676</v>
      </c>
      <c r="AR49" s="177">
        <f t="shared" si="4"/>
        <v>-0.1963818075</v>
      </c>
      <c r="AS49" s="177"/>
      <c r="AT49" s="177"/>
      <c r="AU49" s="189"/>
      <c r="AV49" s="140"/>
      <c r="AW49" s="140"/>
      <c r="AX49" s="176">
        <f>IFERROR(__xludf.DUMMYFUNCTION("""COMPUTED_VALUE"""),45447.64583333333)</f>
        <v>45447.64583</v>
      </c>
      <c r="AY49" s="177">
        <f>IFERROR(__xludf.DUMMYFUNCTION("""COMPUTED_VALUE"""),426.0)</f>
        <v>426</v>
      </c>
      <c r="AZ49" s="177">
        <f>IFERROR(__xludf.DUMMYFUNCTION("""COMPUTED_VALUE"""),426.3)</f>
        <v>426.3</v>
      </c>
      <c r="BA49" s="177">
        <f>IFERROR(__xludf.DUMMYFUNCTION("""COMPUTED_VALUE"""),402.85)</f>
        <v>402.85</v>
      </c>
      <c r="BB49" s="177">
        <f>IFERROR(__xludf.DUMMYFUNCTION("""COMPUTED_VALUE"""),415.2)</f>
        <v>415.2</v>
      </c>
      <c r="BC49" s="177">
        <f>IFERROR(__xludf.DUMMYFUNCTION("""COMPUTED_VALUE"""),4.6019632E7)</f>
        <v>46019632</v>
      </c>
      <c r="BD49" s="177">
        <f t="shared" si="5"/>
        <v>-0.03583849924</v>
      </c>
      <c r="BE49" s="177"/>
      <c r="BF49" s="177"/>
      <c r="BG49" s="189"/>
      <c r="BH49" s="140"/>
      <c r="BI49" s="140"/>
      <c r="BJ49" s="140"/>
      <c r="BK49" s="140"/>
      <c r="BL49" s="140"/>
      <c r="BM49" s="140"/>
      <c r="BN49" s="209"/>
      <c r="BO49" s="209"/>
      <c r="BP49" s="140"/>
      <c r="BQ49" s="140"/>
      <c r="BR49" s="140"/>
      <c r="BS49" s="140"/>
      <c r="BT49" s="140"/>
      <c r="BU49" s="140"/>
      <c r="BV49" s="140"/>
      <c r="BW49" s="140"/>
      <c r="BX49" s="140"/>
      <c r="BY49" s="140"/>
    </row>
    <row r="50" ht="15.75" customHeight="1">
      <c r="A50" s="168"/>
      <c r="B50" s="169">
        <v>45448.0</v>
      </c>
      <c r="C50" s="170">
        <v>6250.12</v>
      </c>
      <c r="D50" s="170">
        <v>6320.78</v>
      </c>
      <c r="E50" s="170">
        <v>6241.12</v>
      </c>
      <c r="F50" s="170">
        <v>6308.78</v>
      </c>
      <c r="G50" s="171" t="s">
        <v>238</v>
      </c>
      <c r="H50" s="172">
        <f t="shared" si="1"/>
        <v>0.01007790724</v>
      </c>
      <c r="I50" s="172"/>
      <c r="J50" s="172"/>
      <c r="K50" s="188"/>
      <c r="L50" s="140"/>
      <c r="M50" s="140"/>
      <c r="N50" s="176">
        <f>IFERROR(__xludf.DUMMYFUNCTION("""COMPUTED_VALUE"""),45448.64583333333)</f>
        <v>45448.64583</v>
      </c>
      <c r="O50" s="177">
        <f>IFERROR(__xludf.DUMMYFUNCTION("""COMPUTED_VALUE"""),1085.0)</f>
        <v>1085</v>
      </c>
      <c r="P50" s="177">
        <f>IFERROR(__xludf.DUMMYFUNCTION("""COMPUTED_VALUE"""),1123.25)</f>
        <v>1123.25</v>
      </c>
      <c r="Q50" s="177">
        <f>IFERROR(__xludf.DUMMYFUNCTION("""COMPUTED_VALUE"""),1051.05)</f>
        <v>1051.05</v>
      </c>
      <c r="R50" s="177">
        <f>IFERROR(__xludf.DUMMYFUNCTION("""COMPUTED_VALUE"""),1108.65)</f>
        <v>1108.65</v>
      </c>
      <c r="S50" s="177">
        <f>IFERROR(__xludf.DUMMYFUNCTION("""COMPUTED_VALUE"""),4.2172104E7)</f>
        <v>42172104</v>
      </c>
      <c r="T50" s="177">
        <f t="shared" si="2"/>
        <v>0.03413018763</v>
      </c>
      <c r="U50" s="178"/>
      <c r="V50" s="177"/>
      <c r="W50" s="189"/>
      <c r="X50" s="140"/>
      <c r="Y50" s="140"/>
      <c r="Z50" s="176">
        <f>IFERROR(__xludf.DUMMYFUNCTION("""COMPUTED_VALUE"""),45448.64583333333)</f>
        <v>45448.64583</v>
      </c>
      <c r="AA50" s="177">
        <f>IFERROR(__xludf.DUMMYFUNCTION("""COMPUTED_VALUE"""),319.3)</f>
        <v>319.3</v>
      </c>
      <c r="AB50" s="177">
        <f>IFERROR(__xludf.DUMMYFUNCTION("""COMPUTED_VALUE"""),335.8)</f>
        <v>335.8</v>
      </c>
      <c r="AC50" s="177">
        <f>IFERROR(__xludf.DUMMYFUNCTION("""COMPUTED_VALUE"""),309.25)</f>
        <v>309.25</v>
      </c>
      <c r="AD50" s="177">
        <f>IFERROR(__xludf.DUMMYFUNCTION("""COMPUTED_VALUE"""),332.7)</f>
        <v>332.7</v>
      </c>
      <c r="AE50" s="177">
        <f>IFERROR(__xludf.DUMMYFUNCTION("""COMPUTED_VALUE"""),1.4300262E7)</f>
        <v>14300262</v>
      </c>
      <c r="AF50" s="177">
        <f t="shared" si="3"/>
        <v>0.07730375089</v>
      </c>
      <c r="AG50" s="177"/>
      <c r="AH50" s="177"/>
      <c r="AI50" s="189"/>
      <c r="AJ50" s="140"/>
      <c r="AK50" s="140"/>
      <c r="AL50" s="176">
        <f>IFERROR(__xludf.DUMMYFUNCTION("""COMPUTED_VALUE"""),45448.64583333333)</f>
        <v>45448.64583</v>
      </c>
      <c r="AM50" s="177">
        <f>IFERROR(__xludf.DUMMYFUNCTION("""COMPUTED_VALUE"""),4421.15)</f>
        <v>4421.15</v>
      </c>
      <c r="AN50" s="177">
        <f>IFERROR(__xludf.DUMMYFUNCTION("""COMPUTED_VALUE"""),4449.1)</f>
        <v>4449.1</v>
      </c>
      <c r="AO50" s="177">
        <f>IFERROR(__xludf.DUMMYFUNCTION("""COMPUTED_VALUE"""),3920.0)</f>
        <v>3920</v>
      </c>
      <c r="AP50" s="177">
        <f>IFERROR(__xludf.DUMMYFUNCTION("""COMPUTED_VALUE"""),4364.9)</f>
        <v>4364.9</v>
      </c>
      <c r="AQ50" s="177">
        <f>IFERROR(__xludf.DUMMYFUNCTION("""COMPUTED_VALUE"""),1.3759681E7)</f>
        <v>13759681</v>
      </c>
      <c r="AR50" s="177">
        <f t="shared" si="4"/>
        <v>0.007254364582</v>
      </c>
      <c r="AS50" s="177"/>
      <c r="AT50" s="177"/>
      <c r="AU50" s="189"/>
      <c r="AV50" s="140"/>
      <c r="AW50" s="140"/>
      <c r="AX50" s="176">
        <f>IFERROR(__xludf.DUMMYFUNCTION("""COMPUTED_VALUE"""),45448.64583333333)</f>
        <v>45448.64583</v>
      </c>
      <c r="AY50" s="177">
        <f>IFERROR(__xludf.DUMMYFUNCTION("""COMPUTED_VALUE"""),422.0)</f>
        <v>422</v>
      </c>
      <c r="AZ50" s="177">
        <f>IFERROR(__xludf.DUMMYFUNCTION("""COMPUTED_VALUE"""),436.0)</f>
        <v>436</v>
      </c>
      <c r="BA50" s="177">
        <f>IFERROR(__xludf.DUMMYFUNCTION("""COMPUTED_VALUE"""),418.05)</f>
        <v>418.05</v>
      </c>
      <c r="BB50" s="177">
        <f>IFERROR(__xludf.DUMMYFUNCTION("""COMPUTED_VALUE"""),430.3)</f>
        <v>430.3</v>
      </c>
      <c r="BC50" s="177">
        <f>IFERROR(__xludf.DUMMYFUNCTION("""COMPUTED_VALUE"""),2.7151351E7)</f>
        <v>27151351</v>
      </c>
      <c r="BD50" s="177">
        <f t="shared" si="5"/>
        <v>0.03572230799</v>
      </c>
      <c r="BE50" s="177"/>
      <c r="BF50" s="177"/>
      <c r="BG50" s="189"/>
      <c r="BH50" s="140"/>
      <c r="BI50" s="140"/>
      <c r="BJ50" s="140"/>
      <c r="BK50" s="140"/>
      <c r="BL50" s="140"/>
      <c r="BM50" s="140"/>
      <c r="BN50" s="140"/>
      <c r="BO50" s="140"/>
      <c r="BP50" s="140"/>
      <c r="BQ50" s="140"/>
      <c r="BR50" s="140"/>
      <c r="BS50" s="140"/>
      <c r="BT50" s="140"/>
      <c r="BU50" s="140"/>
      <c r="BV50" s="140"/>
      <c r="BW50" s="140"/>
      <c r="BX50" s="140"/>
      <c r="BY50" s="140"/>
    </row>
    <row r="51" ht="15.75" customHeight="1">
      <c r="A51" s="168"/>
      <c r="B51" s="169">
        <v>45449.0</v>
      </c>
      <c r="C51" s="170">
        <v>6311.52</v>
      </c>
      <c r="D51" s="170">
        <v>6383.12</v>
      </c>
      <c r="E51" s="170">
        <v>6309.12</v>
      </c>
      <c r="F51" s="170">
        <v>6375.12</v>
      </c>
      <c r="G51" s="171" t="s">
        <v>238</v>
      </c>
      <c r="H51" s="172">
        <f t="shared" si="1"/>
        <v>0.01046060044</v>
      </c>
      <c r="I51" s="172"/>
      <c r="J51" s="172"/>
      <c r="K51" s="188"/>
      <c r="L51" s="140"/>
      <c r="M51" s="140"/>
      <c r="N51" s="176">
        <f>IFERROR(__xludf.DUMMYFUNCTION("""COMPUTED_VALUE"""),45449.64583333333)</f>
        <v>45449.64583</v>
      </c>
      <c r="O51" s="177">
        <f>IFERROR(__xludf.DUMMYFUNCTION("""COMPUTED_VALUE"""),1118.0)</f>
        <v>1118</v>
      </c>
      <c r="P51" s="177">
        <f>IFERROR(__xludf.DUMMYFUNCTION("""COMPUTED_VALUE"""),1118.0)</f>
        <v>1118</v>
      </c>
      <c r="Q51" s="177">
        <f>IFERROR(__xludf.DUMMYFUNCTION("""COMPUTED_VALUE"""),1096.6)</f>
        <v>1096.6</v>
      </c>
      <c r="R51" s="177">
        <f>IFERROR(__xludf.DUMMYFUNCTION("""COMPUTED_VALUE"""),1110.4)</f>
        <v>1110.4</v>
      </c>
      <c r="S51" s="177">
        <f>IFERROR(__xludf.DUMMYFUNCTION("""COMPUTED_VALUE"""),1.8574162E7)</f>
        <v>18574162</v>
      </c>
      <c r="T51" s="177">
        <f t="shared" si="2"/>
        <v>0.001577251854</v>
      </c>
      <c r="U51" s="178"/>
      <c r="V51" s="177"/>
      <c r="W51" s="189"/>
      <c r="X51" s="140"/>
      <c r="Y51" s="140"/>
      <c r="Z51" s="176">
        <f>IFERROR(__xludf.DUMMYFUNCTION("""COMPUTED_VALUE"""),45449.64583333333)</f>
        <v>45449.64583</v>
      </c>
      <c r="AA51" s="177">
        <f>IFERROR(__xludf.DUMMYFUNCTION("""COMPUTED_VALUE"""),335.0)</f>
        <v>335</v>
      </c>
      <c r="AB51" s="177">
        <f>IFERROR(__xludf.DUMMYFUNCTION("""COMPUTED_VALUE"""),344.95)</f>
        <v>344.95</v>
      </c>
      <c r="AC51" s="177">
        <f>IFERROR(__xludf.DUMMYFUNCTION("""COMPUTED_VALUE"""),334.5)</f>
        <v>334.5</v>
      </c>
      <c r="AD51" s="177">
        <f>IFERROR(__xludf.DUMMYFUNCTION("""COMPUTED_VALUE"""),339.35)</f>
        <v>339.35</v>
      </c>
      <c r="AE51" s="177">
        <f>IFERROR(__xludf.DUMMYFUNCTION("""COMPUTED_VALUE"""),8216145.0)</f>
        <v>8216145</v>
      </c>
      <c r="AF51" s="177">
        <f t="shared" si="3"/>
        <v>0.01979084013</v>
      </c>
      <c r="AG51" s="177"/>
      <c r="AH51" s="177"/>
      <c r="AI51" s="189"/>
      <c r="AJ51" s="140"/>
      <c r="AK51" s="140"/>
      <c r="AL51" s="176">
        <f>IFERROR(__xludf.DUMMYFUNCTION("""COMPUTED_VALUE"""),45449.64583333333)</f>
        <v>45449.64583</v>
      </c>
      <c r="AM51" s="177">
        <f>IFERROR(__xludf.DUMMYFUNCTION("""COMPUTED_VALUE"""),4450.0)</f>
        <v>4450</v>
      </c>
      <c r="AN51" s="177">
        <f>IFERROR(__xludf.DUMMYFUNCTION("""COMPUTED_VALUE"""),4800.0)</f>
        <v>4800</v>
      </c>
      <c r="AO51" s="177">
        <f>IFERROR(__xludf.DUMMYFUNCTION("""COMPUTED_VALUE"""),4450.0)</f>
        <v>4450</v>
      </c>
      <c r="AP51" s="177">
        <f>IFERROR(__xludf.DUMMYFUNCTION("""COMPUTED_VALUE"""),4666.6)</f>
        <v>4666.6</v>
      </c>
      <c r="AQ51" s="177">
        <f>IFERROR(__xludf.DUMMYFUNCTION("""COMPUTED_VALUE"""),9128985.0)</f>
        <v>9128985</v>
      </c>
      <c r="AR51" s="177">
        <f t="shared" si="4"/>
        <v>0.06683547561</v>
      </c>
      <c r="AS51" s="177"/>
      <c r="AT51" s="177"/>
      <c r="AU51" s="189"/>
      <c r="AV51" s="140"/>
      <c r="AW51" s="140"/>
      <c r="AX51" s="176">
        <f>IFERROR(__xludf.DUMMYFUNCTION("""COMPUTED_VALUE"""),45449.64583333333)</f>
        <v>45449.64583</v>
      </c>
      <c r="AY51" s="177">
        <f>IFERROR(__xludf.DUMMYFUNCTION("""COMPUTED_VALUE"""),436.0)</f>
        <v>436</v>
      </c>
      <c r="AZ51" s="177">
        <f>IFERROR(__xludf.DUMMYFUNCTION("""COMPUTED_VALUE"""),437.7)</f>
        <v>437.7</v>
      </c>
      <c r="BA51" s="177">
        <f>IFERROR(__xludf.DUMMYFUNCTION("""COMPUTED_VALUE"""),431.1)</f>
        <v>431.1</v>
      </c>
      <c r="BB51" s="177">
        <f>IFERROR(__xludf.DUMMYFUNCTION("""COMPUTED_VALUE"""),435.4)</f>
        <v>435.4</v>
      </c>
      <c r="BC51" s="177">
        <f>IFERROR(__xludf.DUMMYFUNCTION("""COMPUTED_VALUE"""),3.1119999E7)</f>
        <v>31119999</v>
      </c>
      <c r="BD51" s="177">
        <f t="shared" si="5"/>
        <v>0.01178250896</v>
      </c>
      <c r="BE51" s="177"/>
      <c r="BF51" s="177"/>
      <c r="BG51" s="189"/>
      <c r="BH51" s="140"/>
      <c r="BI51" s="140"/>
      <c r="BJ51" s="140"/>
      <c r="BK51" s="140"/>
      <c r="BL51" s="140"/>
      <c r="BM51" s="140"/>
      <c r="BN51" s="140"/>
      <c r="BO51" s="140"/>
      <c r="BP51" s="140"/>
      <c r="BQ51" s="140"/>
      <c r="BR51" s="140"/>
      <c r="BS51" s="140"/>
      <c r="BT51" s="140"/>
      <c r="BU51" s="140"/>
      <c r="BV51" s="140"/>
      <c r="BW51" s="140"/>
      <c r="BX51" s="140"/>
      <c r="BY51" s="140"/>
    </row>
    <row r="52" ht="15.75" customHeight="1">
      <c r="A52" s="168"/>
      <c r="B52" s="169">
        <v>45450.0</v>
      </c>
      <c r="C52" s="170">
        <v>6376.78</v>
      </c>
      <c r="D52" s="170">
        <v>6407.12</v>
      </c>
      <c r="E52" s="170">
        <v>6138.12</v>
      </c>
      <c r="F52" s="170">
        <v>6156.12</v>
      </c>
      <c r="G52" s="171" t="s">
        <v>238</v>
      </c>
      <c r="H52" s="172">
        <f t="shared" si="1"/>
        <v>-0.03495620543</v>
      </c>
      <c r="I52" s="172"/>
      <c r="J52" s="172"/>
      <c r="K52" s="188"/>
      <c r="L52" s="140"/>
      <c r="M52" s="140"/>
      <c r="N52" s="176">
        <f>IFERROR(__xludf.DUMMYFUNCTION("""COMPUTED_VALUE"""),45450.64583333333)</f>
        <v>45450.64583</v>
      </c>
      <c r="O52" s="177">
        <f>IFERROR(__xludf.DUMMYFUNCTION("""COMPUTED_VALUE"""),1110.4)</f>
        <v>1110.4</v>
      </c>
      <c r="P52" s="177">
        <f>IFERROR(__xludf.DUMMYFUNCTION("""COMPUTED_VALUE"""),1128.3)</f>
        <v>1128.3</v>
      </c>
      <c r="Q52" s="177">
        <f>IFERROR(__xludf.DUMMYFUNCTION("""COMPUTED_VALUE"""),1103.6)</f>
        <v>1103.6</v>
      </c>
      <c r="R52" s="177">
        <f>IFERROR(__xludf.DUMMYFUNCTION("""COMPUTED_VALUE"""),1121.7)</f>
        <v>1121.7</v>
      </c>
      <c r="S52" s="177">
        <f>IFERROR(__xludf.DUMMYFUNCTION("""COMPUTED_VALUE"""),1.7197635E7)</f>
        <v>17197635</v>
      </c>
      <c r="T52" s="177">
        <f t="shared" si="2"/>
        <v>0.0101250809</v>
      </c>
      <c r="U52" s="178"/>
      <c r="V52" s="177"/>
      <c r="W52" s="189"/>
      <c r="X52" s="140"/>
      <c r="Y52" s="140"/>
      <c r="Z52" s="176">
        <f>IFERROR(__xludf.DUMMYFUNCTION("""COMPUTED_VALUE"""),45450.64583333333)</f>
        <v>45450.64583</v>
      </c>
      <c r="AA52" s="177">
        <f>IFERROR(__xludf.DUMMYFUNCTION("""COMPUTED_VALUE"""),338.05)</f>
        <v>338.05</v>
      </c>
      <c r="AB52" s="177">
        <f>IFERROR(__xludf.DUMMYFUNCTION("""COMPUTED_VALUE"""),351.4)</f>
        <v>351.4</v>
      </c>
      <c r="AC52" s="177">
        <f>IFERROR(__xludf.DUMMYFUNCTION("""COMPUTED_VALUE"""),337.1)</f>
        <v>337.1</v>
      </c>
      <c r="AD52" s="177">
        <f>IFERROR(__xludf.DUMMYFUNCTION("""COMPUTED_VALUE"""),347.15)</f>
        <v>347.15</v>
      </c>
      <c r="AE52" s="177">
        <f>IFERROR(__xludf.DUMMYFUNCTION("""COMPUTED_VALUE"""),1.0966598E7)</f>
        <v>10966598</v>
      </c>
      <c r="AF52" s="177">
        <f t="shared" si="3"/>
        <v>0.02272494005</v>
      </c>
      <c r="AG52" s="177"/>
      <c r="AH52" s="177"/>
      <c r="AI52" s="189"/>
      <c r="AJ52" s="140"/>
      <c r="AK52" s="140"/>
      <c r="AL52" s="176">
        <f>IFERROR(__xludf.DUMMYFUNCTION("""COMPUTED_VALUE"""),45450.64583333333)</f>
        <v>45450.64583</v>
      </c>
      <c r="AM52" s="177">
        <f>IFERROR(__xludf.DUMMYFUNCTION("""COMPUTED_VALUE"""),4666.65)</f>
        <v>4666.65</v>
      </c>
      <c r="AN52" s="177">
        <f>IFERROR(__xludf.DUMMYFUNCTION("""COMPUTED_VALUE"""),4788.0)</f>
        <v>4788</v>
      </c>
      <c r="AO52" s="177">
        <f>IFERROR(__xludf.DUMMYFUNCTION("""COMPUTED_VALUE"""),4550.0)</f>
        <v>4550</v>
      </c>
      <c r="AP52" s="177">
        <f>IFERROR(__xludf.DUMMYFUNCTION("""COMPUTED_VALUE"""),4745.15)</f>
        <v>4745.15</v>
      </c>
      <c r="AQ52" s="177">
        <f>IFERROR(__xludf.DUMMYFUNCTION("""COMPUTED_VALUE"""),4542809.0)</f>
        <v>4542809</v>
      </c>
      <c r="AR52" s="177">
        <f t="shared" si="4"/>
        <v>0.01669228865</v>
      </c>
      <c r="AS52" s="177"/>
      <c r="AT52" s="177"/>
      <c r="AU52" s="189"/>
      <c r="AV52" s="140"/>
      <c r="AW52" s="140"/>
      <c r="AX52" s="176">
        <f>IFERROR(__xludf.DUMMYFUNCTION("""COMPUTED_VALUE"""),45450.64583333333)</f>
        <v>45450.64583</v>
      </c>
      <c r="AY52" s="177">
        <f>IFERROR(__xludf.DUMMYFUNCTION("""COMPUTED_VALUE"""),431.4)</f>
        <v>431.4</v>
      </c>
      <c r="AZ52" s="177">
        <f>IFERROR(__xludf.DUMMYFUNCTION("""COMPUTED_VALUE"""),441.65)</f>
        <v>441.65</v>
      </c>
      <c r="BA52" s="177">
        <f>IFERROR(__xludf.DUMMYFUNCTION("""COMPUTED_VALUE"""),431.1)</f>
        <v>431.1</v>
      </c>
      <c r="BB52" s="177">
        <f>IFERROR(__xludf.DUMMYFUNCTION("""COMPUTED_VALUE"""),439.15)</f>
        <v>439.15</v>
      </c>
      <c r="BC52" s="177">
        <f>IFERROR(__xludf.DUMMYFUNCTION("""COMPUTED_VALUE"""),2.8448041E7)</f>
        <v>28448041</v>
      </c>
      <c r="BD52" s="177">
        <f t="shared" si="5"/>
        <v>0.008575891563</v>
      </c>
      <c r="BE52" s="177"/>
      <c r="BF52" s="177"/>
      <c r="BG52" s="189"/>
      <c r="BH52" s="140"/>
      <c r="BI52" s="140"/>
      <c r="BJ52" s="140"/>
      <c r="BK52" s="140"/>
      <c r="BL52" s="140"/>
      <c r="BM52" s="140"/>
      <c r="BN52" s="140"/>
      <c r="BO52" s="140"/>
      <c r="BP52" s="140"/>
      <c r="BQ52" s="140"/>
      <c r="BR52" s="140"/>
      <c r="BS52" s="140"/>
      <c r="BT52" s="140"/>
      <c r="BU52" s="140"/>
      <c r="BV52" s="140"/>
      <c r="BW52" s="140"/>
      <c r="BX52" s="140"/>
      <c r="BY52" s="140"/>
    </row>
    <row r="53" ht="15.75" customHeight="1">
      <c r="A53" s="168"/>
      <c r="B53" s="169">
        <v>45453.0</v>
      </c>
      <c r="C53" s="170">
        <v>6165.12</v>
      </c>
      <c r="D53" s="170">
        <v>6213.12</v>
      </c>
      <c r="E53" s="170">
        <v>6139.12</v>
      </c>
      <c r="F53" s="170">
        <v>6200.78</v>
      </c>
      <c r="G53" s="171" t="s">
        <v>238</v>
      </c>
      <c r="H53" s="172">
        <f t="shared" si="1"/>
        <v>0.007228381626</v>
      </c>
      <c r="I53" s="172"/>
      <c r="J53" s="172"/>
      <c r="K53" s="188"/>
      <c r="L53" s="140"/>
      <c r="M53" s="140"/>
      <c r="N53" s="176">
        <f>IFERROR(__xludf.DUMMYFUNCTION("""COMPUTED_VALUE"""),45453.64583333333)</f>
        <v>45453.64583</v>
      </c>
      <c r="O53" s="177">
        <f>IFERROR(__xludf.DUMMYFUNCTION("""COMPUTED_VALUE"""),1116.0)</f>
        <v>1116</v>
      </c>
      <c r="P53" s="177">
        <f>IFERROR(__xludf.DUMMYFUNCTION("""COMPUTED_VALUE"""),1133.2)</f>
        <v>1133.2</v>
      </c>
      <c r="Q53" s="177">
        <f>IFERROR(__xludf.DUMMYFUNCTION("""COMPUTED_VALUE"""),1115.1)</f>
        <v>1115.1</v>
      </c>
      <c r="R53" s="177">
        <f>IFERROR(__xludf.DUMMYFUNCTION("""COMPUTED_VALUE"""),1123.8)</f>
        <v>1123.8</v>
      </c>
      <c r="S53" s="177">
        <f>IFERROR(__xludf.DUMMYFUNCTION("""COMPUTED_VALUE"""),1.0851455E7)</f>
        <v>10851455</v>
      </c>
      <c r="T53" s="177">
        <f t="shared" si="2"/>
        <v>0.001870408027</v>
      </c>
      <c r="U53" s="178"/>
      <c r="V53" s="177"/>
      <c r="W53" s="189"/>
      <c r="X53" s="140"/>
      <c r="Y53" s="140"/>
      <c r="Z53" s="176">
        <f>IFERROR(__xludf.DUMMYFUNCTION("""COMPUTED_VALUE"""),45453.64583333333)</f>
        <v>45453.64583</v>
      </c>
      <c r="AA53" s="177">
        <f>IFERROR(__xludf.DUMMYFUNCTION("""COMPUTED_VALUE"""),347.15)</f>
        <v>347.15</v>
      </c>
      <c r="AB53" s="177">
        <f>IFERROR(__xludf.DUMMYFUNCTION("""COMPUTED_VALUE"""),352.5)</f>
        <v>352.5</v>
      </c>
      <c r="AC53" s="177">
        <f>IFERROR(__xludf.DUMMYFUNCTION("""COMPUTED_VALUE"""),344.45)</f>
        <v>344.45</v>
      </c>
      <c r="AD53" s="177">
        <f>IFERROR(__xludf.DUMMYFUNCTION("""COMPUTED_VALUE"""),348.15)</f>
        <v>348.15</v>
      </c>
      <c r="AE53" s="177">
        <f>IFERROR(__xludf.DUMMYFUNCTION("""COMPUTED_VALUE"""),5450324.0)</f>
        <v>5450324</v>
      </c>
      <c r="AF53" s="177">
        <f t="shared" si="3"/>
        <v>0.002876458189</v>
      </c>
      <c r="AG53" s="177"/>
      <c r="AH53" s="177"/>
      <c r="AI53" s="189"/>
      <c r="AJ53" s="140"/>
      <c r="AK53" s="140"/>
      <c r="AL53" s="176">
        <f>IFERROR(__xludf.DUMMYFUNCTION("""COMPUTED_VALUE"""),45453.64583333333)</f>
        <v>45453.64583</v>
      </c>
      <c r="AM53" s="177">
        <f>IFERROR(__xludf.DUMMYFUNCTION("""COMPUTED_VALUE"""),4800.0)</f>
        <v>4800</v>
      </c>
      <c r="AN53" s="177">
        <f>IFERROR(__xludf.DUMMYFUNCTION("""COMPUTED_VALUE"""),4844.0)</f>
        <v>4844</v>
      </c>
      <c r="AO53" s="177">
        <f>IFERROR(__xludf.DUMMYFUNCTION("""COMPUTED_VALUE"""),4751.55)</f>
        <v>4751.55</v>
      </c>
      <c r="AP53" s="177">
        <f>IFERROR(__xludf.DUMMYFUNCTION("""COMPUTED_VALUE"""),4812.7)</f>
        <v>4812.7</v>
      </c>
      <c r="AQ53" s="177">
        <f>IFERROR(__xludf.DUMMYFUNCTION("""COMPUTED_VALUE"""),2877321.0)</f>
        <v>2877321</v>
      </c>
      <c r="AR53" s="177">
        <f t="shared" si="4"/>
        <v>0.01413521341</v>
      </c>
      <c r="AS53" s="177"/>
      <c r="AT53" s="177"/>
      <c r="AU53" s="189"/>
      <c r="AV53" s="140"/>
      <c r="AW53" s="140"/>
      <c r="AX53" s="176">
        <f>IFERROR(__xludf.DUMMYFUNCTION("""COMPUTED_VALUE"""),45453.64583333333)</f>
        <v>45453.64583</v>
      </c>
      <c r="AY53" s="177">
        <f>IFERROR(__xludf.DUMMYFUNCTION("""COMPUTED_VALUE"""),440.0)</f>
        <v>440</v>
      </c>
      <c r="AZ53" s="177">
        <f>IFERROR(__xludf.DUMMYFUNCTION("""COMPUTED_VALUE"""),441.0)</f>
        <v>441</v>
      </c>
      <c r="BA53" s="177">
        <f>IFERROR(__xludf.DUMMYFUNCTION("""COMPUTED_VALUE"""),435.85)</f>
        <v>435.85</v>
      </c>
      <c r="BB53" s="177">
        <f>IFERROR(__xludf.DUMMYFUNCTION("""COMPUTED_VALUE"""),436.9)</f>
        <v>436.9</v>
      </c>
      <c r="BC53" s="177">
        <f>IFERROR(__xludf.DUMMYFUNCTION("""COMPUTED_VALUE"""),1.1432393E7)</f>
        <v>11432393</v>
      </c>
      <c r="BD53" s="177">
        <f t="shared" si="5"/>
        <v>-0.005136704406</v>
      </c>
      <c r="BE53" s="177"/>
      <c r="BF53" s="177"/>
      <c r="BG53" s="189"/>
      <c r="BH53" s="140"/>
      <c r="BI53" s="140"/>
      <c r="BJ53" s="140"/>
      <c r="BK53" s="140"/>
      <c r="BL53" s="140"/>
      <c r="BM53" s="140"/>
      <c r="BN53" s="140"/>
      <c r="BO53" s="140"/>
      <c r="BP53" s="140"/>
      <c r="BQ53" s="140"/>
      <c r="BR53" s="140"/>
      <c r="BS53" s="140"/>
      <c r="BT53" s="140"/>
      <c r="BU53" s="140"/>
      <c r="BV53" s="140"/>
      <c r="BW53" s="140"/>
      <c r="BX53" s="140"/>
      <c r="BY53" s="140"/>
    </row>
    <row r="54" ht="15.75" customHeight="1">
      <c r="A54" s="168"/>
      <c r="B54" s="169">
        <v>45454.0</v>
      </c>
      <c r="C54" s="170">
        <v>6205.12</v>
      </c>
      <c r="D54" s="170">
        <v>6234.78</v>
      </c>
      <c r="E54" s="170">
        <v>6168.12</v>
      </c>
      <c r="F54" s="170">
        <v>6226.12</v>
      </c>
      <c r="G54" s="171" t="s">
        <v>238</v>
      </c>
      <c r="H54" s="172">
        <f t="shared" si="1"/>
        <v>0.004078255256</v>
      </c>
      <c r="I54" s="172"/>
      <c r="J54" s="172"/>
      <c r="K54" s="188"/>
      <c r="L54" s="140"/>
      <c r="M54" s="140"/>
      <c r="N54" s="176">
        <f>IFERROR(__xludf.DUMMYFUNCTION("""COMPUTED_VALUE"""),45454.64583333333)</f>
        <v>45454.64583</v>
      </c>
      <c r="O54" s="177">
        <f>IFERROR(__xludf.DUMMYFUNCTION("""COMPUTED_VALUE"""),1119.75)</f>
        <v>1119.75</v>
      </c>
      <c r="P54" s="177">
        <f>IFERROR(__xludf.DUMMYFUNCTION("""COMPUTED_VALUE"""),1129.05)</f>
        <v>1129.05</v>
      </c>
      <c r="Q54" s="177">
        <f>IFERROR(__xludf.DUMMYFUNCTION("""COMPUTED_VALUE"""),1111.0)</f>
        <v>1111</v>
      </c>
      <c r="R54" s="177">
        <f>IFERROR(__xludf.DUMMYFUNCTION("""COMPUTED_VALUE"""),1118.2)</f>
        <v>1118.2</v>
      </c>
      <c r="S54" s="177">
        <f>IFERROR(__xludf.DUMMYFUNCTION("""COMPUTED_VALUE"""),1.2250002E7)</f>
        <v>12250002</v>
      </c>
      <c r="T54" s="177">
        <f t="shared" si="2"/>
        <v>-0.004995550086</v>
      </c>
      <c r="U54" s="178"/>
      <c r="V54" s="177"/>
      <c r="W54" s="189"/>
      <c r="X54" s="140"/>
      <c r="Y54" s="140"/>
      <c r="Z54" s="176">
        <f>IFERROR(__xludf.DUMMYFUNCTION("""COMPUTED_VALUE"""),45454.64583333333)</f>
        <v>45454.64583</v>
      </c>
      <c r="AA54" s="177">
        <f>IFERROR(__xludf.DUMMYFUNCTION("""COMPUTED_VALUE"""),350.1)</f>
        <v>350.1</v>
      </c>
      <c r="AB54" s="177">
        <f>IFERROR(__xludf.DUMMYFUNCTION("""COMPUTED_VALUE"""),353.35)</f>
        <v>353.35</v>
      </c>
      <c r="AC54" s="177">
        <f>IFERROR(__xludf.DUMMYFUNCTION("""COMPUTED_VALUE"""),342.0)</f>
        <v>342</v>
      </c>
      <c r="AD54" s="177">
        <f>IFERROR(__xludf.DUMMYFUNCTION("""COMPUTED_VALUE"""),347.95)</f>
        <v>347.95</v>
      </c>
      <c r="AE54" s="177">
        <f>IFERROR(__xludf.DUMMYFUNCTION("""COMPUTED_VALUE"""),6964630.0)</f>
        <v>6964630</v>
      </c>
      <c r="AF54" s="177">
        <f t="shared" si="3"/>
        <v>-0.0005746300977</v>
      </c>
      <c r="AG54" s="177"/>
      <c r="AH54" s="177"/>
      <c r="AI54" s="189"/>
      <c r="AJ54" s="140"/>
      <c r="AK54" s="140"/>
      <c r="AL54" s="176">
        <f>IFERROR(__xludf.DUMMYFUNCTION("""COMPUTED_VALUE"""),45454.64583333333)</f>
        <v>45454.64583</v>
      </c>
      <c r="AM54" s="177">
        <f>IFERROR(__xludf.DUMMYFUNCTION("""COMPUTED_VALUE"""),4831.05)</f>
        <v>4831.05</v>
      </c>
      <c r="AN54" s="177">
        <f>IFERROR(__xludf.DUMMYFUNCTION("""COMPUTED_VALUE"""),4922.55)</f>
        <v>4922.55</v>
      </c>
      <c r="AO54" s="177">
        <f>IFERROR(__xludf.DUMMYFUNCTION("""COMPUTED_VALUE"""),4830.0)</f>
        <v>4830</v>
      </c>
      <c r="AP54" s="177">
        <f>IFERROR(__xludf.DUMMYFUNCTION("""COMPUTED_VALUE"""),4856.6)</f>
        <v>4856.6</v>
      </c>
      <c r="AQ54" s="177">
        <f>IFERROR(__xludf.DUMMYFUNCTION("""COMPUTED_VALUE"""),2718189.0)</f>
        <v>2718189</v>
      </c>
      <c r="AR54" s="177">
        <f t="shared" si="4"/>
        <v>0.009080347417</v>
      </c>
      <c r="AS54" s="177"/>
      <c r="AT54" s="177"/>
      <c r="AU54" s="189"/>
      <c r="AV54" s="140"/>
      <c r="AW54" s="140"/>
      <c r="AX54" s="176">
        <f>IFERROR(__xludf.DUMMYFUNCTION("""COMPUTED_VALUE"""),45454.64583333333)</f>
        <v>45454.64583</v>
      </c>
      <c r="AY54" s="177">
        <f>IFERROR(__xludf.DUMMYFUNCTION("""COMPUTED_VALUE"""),437.0)</f>
        <v>437</v>
      </c>
      <c r="AZ54" s="177">
        <f>IFERROR(__xludf.DUMMYFUNCTION("""COMPUTED_VALUE"""),437.8)</f>
        <v>437.8</v>
      </c>
      <c r="BA54" s="177">
        <f>IFERROR(__xludf.DUMMYFUNCTION("""COMPUTED_VALUE"""),432.25)</f>
        <v>432.25</v>
      </c>
      <c r="BB54" s="177">
        <f>IFERROR(__xludf.DUMMYFUNCTION("""COMPUTED_VALUE"""),433.0)</f>
        <v>433</v>
      </c>
      <c r="BC54" s="177">
        <f>IFERROR(__xludf.DUMMYFUNCTION("""COMPUTED_VALUE"""),1.2670589E7)</f>
        <v>12670589</v>
      </c>
      <c r="BD54" s="177">
        <f t="shared" si="5"/>
        <v>-0.008966607955</v>
      </c>
      <c r="BE54" s="177"/>
      <c r="BF54" s="177"/>
      <c r="BG54" s="189"/>
      <c r="BH54" s="140"/>
      <c r="BI54" s="140"/>
      <c r="BJ54" s="140"/>
      <c r="BK54" s="140"/>
      <c r="BL54" s="140"/>
      <c r="BM54" s="140"/>
      <c r="BN54" s="140"/>
      <c r="BO54" s="140"/>
      <c r="BP54" s="140"/>
      <c r="BQ54" s="140"/>
      <c r="BR54" s="140"/>
      <c r="BS54" s="140"/>
      <c r="BT54" s="140"/>
      <c r="BU54" s="140"/>
      <c r="BV54" s="140"/>
      <c r="BW54" s="140"/>
      <c r="BX54" s="140"/>
      <c r="BY54" s="140"/>
    </row>
    <row r="55" ht="15.75" customHeight="1">
      <c r="A55" s="168"/>
      <c r="B55" s="169">
        <v>45455.0</v>
      </c>
      <c r="C55" s="170">
        <v>6229.71</v>
      </c>
      <c r="D55" s="170">
        <v>6283.12</v>
      </c>
      <c r="E55" s="170">
        <v>6207.12</v>
      </c>
      <c r="F55" s="170">
        <v>6230.12</v>
      </c>
      <c r="G55" s="171" t="s">
        <v>238</v>
      </c>
      <c r="H55" s="172">
        <f t="shared" si="1"/>
        <v>0.0006422484052</v>
      </c>
      <c r="I55" s="172"/>
      <c r="J55" s="172"/>
      <c r="K55" s="188"/>
      <c r="L55" s="140"/>
      <c r="M55" s="140"/>
      <c r="N55" s="176">
        <f>IFERROR(__xludf.DUMMYFUNCTION("""COMPUTED_VALUE"""),45455.64583333333)</f>
        <v>45455.64583</v>
      </c>
      <c r="O55" s="177">
        <f>IFERROR(__xludf.DUMMYFUNCTION("""COMPUTED_VALUE"""),1121.0)</f>
        <v>1121</v>
      </c>
      <c r="P55" s="177">
        <f>IFERROR(__xludf.DUMMYFUNCTION("""COMPUTED_VALUE"""),1133.4)</f>
        <v>1133.4</v>
      </c>
      <c r="Q55" s="177">
        <f>IFERROR(__xludf.DUMMYFUNCTION("""COMPUTED_VALUE"""),1112.0)</f>
        <v>1112</v>
      </c>
      <c r="R55" s="177">
        <f>IFERROR(__xludf.DUMMYFUNCTION("""COMPUTED_VALUE"""),1119.55)</f>
        <v>1119.55</v>
      </c>
      <c r="S55" s="177">
        <f>IFERROR(__xludf.DUMMYFUNCTION("""COMPUTED_VALUE"""),1.6096514E7)</f>
        <v>16096514</v>
      </c>
      <c r="T55" s="177">
        <f t="shared" si="2"/>
        <v>0.001206569245</v>
      </c>
      <c r="U55" s="178"/>
      <c r="V55" s="177"/>
      <c r="W55" s="189"/>
      <c r="X55" s="140"/>
      <c r="Y55" s="140"/>
      <c r="Z55" s="176">
        <f>IFERROR(__xludf.DUMMYFUNCTION("""COMPUTED_VALUE"""),45455.64583333333)</f>
        <v>45455.64583</v>
      </c>
      <c r="AA55" s="177">
        <f>IFERROR(__xludf.DUMMYFUNCTION("""COMPUTED_VALUE"""),349.4)</f>
        <v>349.4</v>
      </c>
      <c r="AB55" s="177">
        <f>IFERROR(__xludf.DUMMYFUNCTION("""COMPUTED_VALUE"""),349.4)</f>
        <v>349.4</v>
      </c>
      <c r="AC55" s="177">
        <f>IFERROR(__xludf.DUMMYFUNCTION("""COMPUTED_VALUE"""),340.95)</f>
        <v>340.95</v>
      </c>
      <c r="AD55" s="177">
        <f>IFERROR(__xludf.DUMMYFUNCTION("""COMPUTED_VALUE"""),342.15)</f>
        <v>342.15</v>
      </c>
      <c r="AE55" s="177">
        <f>IFERROR(__xludf.DUMMYFUNCTION("""COMPUTED_VALUE"""),9458583.0)</f>
        <v>9458583</v>
      </c>
      <c r="AF55" s="177">
        <f t="shared" si="3"/>
        <v>-0.01680955389</v>
      </c>
      <c r="AG55" s="177"/>
      <c r="AH55" s="177"/>
      <c r="AI55" s="189"/>
      <c r="AJ55" s="140"/>
      <c r="AK55" s="140"/>
      <c r="AL55" s="176">
        <f>IFERROR(__xludf.DUMMYFUNCTION("""COMPUTED_VALUE"""),45455.64583333333)</f>
        <v>45455.64583</v>
      </c>
      <c r="AM55" s="177">
        <f>IFERROR(__xludf.DUMMYFUNCTION("""COMPUTED_VALUE"""),4881.8)</f>
        <v>4881.8</v>
      </c>
      <c r="AN55" s="177">
        <f>IFERROR(__xludf.DUMMYFUNCTION("""COMPUTED_VALUE"""),4925.3)</f>
        <v>4925.3</v>
      </c>
      <c r="AO55" s="177">
        <f>IFERROR(__xludf.DUMMYFUNCTION("""COMPUTED_VALUE"""),4841.55)</f>
        <v>4841.55</v>
      </c>
      <c r="AP55" s="177">
        <f>IFERROR(__xludf.DUMMYFUNCTION("""COMPUTED_VALUE"""),4889.0)</f>
        <v>4889</v>
      </c>
      <c r="AQ55" s="177">
        <f>IFERROR(__xludf.DUMMYFUNCTION("""COMPUTED_VALUE"""),2031876.0)</f>
        <v>2031876</v>
      </c>
      <c r="AR55" s="177">
        <f t="shared" si="4"/>
        <v>0.006649178988</v>
      </c>
      <c r="AS55" s="177"/>
      <c r="AT55" s="177"/>
      <c r="AU55" s="189"/>
      <c r="AV55" s="140"/>
      <c r="AW55" s="140"/>
      <c r="AX55" s="176">
        <f>IFERROR(__xludf.DUMMYFUNCTION("""COMPUTED_VALUE"""),45455.64583333333)</f>
        <v>45455.64583</v>
      </c>
      <c r="AY55" s="177">
        <f>IFERROR(__xludf.DUMMYFUNCTION("""COMPUTED_VALUE"""),430.55)</f>
        <v>430.55</v>
      </c>
      <c r="AZ55" s="177">
        <f>IFERROR(__xludf.DUMMYFUNCTION("""COMPUTED_VALUE"""),434.4)</f>
        <v>434.4</v>
      </c>
      <c r="BA55" s="177">
        <f>IFERROR(__xludf.DUMMYFUNCTION("""COMPUTED_VALUE"""),430.2)</f>
        <v>430.2</v>
      </c>
      <c r="BB55" s="177">
        <f>IFERROR(__xludf.DUMMYFUNCTION("""COMPUTED_VALUE"""),432.3)</f>
        <v>432.3</v>
      </c>
      <c r="BC55" s="177">
        <f>IFERROR(__xludf.DUMMYFUNCTION("""COMPUTED_VALUE"""),1.0352936E7)</f>
        <v>10352936</v>
      </c>
      <c r="BD55" s="177">
        <f t="shared" si="5"/>
        <v>-0.001617936329</v>
      </c>
      <c r="BE55" s="177"/>
      <c r="BF55" s="177"/>
      <c r="BG55" s="189"/>
      <c r="BH55" s="140"/>
      <c r="BI55" s="140"/>
      <c r="BJ55" s="140"/>
      <c r="BK55" s="140"/>
      <c r="BL55" s="140"/>
      <c r="BM55" s="140"/>
      <c r="BN55" s="140"/>
      <c r="BO55" s="140"/>
      <c r="BP55" s="140"/>
      <c r="BQ55" s="140"/>
      <c r="BR55" s="140"/>
      <c r="BS55" s="140"/>
      <c r="BT55" s="140"/>
      <c r="BU55" s="140"/>
      <c r="BV55" s="140"/>
      <c r="BW55" s="140"/>
      <c r="BX55" s="140"/>
      <c r="BY55" s="140"/>
    </row>
    <row r="56" ht="15.75" customHeight="1">
      <c r="A56" s="168"/>
      <c r="B56" s="169">
        <v>45456.0</v>
      </c>
      <c r="C56" s="170">
        <v>6233.71</v>
      </c>
      <c r="D56" s="170">
        <v>6248.12</v>
      </c>
      <c r="E56" s="170">
        <v>6165.52</v>
      </c>
      <c r="F56" s="170">
        <v>6186.12</v>
      </c>
      <c r="G56" s="171" t="s">
        <v>238</v>
      </c>
      <c r="H56" s="172">
        <f t="shared" si="1"/>
        <v>-0.007087521534</v>
      </c>
      <c r="I56" s="172"/>
      <c r="J56" s="172"/>
      <c r="K56" s="188"/>
      <c r="L56" s="140"/>
      <c r="M56" s="140"/>
      <c r="N56" s="176">
        <f>IFERROR(__xludf.DUMMYFUNCTION("""COMPUTED_VALUE"""),45456.64583333333)</f>
        <v>45456.64583</v>
      </c>
      <c r="O56" s="177">
        <f>IFERROR(__xludf.DUMMYFUNCTION("""COMPUTED_VALUE"""),1122.2)</f>
        <v>1122.2</v>
      </c>
      <c r="P56" s="177">
        <f>IFERROR(__xludf.DUMMYFUNCTION("""COMPUTED_VALUE"""),1123.2)</f>
        <v>1123.2</v>
      </c>
      <c r="Q56" s="177">
        <f>IFERROR(__xludf.DUMMYFUNCTION("""COMPUTED_VALUE"""),1105.0)</f>
        <v>1105</v>
      </c>
      <c r="R56" s="177">
        <f>IFERROR(__xludf.DUMMYFUNCTION("""COMPUTED_VALUE"""),1107.35)</f>
        <v>1107.35</v>
      </c>
      <c r="S56" s="177">
        <f>IFERROR(__xludf.DUMMYFUNCTION("""COMPUTED_VALUE"""),1.2494254E7)</f>
        <v>12494254</v>
      </c>
      <c r="T56" s="177">
        <f t="shared" si="2"/>
        <v>-0.01095704527</v>
      </c>
      <c r="U56" s="178"/>
      <c r="V56" s="177"/>
      <c r="W56" s="189"/>
      <c r="X56" s="140"/>
      <c r="Y56" s="140"/>
      <c r="Z56" s="176">
        <f>IFERROR(__xludf.DUMMYFUNCTION("""COMPUTED_VALUE"""),45456.64583333333)</f>
        <v>45456.64583</v>
      </c>
      <c r="AA56" s="177">
        <f>IFERROR(__xludf.DUMMYFUNCTION("""COMPUTED_VALUE"""),344.1)</f>
        <v>344.1</v>
      </c>
      <c r="AB56" s="177">
        <f>IFERROR(__xludf.DUMMYFUNCTION("""COMPUTED_VALUE"""),346.6)</f>
        <v>346.6</v>
      </c>
      <c r="AC56" s="177">
        <f>IFERROR(__xludf.DUMMYFUNCTION("""COMPUTED_VALUE"""),337.0)</f>
        <v>337</v>
      </c>
      <c r="AD56" s="177">
        <f>IFERROR(__xludf.DUMMYFUNCTION("""COMPUTED_VALUE"""),339.5)</f>
        <v>339.5</v>
      </c>
      <c r="AE56" s="177">
        <f>IFERROR(__xludf.DUMMYFUNCTION("""COMPUTED_VALUE"""),7980545.0)</f>
        <v>7980545</v>
      </c>
      <c r="AF56" s="177">
        <f t="shared" si="3"/>
        <v>-0.0077752904</v>
      </c>
      <c r="AG56" s="177"/>
      <c r="AH56" s="177"/>
      <c r="AI56" s="189"/>
      <c r="AJ56" s="140"/>
      <c r="AK56" s="140"/>
      <c r="AL56" s="176">
        <f>IFERROR(__xludf.DUMMYFUNCTION("""COMPUTED_VALUE"""),45456.64583333333)</f>
        <v>45456.64583</v>
      </c>
      <c r="AM56" s="177">
        <f>IFERROR(__xludf.DUMMYFUNCTION("""COMPUTED_VALUE"""),4940.0)</f>
        <v>4940</v>
      </c>
      <c r="AN56" s="177">
        <f>IFERROR(__xludf.DUMMYFUNCTION("""COMPUTED_VALUE"""),5117.55)</f>
        <v>5117.55</v>
      </c>
      <c r="AO56" s="177">
        <f>IFERROR(__xludf.DUMMYFUNCTION("""COMPUTED_VALUE"""),4856.0)</f>
        <v>4856</v>
      </c>
      <c r="AP56" s="177">
        <f>IFERROR(__xludf.DUMMYFUNCTION("""COMPUTED_VALUE"""),5099.7)</f>
        <v>5099.7</v>
      </c>
      <c r="AQ56" s="177">
        <f>IFERROR(__xludf.DUMMYFUNCTION("""COMPUTED_VALUE"""),4364888.0)</f>
        <v>4364888</v>
      </c>
      <c r="AR56" s="177">
        <f t="shared" si="4"/>
        <v>0.04219393087</v>
      </c>
      <c r="AS56" s="177"/>
      <c r="AT56" s="177"/>
      <c r="AU56" s="189"/>
      <c r="AV56" s="140"/>
      <c r="AW56" s="140"/>
      <c r="AX56" s="176">
        <f>IFERROR(__xludf.DUMMYFUNCTION("""COMPUTED_VALUE"""),45456.64583333333)</f>
        <v>45456.64583</v>
      </c>
      <c r="AY56" s="177">
        <f>IFERROR(__xludf.DUMMYFUNCTION("""COMPUTED_VALUE"""),436.9)</f>
        <v>436.9</v>
      </c>
      <c r="AZ56" s="177">
        <f>IFERROR(__xludf.DUMMYFUNCTION("""COMPUTED_VALUE"""),436.9)</f>
        <v>436.9</v>
      </c>
      <c r="BA56" s="177">
        <f>IFERROR(__xludf.DUMMYFUNCTION("""COMPUTED_VALUE"""),429.75)</f>
        <v>429.75</v>
      </c>
      <c r="BB56" s="177">
        <f>IFERROR(__xludf.DUMMYFUNCTION("""COMPUTED_VALUE"""),430.3)</f>
        <v>430.3</v>
      </c>
      <c r="BC56" s="177">
        <f>IFERROR(__xludf.DUMMYFUNCTION("""COMPUTED_VALUE"""),9283802.0)</f>
        <v>9283802</v>
      </c>
      <c r="BD56" s="177">
        <f t="shared" si="5"/>
        <v>-0.004637151829</v>
      </c>
      <c r="BE56" s="177"/>
      <c r="BF56" s="177"/>
      <c r="BG56" s="189"/>
      <c r="BH56" s="140"/>
      <c r="BI56" s="140"/>
      <c r="BJ56" s="140"/>
      <c r="BK56" s="140"/>
      <c r="BL56" s="140"/>
      <c r="BM56" s="140"/>
      <c r="BN56" s="140"/>
      <c r="BO56" s="140"/>
      <c r="BP56" s="140"/>
      <c r="BQ56" s="140"/>
      <c r="BR56" s="140"/>
      <c r="BS56" s="140"/>
      <c r="BT56" s="140"/>
      <c r="BU56" s="140"/>
      <c r="BV56" s="140"/>
      <c r="BW56" s="140"/>
      <c r="BX56" s="140"/>
      <c r="BY56" s="140"/>
    </row>
    <row r="57" ht="15.75" customHeight="1">
      <c r="A57" s="168"/>
      <c r="B57" s="169">
        <v>45457.0</v>
      </c>
      <c r="C57" s="170">
        <v>6186.78</v>
      </c>
      <c r="D57" s="170">
        <v>6276.12</v>
      </c>
      <c r="E57" s="170">
        <v>6180.12</v>
      </c>
      <c r="F57" s="170">
        <v>6265.12</v>
      </c>
      <c r="G57" s="171" t="s">
        <v>238</v>
      </c>
      <c r="H57" s="172">
        <f t="shared" si="1"/>
        <v>0.01268966948</v>
      </c>
      <c r="I57" s="172"/>
      <c r="J57" s="172"/>
      <c r="K57" s="188"/>
      <c r="L57" s="140"/>
      <c r="M57" s="140"/>
      <c r="N57" s="176">
        <f>IFERROR(__xludf.DUMMYFUNCTION("""COMPUTED_VALUE"""),45457.64583333333)</f>
        <v>45457.64583</v>
      </c>
      <c r="O57" s="177">
        <f>IFERROR(__xludf.DUMMYFUNCTION("""COMPUTED_VALUE"""),1114.0)</f>
        <v>1114</v>
      </c>
      <c r="P57" s="177">
        <f>IFERROR(__xludf.DUMMYFUNCTION("""COMPUTED_VALUE"""),1114.0)</f>
        <v>1114</v>
      </c>
      <c r="Q57" s="177">
        <f>IFERROR(__xludf.DUMMYFUNCTION("""COMPUTED_VALUE"""),1099.45)</f>
        <v>1099.45</v>
      </c>
      <c r="R57" s="177">
        <f>IFERROR(__xludf.DUMMYFUNCTION("""COMPUTED_VALUE"""),1105.65)</f>
        <v>1105.65</v>
      </c>
      <c r="S57" s="177">
        <f>IFERROR(__xludf.DUMMYFUNCTION("""COMPUTED_VALUE"""),1.1377979E7)</f>
        <v>11377979</v>
      </c>
      <c r="T57" s="177">
        <f t="shared" si="2"/>
        <v>-0.001536376262</v>
      </c>
      <c r="U57" s="178"/>
      <c r="V57" s="177"/>
      <c r="W57" s="189"/>
      <c r="X57" s="140"/>
      <c r="Y57" s="140"/>
      <c r="Z57" s="176">
        <f>IFERROR(__xludf.DUMMYFUNCTION("""COMPUTED_VALUE"""),45457.64583333333)</f>
        <v>45457.64583</v>
      </c>
      <c r="AA57" s="177">
        <f>IFERROR(__xludf.DUMMYFUNCTION("""COMPUTED_VALUE"""),340.0)</f>
        <v>340</v>
      </c>
      <c r="AB57" s="177">
        <f>IFERROR(__xludf.DUMMYFUNCTION("""COMPUTED_VALUE"""),346.8)</f>
        <v>346.8</v>
      </c>
      <c r="AC57" s="177">
        <f>IFERROR(__xludf.DUMMYFUNCTION("""COMPUTED_VALUE"""),338.5)</f>
        <v>338.5</v>
      </c>
      <c r="AD57" s="177">
        <f>IFERROR(__xludf.DUMMYFUNCTION("""COMPUTED_VALUE"""),340.75)</f>
        <v>340.75</v>
      </c>
      <c r="AE57" s="177">
        <f>IFERROR(__xludf.DUMMYFUNCTION("""COMPUTED_VALUE"""),1.2332822E7)</f>
        <v>12332822</v>
      </c>
      <c r="AF57" s="177">
        <f t="shared" si="3"/>
        <v>0.003675123578</v>
      </c>
      <c r="AG57" s="177"/>
      <c r="AH57" s="177"/>
      <c r="AI57" s="189"/>
      <c r="AJ57" s="140"/>
      <c r="AK57" s="140"/>
      <c r="AL57" s="176">
        <f>IFERROR(__xludf.DUMMYFUNCTION("""COMPUTED_VALUE"""),45457.64583333333)</f>
        <v>45457.64583</v>
      </c>
      <c r="AM57" s="177">
        <f>IFERROR(__xludf.DUMMYFUNCTION("""COMPUTED_VALUE"""),5140.0)</f>
        <v>5140</v>
      </c>
      <c r="AN57" s="177">
        <f>IFERROR(__xludf.DUMMYFUNCTION("""COMPUTED_VALUE"""),5260.0)</f>
        <v>5260</v>
      </c>
      <c r="AO57" s="177">
        <f>IFERROR(__xludf.DUMMYFUNCTION("""COMPUTED_VALUE"""),5103.75)</f>
        <v>5103.75</v>
      </c>
      <c r="AP57" s="177">
        <f>IFERROR(__xludf.DUMMYFUNCTION("""COMPUTED_VALUE"""),5200.55)</f>
        <v>5200.55</v>
      </c>
      <c r="AQ57" s="177">
        <f>IFERROR(__xludf.DUMMYFUNCTION("""COMPUTED_VALUE"""),6319680.0)</f>
        <v>6319680</v>
      </c>
      <c r="AR57" s="177">
        <f t="shared" si="4"/>
        <v>0.01958267475</v>
      </c>
      <c r="AS57" s="177"/>
      <c r="AT57" s="177"/>
      <c r="AU57" s="189"/>
      <c r="AV57" s="140"/>
      <c r="AW57" s="140"/>
      <c r="AX57" s="176">
        <f>IFERROR(__xludf.DUMMYFUNCTION("""COMPUTED_VALUE"""),45457.64583333333)</f>
        <v>45457.64583</v>
      </c>
      <c r="AY57" s="177">
        <f>IFERROR(__xludf.DUMMYFUNCTION("""COMPUTED_VALUE"""),431.0)</f>
        <v>431</v>
      </c>
      <c r="AZ57" s="177">
        <f>IFERROR(__xludf.DUMMYFUNCTION("""COMPUTED_VALUE"""),431.9)</f>
        <v>431.9</v>
      </c>
      <c r="BA57" s="177">
        <f>IFERROR(__xludf.DUMMYFUNCTION("""COMPUTED_VALUE"""),429.05)</f>
        <v>429.05</v>
      </c>
      <c r="BB57" s="177">
        <f>IFERROR(__xludf.DUMMYFUNCTION("""COMPUTED_VALUE"""),431.15)</f>
        <v>431.15</v>
      </c>
      <c r="BC57" s="177">
        <f>IFERROR(__xludf.DUMMYFUNCTION("""COMPUTED_VALUE"""),9217804.0)</f>
        <v>9217804</v>
      </c>
      <c r="BD57" s="177">
        <f t="shared" si="5"/>
        <v>0.001973417554</v>
      </c>
      <c r="BE57" s="177"/>
      <c r="BF57" s="177"/>
      <c r="BG57" s="189"/>
      <c r="BH57" s="140"/>
      <c r="BI57" s="140"/>
      <c r="BJ57" s="140"/>
      <c r="BK57" s="140"/>
      <c r="BL57" s="140"/>
      <c r="BM57" s="140"/>
      <c r="BN57" s="140"/>
      <c r="BO57" s="140"/>
      <c r="BP57" s="140"/>
      <c r="BQ57" s="140"/>
      <c r="BR57" s="140"/>
      <c r="BS57" s="140"/>
      <c r="BT57" s="140"/>
      <c r="BU57" s="140"/>
      <c r="BV57" s="140"/>
      <c r="BW57" s="140"/>
      <c r="BX57" s="140"/>
      <c r="BY57" s="140"/>
    </row>
    <row r="58" ht="15.75" customHeight="1">
      <c r="A58" s="168"/>
      <c r="B58" s="169">
        <v>45461.0</v>
      </c>
      <c r="C58" s="170">
        <v>6225.52</v>
      </c>
      <c r="D58" s="170">
        <v>6253.12</v>
      </c>
      <c r="E58" s="170">
        <v>6185.52</v>
      </c>
      <c r="F58" s="170">
        <v>6239.12</v>
      </c>
      <c r="G58" s="171" t="s">
        <v>238</v>
      </c>
      <c r="H58" s="172">
        <f t="shared" si="1"/>
        <v>-0.0041585954</v>
      </c>
      <c r="I58" s="172"/>
      <c r="J58" s="172"/>
      <c r="K58" s="188"/>
      <c r="L58" s="140"/>
      <c r="M58" s="140"/>
      <c r="N58" s="176">
        <f>IFERROR(__xludf.DUMMYFUNCTION("""COMPUTED_VALUE"""),45461.64583333333)</f>
        <v>45461.64583</v>
      </c>
      <c r="O58" s="177">
        <f>IFERROR(__xludf.DUMMYFUNCTION("""COMPUTED_VALUE"""),1113.95)</f>
        <v>1113.95</v>
      </c>
      <c r="P58" s="177">
        <f>IFERROR(__xludf.DUMMYFUNCTION("""COMPUTED_VALUE"""),1135.05)</f>
        <v>1135.05</v>
      </c>
      <c r="Q58" s="177">
        <f>IFERROR(__xludf.DUMMYFUNCTION("""COMPUTED_VALUE"""),1101.2)</f>
        <v>1101.2</v>
      </c>
      <c r="R58" s="177">
        <f>IFERROR(__xludf.DUMMYFUNCTION("""COMPUTED_VALUE"""),1122.85)</f>
        <v>1122.85</v>
      </c>
      <c r="S58" s="177">
        <f>IFERROR(__xludf.DUMMYFUNCTION("""COMPUTED_VALUE"""),1.8306176E7)</f>
        <v>18306176</v>
      </c>
      <c r="T58" s="177">
        <f t="shared" si="2"/>
        <v>0.01543669872</v>
      </c>
      <c r="U58" s="178"/>
      <c r="V58" s="177"/>
      <c r="W58" s="189"/>
      <c r="X58" s="140"/>
      <c r="Y58" s="140"/>
      <c r="Z58" s="176">
        <f>IFERROR(__xludf.DUMMYFUNCTION("""COMPUTED_VALUE"""),45461.64583333333)</f>
        <v>45461.64583</v>
      </c>
      <c r="AA58" s="177">
        <f>IFERROR(__xludf.DUMMYFUNCTION("""COMPUTED_VALUE"""),335.3)</f>
        <v>335.3</v>
      </c>
      <c r="AB58" s="177">
        <f>IFERROR(__xludf.DUMMYFUNCTION("""COMPUTED_VALUE"""),347.55)</f>
        <v>347.55</v>
      </c>
      <c r="AC58" s="177">
        <f>IFERROR(__xludf.DUMMYFUNCTION("""COMPUTED_VALUE"""),331.65)</f>
        <v>331.65</v>
      </c>
      <c r="AD58" s="177">
        <f>IFERROR(__xludf.DUMMYFUNCTION("""COMPUTED_VALUE"""),344.55)</f>
        <v>344.55</v>
      </c>
      <c r="AE58" s="177">
        <f>IFERROR(__xludf.DUMMYFUNCTION("""COMPUTED_VALUE"""),1.7706369E7)</f>
        <v>17706369</v>
      </c>
      <c r="AF58" s="177">
        <f t="shared" si="3"/>
        <v>0.01109014723</v>
      </c>
      <c r="AG58" s="177"/>
      <c r="AH58" s="177"/>
      <c r="AI58" s="189"/>
      <c r="AJ58" s="140"/>
      <c r="AK58" s="140"/>
      <c r="AL58" s="176">
        <f>IFERROR(__xludf.DUMMYFUNCTION("""COMPUTED_VALUE"""),45461.64583333333)</f>
        <v>45461.64583</v>
      </c>
      <c r="AM58" s="177">
        <f>IFERROR(__xludf.DUMMYFUNCTION("""COMPUTED_VALUE"""),5460.1)</f>
        <v>5460.1</v>
      </c>
      <c r="AN58" s="177">
        <f>IFERROR(__xludf.DUMMYFUNCTION("""COMPUTED_VALUE"""),5567.0)</f>
        <v>5567</v>
      </c>
      <c r="AO58" s="177">
        <f>IFERROR(__xludf.DUMMYFUNCTION("""COMPUTED_VALUE"""),5389.5)</f>
        <v>5389.5</v>
      </c>
      <c r="AP58" s="177">
        <f>IFERROR(__xludf.DUMMYFUNCTION("""COMPUTED_VALUE"""),5533.45)</f>
        <v>5533.45</v>
      </c>
      <c r="AQ58" s="177">
        <f>IFERROR(__xludf.DUMMYFUNCTION("""COMPUTED_VALUE"""),9934132.0)</f>
        <v>9934132</v>
      </c>
      <c r="AR58" s="177">
        <f t="shared" si="4"/>
        <v>0.06204710158</v>
      </c>
      <c r="AS58" s="177"/>
      <c r="AT58" s="177"/>
      <c r="AU58" s="189"/>
      <c r="AV58" s="140"/>
      <c r="AW58" s="140"/>
      <c r="AX58" s="176">
        <f>IFERROR(__xludf.DUMMYFUNCTION("""COMPUTED_VALUE"""),45461.64583333333)</f>
        <v>45461.64583</v>
      </c>
      <c r="AY58" s="177">
        <f>IFERROR(__xludf.DUMMYFUNCTION("""COMPUTED_VALUE"""),433.0)</f>
        <v>433</v>
      </c>
      <c r="AZ58" s="177">
        <f>IFERROR(__xludf.DUMMYFUNCTION("""COMPUTED_VALUE"""),434.2)</f>
        <v>434.2</v>
      </c>
      <c r="BA58" s="177">
        <f>IFERROR(__xludf.DUMMYFUNCTION("""COMPUTED_VALUE"""),428.2)</f>
        <v>428.2</v>
      </c>
      <c r="BB58" s="177">
        <f>IFERROR(__xludf.DUMMYFUNCTION("""COMPUTED_VALUE"""),428.75)</f>
        <v>428.75</v>
      </c>
      <c r="BC58" s="177">
        <f>IFERROR(__xludf.DUMMYFUNCTION("""COMPUTED_VALUE"""),1.4098178E7)</f>
        <v>14098178</v>
      </c>
      <c r="BD58" s="177">
        <f t="shared" si="5"/>
        <v>-0.005582058918</v>
      </c>
      <c r="BE58" s="177"/>
      <c r="BF58" s="177"/>
      <c r="BG58" s="189"/>
      <c r="BH58" s="140"/>
      <c r="BI58" s="140"/>
      <c r="BJ58" s="140"/>
      <c r="BK58" s="140"/>
      <c r="BL58" s="140"/>
      <c r="BM58" s="140"/>
      <c r="BN58" s="140"/>
      <c r="BO58" s="140"/>
      <c r="BP58" s="140"/>
      <c r="BQ58" s="140"/>
      <c r="BR58" s="140"/>
      <c r="BS58" s="140"/>
      <c r="BT58" s="140"/>
      <c r="BU58" s="140"/>
      <c r="BV58" s="140"/>
      <c r="BW58" s="140"/>
      <c r="BX58" s="140"/>
      <c r="BY58" s="140"/>
    </row>
    <row r="59" ht="15.75" customHeight="1">
      <c r="A59" s="168"/>
      <c r="B59" s="169">
        <v>45462.0</v>
      </c>
      <c r="C59" s="170">
        <v>6241.12</v>
      </c>
      <c r="D59" s="170">
        <v>6263.12</v>
      </c>
      <c r="E59" s="170">
        <v>6231.12</v>
      </c>
      <c r="F59" s="170">
        <v>6241.52</v>
      </c>
      <c r="G59" s="171" t="s">
        <v>238</v>
      </c>
      <c r="H59" s="172">
        <f t="shared" si="1"/>
        <v>0.0003845956665</v>
      </c>
      <c r="I59" s="172"/>
      <c r="J59" s="172"/>
      <c r="K59" s="188"/>
      <c r="L59" s="140"/>
      <c r="M59" s="140"/>
      <c r="N59" s="176">
        <f>IFERROR(__xludf.DUMMYFUNCTION("""COMPUTED_VALUE"""),45462.64583333333)</f>
        <v>45462.64583</v>
      </c>
      <c r="O59" s="177">
        <f>IFERROR(__xludf.DUMMYFUNCTION("""COMPUTED_VALUE"""),1127.95)</f>
        <v>1127.95</v>
      </c>
      <c r="P59" s="177">
        <f>IFERROR(__xludf.DUMMYFUNCTION("""COMPUTED_VALUE"""),1165.55)</f>
        <v>1165.55</v>
      </c>
      <c r="Q59" s="177">
        <f>IFERROR(__xludf.DUMMYFUNCTION("""COMPUTED_VALUE"""),1126.15)</f>
        <v>1126.15</v>
      </c>
      <c r="R59" s="177">
        <f>IFERROR(__xludf.DUMMYFUNCTION("""COMPUTED_VALUE"""),1144.45)</f>
        <v>1144.45</v>
      </c>
      <c r="S59" s="177">
        <f>IFERROR(__xludf.DUMMYFUNCTION("""COMPUTED_VALUE"""),3.4309514E7)</f>
        <v>34309514</v>
      </c>
      <c r="T59" s="177">
        <f t="shared" si="2"/>
        <v>0.01905407621</v>
      </c>
      <c r="U59" s="178"/>
      <c r="V59" s="177"/>
      <c r="W59" s="189"/>
      <c r="X59" s="140"/>
      <c r="Y59" s="140"/>
      <c r="Z59" s="176">
        <f>IFERROR(__xludf.DUMMYFUNCTION("""COMPUTED_VALUE"""),45462.64583333333)</f>
        <v>45462.64583</v>
      </c>
      <c r="AA59" s="177">
        <f>IFERROR(__xludf.DUMMYFUNCTION("""COMPUTED_VALUE"""),329.1)</f>
        <v>329.1</v>
      </c>
      <c r="AB59" s="177">
        <f>IFERROR(__xludf.DUMMYFUNCTION("""COMPUTED_VALUE"""),341.95)</f>
        <v>341.95</v>
      </c>
      <c r="AC59" s="177">
        <f>IFERROR(__xludf.DUMMYFUNCTION("""COMPUTED_VALUE"""),311.4)</f>
        <v>311.4</v>
      </c>
      <c r="AD59" s="177">
        <f>IFERROR(__xludf.DUMMYFUNCTION("""COMPUTED_VALUE"""),334.0)</f>
        <v>334</v>
      </c>
      <c r="AE59" s="177">
        <f>IFERROR(__xludf.DUMMYFUNCTION("""COMPUTED_VALUE"""),8.32154977E8)</f>
        <v>832154977</v>
      </c>
      <c r="AF59" s="177">
        <f t="shared" si="3"/>
        <v>-0.03109822483</v>
      </c>
      <c r="AG59" s="177"/>
      <c r="AH59" s="177"/>
      <c r="AI59" s="189"/>
      <c r="AJ59" s="140"/>
      <c r="AK59" s="140"/>
      <c r="AL59" s="176">
        <f>IFERROR(__xludf.DUMMYFUNCTION("""COMPUTED_VALUE"""),45462.64583333333)</f>
        <v>45462.64583</v>
      </c>
      <c r="AM59" s="177">
        <f>IFERROR(__xludf.DUMMYFUNCTION("""COMPUTED_VALUE"""),5580.0)</f>
        <v>5580</v>
      </c>
      <c r="AN59" s="177">
        <f>IFERROR(__xludf.DUMMYFUNCTION("""COMPUTED_VALUE"""),5582.8)</f>
        <v>5582.8</v>
      </c>
      <c r="AO59" s="177">
        <f>IFERROR(__xludf.DUMMYFUNCTION("""COMPUTED_VALUE"""),5261.1)</f>
        <v>5261.1</v>
      </c>
      <c r="AP59" s="177">
        <f>IFERROR(__xludf.DUMMYFUNCTION("""COMPUTED_VALUE"""),5311.95)</f>
        <v>5311.95</v>
      </c>
      <c r="AQ59" s="177">
        <f>IFERROR(__xludf.DUMMYFUNCTION("""COMPUTED_VALUE"""),7351379.0)</f>
        <v>7351379</v>
      </c>
      <c r="AR59" s="177">
        <f t="shared" si="4"/>
        <v>-0.04085249133</v>
      </c>
      <c r="AS59" s="177"/>
      <c r="AT59" s="177"/>
      <c r="AU59" s="189"/>
      <c r="AV59" s="140"/>
      <c r="AW59" s="140"/>
      <c r="AX59" s="176">
        <f>IFERROR(__xludf.DUMMYFUNCTION("""COMPUTED_VALUE"""),45462.64583333333)</f>
        <v>45462.64583</v>
      </c>
      <c r="AY59" s="177">
        <f>IFERROR(__xludf.DUMMYFUNCTION("""COMPUTED_VALUE"""),430.0)</f>
        <v>430</v>
      </c>
      <c r="AZ59" s="177">
        <f>IFERROR(__xludf.DUMMYFUNCTION("""COMPUTED_VALUE"""),430.75)</f>
        <v>430.75</v>
      </c>
      <c r="BA59" s="177">
        <f>IFERROR(__xludf.DUMMYFUNCTION("""COMPUTED_VALUE"""),423.05)</f>
        <v>423.05</v>
      </c>
      <c r="BB59" s="177">
        <f>IFERROR(__xludf.DUMMYFUNCTION("""COMPUTED_VALUE"""),423.65)</f>
        <v>423.65</v>
      </c>
      <c r="BC59" s="177">
        <f>IFERROR(__xludf.DUMMYFUNCTION("""COMPUTED_VALUE"""),1.0909803E7)</f>
        <v>10909803</v>
      </c>
      <c r="BD59" s="177">
        <f t="shared" si="5"/>
        <v>-0.01196635584</v>
      </c>
      <c r="BE59" s="177"/>
      <c r="BF59" s="177"/>
      <c r="BG59" s="189"/>
      <c r="BH59" s="140"/>
      <c r="BI59" s="140"/>
      <c r="BJ59" s="140"/>
      <c r="BK59" s="140"/>
      <c r="BL59" s="140"/>
      <c r="BM59" s="140"/>
      <c r="BN59" s="140"/>
      <c r="BO59" s="140"/>
      <c r="BP59" s="140"/>
      <c r="BQ59" s="140"/>
      <c r="BR59" s="140"/>
      <c r="BS59" s="140"/>
      <c r="BT59" s="140"/>
      <c r="BU59" s="140"/>
      <c r="BV59" s="140"/>
      <c r="BW59" s="140"/>
      <c r="BX59" s="140"/>
      <c r="BY59" s="140"/>
    </row>
    <row r="60" ht="15.75" customHeight="1">
      <c r="A60" s="168"/>
      <c r="B60" s="169">
        <v>45463.0</v>
      </c>
      <c r="C60" s="170">
        <v>6239.12</v>
      </c>
      <c r="D60" s="170">
        <v>6360.12</v>
      </c>
      <c r="E60" s="170">
        <v>6238.78</v>
      </c>
      <c r="F60" s="170">
        <v>6344.78</v>
      </c>
      <c r="G60" s="171" t="s">
        <v>238</v>
      </c>
      <c r="H60" s="172">
        <f t="shared" si="1"/>
        <v>0.01640868513</v>
      </c>
      <c r="I60" s="172"/>
      <c r="J60" s="172"/>
      <c r="K60" s="188"/>
      <c r="L60" s="140"/>
      <c r="M60" s="140"/>
      <c r="N60" s="176">
        <f>IFERROR(__xludf.DUMMYFUNCTION("""COMPUTED_VALUE"""),45463.64583333333)</f>
        <v>45463.64583</v>
      </c>
      <c r="O60" s="177">
        <f>IFERROR(__xludf.DUMMYFUNCTION("""COMPUTED_VALUE"""),1154.05)</f>
        <v>1154.05</v>
      </c>
      <c r="P60" s="177">
        <f>IFERROR(__xludf.DUMMYFUNCTION("""COMPUTED_VALUE"""),1160.0)</f>
        <v>1160</v>
      </c>
      <c r="Q60" s="177">
        <f>IFERROR(__xludf.DUMMYFUNCTION("""COMPUTED_VALUE"""),1135.5)</f>
        <v>1135.5</v>
      </c>
      <c r="R60" s="177">
        <f>IFERROR(__xludf.DUMMYFUNCTION("""COMPUTED_VALUE"""),1156.8)</f>
        <v>1156.8</v>
      </c>
      <c r="S60" s="177">
        <f>IFERROR(__xludf.DUMMYFUNCTION("""COMPUTED_VALUE"""),1.5475933E7)</f>
        <v>15475933</v>
      </c>
      <c r="T60" s="177">
        <f t="shared" si="2"/>
        <v>0.01073340017</v>
      </c>
      <c r="U60" s="178"/>
      <c r="V60" s="177"/>
      <c r="W60" s="189"/>
      <c r="X60" s="140"/>
      <c r="Y60" s="140"/>
      <c r="Z60" s="176">
        <f>IFERROR(__xludf.DUMMYFUNCTION("""COMPUTED_VALUE"""),45463.64583333333)</f>
        <v>45463.64583</v>
      </c>
      <c r="AA60" s="177">
        <f>IFERROR(__xludf.DUMMYFUNCTION("""COMPUTED_VALUE"""),335.75)</f>
        <v>335.75</v>
      </c>
      <c r="AB60" s="177">
        <f>IFERROR(__xludf.DUMMYFUNCTION("""COMPUTED_VALUE"""),340.0)</f>
        <v>340</v>
      </c>
      <c r="AC60" s="177">
        <f>IFERROR(__xludf.DUMMYFUNCTION("""COMPUTED_VALUE"""),334.0)</f>
        <v>334</v>
      </c>
      <c r="AD60" s="177">
        <f>IFERROR(__xludf.DUMMYFUNCTION("""COMPUTED_VALUE"""),336.3)</f>
        <v>336.3</v>
      </c>
      <c r="AE60" s="177">
        <f>IFERROR(__xludf.DUMMYFUNCTION("""COMPUTED_VALUE"""),2.6757768E7)</f>
        <v>26757768</v>
      </c>
      <c r="AF60" s="177">
        <f t="shared" si="3"/>
        <v>0.00686262577</v>
      </c>
      <c r="AG60" s="177"/>
      <c r="AH60" s="177"/>
      <c r="AI60" s="189"/>
      <c r="AJ60" s="140"/>
      <c r="AK60" s="140"/>
      <c r="AL60" s="176">
        <f>IFERROR(__xludf.DUMMYFUNCTION("""COMPUTED_VALUE"""),45463.64583333333)</f>
        <v>45463.64583</v>
      </c>
      <c r="AM60" s="177">
        <f>IFERROR(__xludf.DUMMYFUNCTION("""COMPUTED_VALUE"""),5311.0)</f>
        <v>5311</v>
      </c>
      <c r="AN60" s="177">
        <f>IFERROR(__xludf.DUMMYFUNCTION("""COMPUTED_VALUE"""),5381.3)</f>
        <v>5381.3</v>
      </c>
      <c r="AO60" s="177">
        <f>IFERROR(__xludf.DUMMYFUNCTION("""COMPUTED_VALUE"""),5156.6)</f>
        <v>5156.6</v>
      </c>
      <c r="AP60" s="177">
        <f>IFERROR(__xludf.DUMMYFUNCTION("""COMPUTED_VALUE"""),5288.6)</f>
        <v>5288.6</v>
      </c>
      <c r="AQ60" s="177">
        <f>IFERROR(__xludf.DUMMYFUNCTION("""COMPUTED_VALUE"""),4867153.0)</f>
        <v>4867153</v>
      </c>
      <c r="AR60" s="177">
        <f t="shared" si="4"/>
        <v>-0.004405438919</v>
      </c>
      <c r="AS60" s="177"/>
      <c r="AT60" s="177"/>
      <c r="AU60" s="189"/>
      <c r="AV60" s="140"/>
      <c r="AW60" s="140"/>
      <c r="AX60" s="176">
        <f>IFERROR(__xludf.DUMMYFUNCTION("""COMPUTED_VALUE"""),45463.64583333333)</f>
        <v>45463.64583</v>
      </c>
      <c r="AY60" s="177">
        <f>IFERROR(__xludf.DUMMYFUNCTION("""COMPUTED_VALUE"""),424.05)</f>
        <v>424.05</v>
      </c>
      <c r="AZ60" s="177">
        <f>IFERROR(__xludf.DUMMYFUNCTION("""COMPUTED_VALUE"""),426.5)</f>
        <v>426.5</v>
      </c>
      <c r="BA60" s="177">
        <f>IFERROR(__xludf.DUMMYFUNCTION("""COMPUTED_VALUE"""),421.5)</f>
        <v>421.5</v>
      </c>
      <c r="BB60" s="177">
        <f>IFERROR(__xludf.DUMMYFUNCTION("""COMPUTED_VALUE"""),423.3)</f>
        <v>423.3</v>
      </c>
      <c r="BC60" s="177">
        <f>IFERROR(__xludf.DUMMYFUNCTION("""COMPUTED_VALUE"""),1.4585806E7)</f>
        <v>14585806</v>
      </c>
      <c r="BD60" s="177">
        <f t="shared" si="5"/>
        <v>-0.0008264951176</v>
      </c>
      <c r="BE60" s="177"/>
      <c r="BF60" s="177"/>
      <c r="BG60" s="189"/>
      <c r="BH60" s="140"/>
      <c r="BI60" s="140"/>
      <c r="BJ60" s="140"/>
      <c r="BK60" s="140"/>
      <c r="BL60" s="140"/>
      <c r="BM60" s="140"/>
      <c r="BN60" s="140"/>
      <c r="BO60" s="140"/>
      <c r="BP60" s="140"/>
      <c r="BQ60" s="140"/>
      <c r="BR60" s="140"/>
      <c r="BS60" s="140"/>
      <c r="BT60" s="140"/>
      <c r="BU60" s="140"/>
      <c r="BV60" s="140"/>
      <c r="BW60" s="140"/>
      <c r="BX60" s="140"/>
      <c r="BY60" s="140"/>
    </row>
    <row r="61" ht="15.75" customHeight="1">
      <c r="A61" s="168"/>
      <c r="B61" s="169">
        <v>45464.0</v>
      </c>
      <c r="C61" s="170">
        <v>6345.52</v>
      </c>
      <c r="D61" s="170">
        <v>6365.12</v>
      </c>
      <c r="E61" s="170">
        <v>6221.52</v>
      </c>
      <c r="F61" s="170">
        <v>6236.12</v>
      </c>
      <c r="G61" s="171" t="s">
        <v>238</v>
      </c>
      <c r="H61" s="172">
        <f t="shared" si="1"/>
        <v>-0.01727423348</v>
      </c>
      <c r="I61" s="172"/>
      <c r="J61" s="172"/>
      <c r="K61" s="188"/>
      <c r="L61" s="140"/>
      <c r="M61" s="140"/>
      <c r="N61" s="176">
        <f>IFERROR(__xludf.DUMMYFUNCTION("""COMPUTED_VALUE"""),45464.64583333333)</f>
        <v>45464.64583</v>
      </c>
      <c r="O61" s="177">
        <f>IFERROR(__xludf.DUMMYFUNCTION("""COMPUTED_VALUE"""),1163.55)</f>
        <v>1163.55</v>
      </c>
      <c r="P61" s="177">
        <f>IFERROR(__xludf.DUMMYFUNCTION("""COMPUTED_VALUE"""),1169.9)</f>
        <v>1169.9</v>
      </c>
      <c r="Q61" s="177">
        <f>IFERROR(__xludf.DUMMYFUNCTION("""COMPUTED_VALUE"""),1150.65)</f>
        <v>1150.65</v>
      </c>
      <c r="R61" s="177">
        <f>IFERROR(__xludf.DUMMYFUNCTION("""COMPUTED_VALUE"""),1158.65)</f>
        <v>1158.65</v>
      </c>
      <c r="S61" s="177">
        <f>IFERROR(__xludf.DUMMYFUNCTION("""COMPUTED_VALUE"""),6.9259425E7)</f>
        <v>69259425</v>
      </c>
      <c r="T61" s="177">
        <f t="shared" si="2"/>
        <v>0.001597961859</v>
      </c>
      <c r="U61" s="178"/>
      <c r="V61" s="177"/>
      <c r="W61" s="189"/>
      <c r="X61" s="140"/>
      <c r="Y61" s="140"/>
      <c r="Z61" s="176">
        <f>IFERROR(__xludf.DUMMYFUNCTION("""COMPUTED_VALUE"""),45464.64583333333)</f>
        <v>45464.64583</v>
      </c>
      <c r="AA61" s="177">
        <f>IFERROR(__xludf.DUMMYFUNCTION("""COMPUTED_VALUE"""),337.75)</f>
        <v>337.75</v>
      </c>
      <c r="AB61" s="177">
        <f>IFERROR(__xludf.DUMMYFUNCTION("""COMPUTED_VALUE"""),339.45)</f>
        <v>339.45</v>
      </c>
      <c r="AC61" s="177">
        <f>IFERROR(__xludf.DUMMYFUNCTION("""COMPUTED_VALUE"""),330.1)</f>
        <v>330.1</v>
      </c>
      <c r="AD61" s="177">
        <f>IFERROR(__xludf.DUMMYFUNCTION("""COMPUTED_VALUE"""),336.45)</f>
        <v>336.45</v>
      </c>
      <c r="AE61" s="177">
        <f>IFERROR(__xludf.DUMMYFUNCTION("""COMPUTED_VALUE"""),3.894098E7)</f>
        <v>38940980</v>
      </c>
      <c r="AF61" s="177">
        <f t="shared" si="3"/>
        <v>0.0004459308881</v>
      </c>
      <c r="AG61" s="177"/>
      <c r="AH61" s="177"/>
      <c r="AI61" s="189"/>
      <c r="AJ61" s="140"/>
      <c r="AK61" s="140"/>
      <c r="AL61" s="176">
        <f>IFERROR(__xludf.DUMMYFUNCTION("""COMPUTED_VALUE"""),45464.64583333333)</f>
        <v>45464.64583</v>
      </c>
      <c r="AM61" s="177">
        <f>IFERROR(__xludf.DUMMYFUNCTION("""COMPUTED_VALUE"""),5298.5)</f>
        <v>5298.5</v>
      </c>
      <c r="AN61" s="177">
        <f>IFERROR(__xludf.DUMMYFUNCTION("""COMPUTED_VALUE"""),5341.5)</f>
        <v>5341.5</v>
      </c>
      <c r="AO61" s="177">
        <f>IFERROR(__xludf.DUMMYFUNCTION("""COMPUTED_VALUE"""),5151.0)</f>
        <v>5151</v>
      </c>
      <c r="AP61" s="177">
        <f>IFERROR(__xludf.DUMMYFUNCTION("""COMPUTED_VALUE"""),5170.55)</f>
        <v>5170.55</v>
      </c>
      <c r="AQ61" s="177">
        <f>IFERROR(__xludf.DUMMYFUNCTION("""COMPUTED_VALUE"""),4063083.0)</f>
        <v>4063083</v>
      </c>
      <c r="AR61" s="177">
        <f t="shared" si="4"/>
        <v>-0.02257449472</v>
      </c>
      <c r="AS61" s="177"/>
      <c r="AT61" s="177"/>
      <c r="AU61" s="189"/>
      <c r="AV61" s="140"/>
      <c r="AW61" s="140"/>
      <c r="AX61" s="176">
        <f>IFERROR(__xludf.DUMMYFUNCTION("""COMPUTED_VALUE"""),45464.64583333333)</f>
        <v>45464.64583</v>
      </c>
      <c r="AY61" s="177">
        <f>IFERROR(__xludf.DUMMYFUNCTION("""COMPUTED_VALUE"""),425.0)</f>
        <v>425</v>
      </c>
      <c r="AZ61" s="177">
        <f>IFERROR(__xludf.DUMMYFUNCTION("""COMPUTED_VALUE"""),425.3)</f>
        <v>425.3</v>
      </c>
      <c r="BA61" s="177">
        <f>IFERROR(__xludf.DUMMYFUNCTION("""COMPUTED_VALUE"""),418.55)</f>
        <v>418.55</v>
      </c>
      <c r="BB61" s="177">
        <f>IFERROR(__xludf.DUMMYFUNCTION("""COMPUTED_VALUE"""),419.6)</f>
        <v>419.6</v>
      </c>
      <c r="BC61" s="177">
        <f>IFERROR(__xludf.DUMMYFUNCTION("""COMPUTED_VALUE"""),2.5205627E7)</f>
        <v>25205627</v>
      </c>
      <c r="BD61" s="177">
        <f t="shared" si="5"/>
        <v>-0.008779271005</v>
      </c>
      <c r="BE61" s="177"/>
      <c r="BF61" s="177"/>
      <c r="BG61" s="189"/>
      <c r="BH61" s="140"/>
      <c r="BI61" s="140"/>
      <c r="BJ61" s="140"/>
      <c r="BK61" s="140"/>
      <c r="BL61" s="140"/>
      <c r="BM61" s="140"/>
      <c r="BN61" s="140"/>
      <c r="BO61" s="140"/>
      <c r="BP61" s="140"/>
      <c r="BQ61" s="140"/>
      <c r="BR61" s="140"/>
      <c r="BS61" s="140"/>
      <c r="BT61" s="140"/>
      <c r="BU61" s="140"/>
      <c r="BV61" s="140"/>
      <c r="BW61" s="140"/>
      <c r="BX61" s="140"/>
      <c r="BY61" s="140"/>
    </row>
    <row r="62" ht="15.75" customHeight="1">
      <c r="A62" s="168"/>
      <c r="B62" s="169">
        <v>45467.0</v>
      </c>
      <c r="C62" s="170">
        <v>6236.78</v>
      </c>
      <c r="D62" s="170">
        <v>6266.12</v>
      </c>
      <c r="E62" s="170">
        <v>6225.12</v>
      </c>
      <c r="F62" s="170">
        <v>6259.12</v>
      </c>
      <c r="G62" s="171" t="s">
        <v>238</v>
      </c>
      <c r="H62" s="172">
        <f t="shared" si="1"/>
        <v>0.003681406036</v>
      </c>
      <c r="I62" s="172"/>
      <c r="J62" s="172"/>
      <c r="K62" s="188"/>
      <c r="L62" s="140"/>
      <c r="M62" s="140"/>
      <c r="N62" s="176">
        <f>IFERROR(__xludf.DUMMYFUNCTION("""COMPUTED_VALUE"""),45467.64583333333)</f>
        <v>45467.64583</v>
      </c>
      <c r="O62" s="177">
        <f>IFERROR(__xludf.DUMMYFUNCTION("""COMPUTED_VALUE"""),1154.65)</f>
        <v>1154.65</v>
      </c>
      <c r="P62" s="177">
        <f>IFERROR(__xludf.DUMMYFUNCTION("""COMPUTED_VALUE"""),1175.65)</f>
        <v>1175.65</v>
      </c>
      <c r="Q62" s="177">
        <f>IFERROR(__xludf.DUMMYFUNCTION("""COMPUTED_VALUE"""),1152.65)</f>
        <v>1152.65</v>
      </c>
      <c r="R62" s="177">
        <f>IFERROR(__xludf.DUMMYFUNCTION("""COMPUTED_VALUE"""),1170.1)</f>
        <v>1170.1</v>
      </c>
      <c r="S62" s="177">
        <f>IFERROR(__xludf.DUMMYFUNCTION("""COMPUTED_VALUE"""),1.2210295E7)</f>
        <v>12210295</v>
      </c>
      <c r="T62" s="177">
        <f t="shared" si="2"/>
        <v>0.009833680961</v>
      </c>
      <c r="U62" s="178"/>
      <c r="V62" s="177"/>
      <c r="W62" s="189"/>
      <c r="X62" s="140"/>
      <c r="Y62" s="140"/>
      <c r="Z62" s="176">
        <f>IFERROR(__xludf.DUMMYFUNCTION("""COMPUTED_VALUE"""),45467.64583333333)</f>
        <v>45467.64583</v>
      </c>
      <c r="AA62" s="177">
        <f>IFERROR(__xludf.DUMMYFUNCTION("""COMPUTED_VALUE"""),338.95)</f>
        <v>338.95</v>
      </c>
      <c r="AB62" s="177">
        <f>IFERROR(__xludf.DUMMYFUNCTION("""COMPUTED_VALUE"""),341.6)</f>
        <v>341.6</v>
      </c>
      <c r="AC62" s="177">
        <f>IFERROR(__xludf.DUMMYFUNCTION("""COMPUTED_VALUE"""),331.25)</f>
        <v>331.25</v>
      </c>
      <c r="AD62" s="177">
        <f>IFERROR(__xludf.DUMMYFUNCTION("""COMPUTED_VALUE"""),339.85)</f>
        <v>339.85</v>
      </c>
      <c r="AE62" s="177">
        <f>IFERROR(__xludf.DUMMYFUNCTION("""COMPUTED_VALUE"""),2.7730484E7)</f>
        <v>27730484</v>
      </c>
      <c r="AF62" s="177">
        <f t="shared" si="3"/>
        <v>0.01005479416</v>
      </c>
      <c r="AG62" s="177"/>
      <c r="AH62" s="177"/>
      <c r="AI62" s="189"/>
      <c r="AJ62" s="140"/>
      <c r="AK62" s="140"/>
      <c r="AL62" s="176">
        <f>IFERROR(__xludf.DUMMYFUNCTION("""COMPUTED_VALUE"""),45467.64583333333)</f>
        <v>45467.64583</v>
      </c>
      <c r="AM62" s="177">
        <f>IFERROR(__xludf.DUMMYFUNCTION("""COMPUTED_VALUE"""),5170.0)</f>
        <v>5170</v>
      </c>
      <c r="AN62" s="177">
        <f>IFERROR(__xludf.DUMMYFUNCTION("""COMPUTED_VALUE"""),5344.4)</f>
        <v>5344.4</v>
      </c>
      <c r="AO62" s="177">
        <f>IFERROR(__xludf.DUMMYFUNCTION("""COMPUTED_VALUE"""),5114.6)</f>
        <v>5114.6</v>
      </c>
      <c r="AP62" s="177">
        <f>IFERROR(__xludf.DUMMYFUNCTION("""COMPUTED_VALUE"""),5325.05)</f>
        <v>5325.05</v>
      </c>
      <c r="AQ62" s="177">
        <f>IFERROR(__xludf.DUMMYFUNCTION("""COMPUTED_VALUE"""),3699083.0)</f>
        <v>3699083</v>
      </c>
      <c r="AR62" s="177">
        <f t="shared" si="4"/>
        <v>0.02944303538</v>
      </c>
      <c r="AS62" s="177"/>
      <c r="AT62" s="177"/>
      <c r="AU62" s="189"/>
      <c r="AV62" s="140"/>
      <c r="AW62" s="140"/>
      <c r="AX62" s="176">
        <f>IFERROR(__xludf.DUMMYFUNCTION("""COMPUTED_VALUE"""),45467.64583333333)</f>
        <v>45467.64583</v>
      </c>
      <c r="AY62" s="177">
        <f>IFERROR(__xludf.DUMMYFUNCTION("""COMPUTED_VALUE"""),420.0)</f>
        <v>420</v>
      </c>
      <c r="AZ62" s="177">
        <f>IFERROR(__xludf.DUMMYFUNCTION("""COMPUTED_VALUE"""),423.95)</f>
        <v>423.95</v>
      </c>
      <c r="BA62" s="177">
        <f>IFERROR(__xludf.DUMMYFUNCTION("""COMPUTED_VALUE"""),420.0)</f>
        <v>420</v>
      </c>
      <c r="BB62" s="177">
        <f>IFERROR(__xludf.DUMMYFUNCTION("""COMPUTED_VALUE"""),423.3)</f>
        <v>423.3</v>
      </c>
      <c r="BC62" s="177">
        <f>IFERROR(__xludf.DUMMYFUNCTION("""COMPUTED_VALUE"""),9362433.0)</f>
        <v>9362433</v>
      </c>
      <c r="BD62" s="177">
        <f t="shared" si="5"/>
        <v>0.008779271005</v>
      </c>
      <c r="BE62" s="177"/>
      <c r="BF62" s="177"/>
      <c r="BG62" s="189"/>
      <c r="BH62" s="140"/>
      <c r="BI62" s="140"/>
      <c r="BJ62" s="140"/>
      <c r="BK62" s="140"/>
      <c r="BL62" s="140"/>
      <c r="BM62" s="140"/>
      <c r="BN62" s="140"/>
      <c r="BO62" s="140"/>
      <c r="BP62" s="140"/>
      <c r="BQ62" s="140"/>
      <c r="BR62" s="140"/>
      <c r="BS62" s="140"/>
      <c r="BT62" s="140"/>
      <c r="BU62" s="140"/>
      <c r="BV62" s="140"/>
      <c r="BW62" s="140"/>
      <c r="BX62" s="140"/>
      <c r="BY62" s="140"/>
    </row>
    <row r="63" ht="15.75" customHeight="1">
      <c r="A63" s="168"/>
      <c r="B63" s="169">
        <v>45468.0</v>
      </c>
      <c r="C63" s="170">
        <v>6264.78</v>
      </c>
      <c r="D63" s="170">
        <v>6270.12</v>
      </c>
      <c r="E63" s="170">
        <v>6211.12</v>
      </c>
      <c r="F63" s="170">
        <v>6218.78</v>
      </c>
      <c r="G63" s="171" t="s">
        <v>238</v>
      </c>
      <c r="H63" s="172">
        <f t="shared" si="1"/>
        <v>-0.006465854117</v>
      </c>
      <c r="I63" s="172"/>
      <c r="J63" s="172"/>
      <c r="K63" s="188"/>
      <c r="L63" s="140"/>
      <c r="M63" s="140"/>
      <c r="N63" s="176">
        <f>IFERROR(__xludf.DUMMYFUNCTION("""COMPUTED_VALUE"""),45468.64583333333)</f>
        <v>45468.64583</v>
      </c>
      <c r="O63" s="177">
        <f>IFERROR(__xludf.DUMMYFUNCTION("""COMPUTED_VALUE"""),1170.25)</f>
        <v>1170.25</v>
      </c>
      <c r="P63" s="177">
        <f>IFERROR(__xludf.DUMMYFUNCTION("""COMPUTED_VALUE"""),1206.0)</f>
        <v>1206</v>
      </c>
      <c r="Q63" s="177">
        <f>IFERROR(__xludf.DUMMYFUNCTION("""COMPUTED_VALUE"""),1167.65)</f>
        <v>1167.65</v>
      </c>
      <c r="R63" s="177">
        <f>IFERROR(__xludf.DUMMYFUNCTION("""COMPUTED_VALUE"""),1197.95)</f>
        <v>1197.95</v>
      </c>
      <c r="S63" s="177">
        <f>IFERROR(__xludf.DUMMYFUNCTION("""COMPUTED_VALUE"""),2.7309845E7)</f>
        <v>27309845</v>
      </c>
      <c r="T63" s="177">
        <f t="shared" si="2"/>
        <v>0.02352254735</v>
      </c>
      <c r="U63" s="178"/>
      <c r="V63" s="177"/>
      <c r="W63" s="189"/>
      <c r="X63" s="140"/>
      <c r="Y63" s="140"/>
      <c r="Z63" s="176">
        <f>IFERROR(__xludf.DUMMYFUNCTION("""COMPUTED_VALUE"""),45468.64583333333)</f>
        <v>45468.64583</v>
      </c>
      <c r="AA63" s="177">
        <f>IFERROR(__xludf.DUMMYFUNCTION("""COMPUTED_VALUE"""),342.95)</f>
        <v>342.95</v>
      </c>
      <c r="AB63" s="177">
        <f>IFERROR(__xludf.DUMMYFUNCTION("""COMPUTED_VALUE"""),344.95)</f>
        <v>344.95</v>
      </c>
      <c r="AC63" s="177">
        <f>IFERROR(__xludf.DUMMYFUNCTION("""COMPUTED_VALUE"""),341.0)</f>
        <v>341</v>
      </c>
      <c r="AD63" s="177">
        <f>IFERROR(__xludf.DUMMYFUNCTION("""COMPUTED_VALUE"""),344.2)</f>
        <v>344.2</v>
      </c>
      <c r="AE63" s="177">
        <f>IFERROR(__xludf.DUMMYFUNCTION("""COMPUTED_VALUE"""),2.0205939E7)</f>
        <v>20205939</v>
      </c>
      <c r="AF63" s="177">
        <f t="shared" si="3"/>
        <v>0.01271853998</v>
      </c>
      <c r="AG63" s="177"/>
      <c r="AH63" s="177"/>
      <c r="AI63" s="189"/>
      <c r="AJ63" s="140"/>
      <c r="AK63" s="140"/>
      <c r="AL63" s="176">
        <f>IFERROR(__xludf.DUMMYFUNCTION("""COMPUTED_VALUE"""),45468.64583333333)</f>
        <v>45468.64583</v>
      </c>
      <c r="AM63" s="177">
        <f>IFERROR(__xludf.DUMMYFUNCTION("""COMPUTED_VALUE"""),5375.0)</f>
        <v>5375</v>
      </c>
      <c r="AN63" s="177">
        <f>IFERROR(__xludf.DUMMYFUNCTION("""COMPUTED_VALUE"""),5455.0)</f>
        <v>5455</v>
      </c>
      <c r="AO63" s="177">
        <f>IFERROR(__xludf.DUMMYFUNCTION("""COMPUTED_VALUE"""),5330.0)</f>
        <v>5330</v>
      </c>
      <c r="AP63" s="177">
        <f>IFERROR(__xludf.DUMMYFUNCTION("""COMPUTED_VALUE"""),5371.65)</f>
        <v>5371.65</v>
      </c>
      <c r="AQ63" s="177">
        <f>IFERROR(__xludf.DUMMYFUNCTION("""COMPUTED_VALUE"""),3493916.0)</f>
        <v>3493916</v>
      </c>
      <c r="AR63" s="177">
        <f t="shared" si="4"/>
        <v>0.008713022672</v>
      </c>
      <c r="AS63" s="177"/>
      <c r="AT63" s="177"/>
      <c r="AU63" s="189"/>
      <c r="AV63" s="140"/>
      <c r="AW63" s="140"/>
      <c r="AX63" s="176">
        <f>IFERROR(__xludf.DUMMYFUNCTION("""COMPUTED_VALUE"""),45468.64583333333)</f>
        <v>45468.64583</v>
      </c>
      <c r="AY63" s="177">
        <f>IFERROR(__xludf.DUMMYFUNCTION("""COMPUTED_VALUE"""),423.0)</f>
        <v>423</v>
      </c>
      <c r="AZ63" s="177">
        <f>IFERROR(__xludf.DUMMYFUNCTION("""COMPUTED_VALUE"""),424.0)</f>
        <v>424</v>
      </c>
      <c r="BA63" s="177">
        <f>IFERROR(__xludf.DUMMYFUNCTION("""COMPUTED_VALUE"""),419.75)</f>
        <v>419.75</v>
      </c>
      <c r="BB63" s="177">
        <f>IFERROR(__xludf.DUMMYFUNCTION("""COMPUTED_VALUE"""),423.3)</f>
        <v>423.3</v>
      </c>
      <c r="BC63" s="177">
        <f>IFERROR(__xludf.DUMMYFUNCTION("""COMPUTED_VALUE"""),1.0260449E7)</f>
        <v>10260449</v>
      </c>
      <c r="BD63" s="177">
        <f t="shared" si="5"/>
        <v>0</v>
      </c>
      <c r="BE63" s="177"/>
      <c r="BF63" s="177"/>
      <c r="BG63" s="189"/>
      <c r="BH63" s="140"/>
      <c r="BI63" s="140"/>
      <c r="BJ63" s="140"/>
      <c r="BK63" s="140"/>
      <c r="BL63" s="140"/>
      <c r="BM63" s="140"/>
      <c r="BN63" s="140"/>
      <c r="BO63" s="140"/>
      <c r="BP63" s="140"/>
      <c r="BQ63" s="140"/>
      <c r="BR63" s="140"/>
      <c r="BS63" s="140"/>
      <c r="BT63" s="140"/>
      <c r="BU63" s="140"/>
      <c r="BV63" s="140"/>
      <c r="BW63" s="140"/>
      <c r="BX63" s="140"/>
      <c r="BY63" s="140"/>
    </row>
    <row r="64" ht="15.75" customHeight="1">
      <c r="A64" s="168"/>
      <c r="B64" s="169">
        <v>45469.0</v>
      </c>
      <c r="C64" s="170">
        <v>6221.52</v>
      </c>
      <c r="D64" s="170">
        <v>6231.52</v>
      </c>
      <c r="E64" s="170">
        <v>6161.12</v>
      </c>
      <c r="F64" s="170">
        <v>6168.78</v>
      </c>
      <c r="G64" s="171" t="s">
        <v>238</v>
      </c>
      <c r="H64" s="172">
        <f t="shared" si="1"/>
        <v>-0.008072658624</v>
      </c>
      <c r="I64" s="172"/>
      <c r="J64" s="172"/>
      <c r="K64" s="188"/>
      <c r="L64" s="140"/>
      <c r="M64" s="140"/>
      <c r="N64" s="176">
        <f>IFERROR(__xludf.DUMMYFUNCTION("""COMPUTED_VALUE"""),45469.64583333333)</f>
        <v>45469.64583</v>
      </c>
      <c r="O64" s="177">
        <f>IFERROR(__xludf.DUMMYFUNCTION("""COMPUTED_VALUE"""),1202.0)</f>
        <v>1202</v>
      </c>
      <c r="P64" s="177">
        <f>IFERROR(__xludf.DUMMYFUNCTION("""COMPUTED_VALUE"""),1222.85)</f>
        <v>1222.85</v>
      </c>
      <c r="Q64" s="177">
        <f>IFERROR(__xludf.DUMMYFUNCTION("""COMPUTED_VALUE"""),1193.85)</f>
        <v>1193.85</v>
      </c>
      <c r="R64" s="177">
        <f>IFERROR(__xludf.DUMMYFUNCTION("""COMPUTED_VALUE"""),1218.0)</f>
        <v>1218</v>
      </c>
      <c r="S64" s="177">
        <f>IFERROR(__xludf.DUMMYFUNCTION("""COMPUTED_VALUE"""),2.5403461E7)</f>
        <v>25403461</v>
      </c>
      <c r="T64" s="177">
        <f t="shared" si="2"/>
        <v>0.01659840669</v>
      </c>
      <c r="U64" s="178"/>
      <c r="V64" s="177"/>
      <c r="W64" s="189"/>
      <c r="X64" s="140"/>
      <c r="Y64" s="140"/>
      <c r="Z64" s="176">
        <f>IFERROR(__xludf.DUMMYFUNCTION("""COMPUTED_VALUE"""),45469.64583333333)</f>
        <v>45469.64583</v>
      </c>
      <c r="AA64" s="177">
        <f>IFERROR(__xludf.DUMMYFUNCTION("""COMPUTED_VALUE"""),346.0)</f>
        <v>346</v>
      </c>
      <c r="AB64" s="177">
        <f>IFERROR(__xludf.DUMMYFUNCTION("""COMPUTED_VALUE"""),358.0)</f>
        <v>358</v>
      </c>
      <c r="AC64" s="177">
        <f>IFERROR(__xludf.DUMMYFUNCTION("""COMPUTED_VALUE"""),340.85)</f>
        <v>340.85</v>
      </c>
      <c r="AD64" s="177">
        <f>IFERROR(__xludf.DUMMYFUNCTION("""COMPUTED_VALUE"""),356.1)</f>
        <v>356.1</v>
      </c>
      <c r="AE64" s="177">
        <f>IFERROR(__xludf.DUMMYFUNCTION("""COMPUTED_VALUE"""),4.137898E7)</f>
        <v>41378980</v>
      </c>
      <c r="AF64" s="177">
        <f t="shared" si="3"/>
        <v>0.03398870651</v>
      </c>
      <c r="AG64" s="177"/>
      <c r="AH64" s="177"/>
      <c r="AI64" s="189"/>
      <c r="AJ64" s="140"/>
      <c r="AK64" s="140"/>
      <c r="AL64" s="176">
        <f>IFERROR(__xludf.DUMMYFUNCTION("""COMPUTED_VALUE"""),45469.64583333333)</f>
        <v>45469.64583</v>
      </c>
      <c r="AM64" s="177">
        <f>IFERROR(__xludf.DUMMYFUNCTION("""COMPUTED_VALUE"""),5367.55)</f>
        <v>5367.55</v>
      </c>
      <c r="AN64" s="177">
        <f>IFERROR(__xludf.DUMMYFUNCTION("""COMPUTED_VALUE"""),5410.0)</f>
        <v>5410</v>
      </c>
      <c r="AO64" s="177">
        <f>IFERROR(__xludf.DUMMYFUNCTION("""COMPUTED_VALUE"""),5274.6)</f>
        <v>5274.6</v>
      </c>
      <c r="AP64" s="177">
        <f>IFERROR(__xludf.DUMMYFUNCTION("""COMPUTED_VALUE"""),5285.45)</f>
        <v>5285.45</v>
      </c>
      <c r="AQ64" s="177">
        <f>IFERROR(__xludf.DUMMYFUNCTION("""COMPUTED_VALUE"""),2351908.0)</f>
        <v>2351908</v>
      </c>
      <c r="AR64" s="177">
        <f t="shared" si="4"/>
        <v>-0.01617736156</v>
      </c>
      <c r="AS64" s="177"/>
      <c r="AT64" s="177"/>
      <c r="AU64" s="189"/>
      <c r="AV64" s="140"/>
      <c r="AW64" s="140"/>
      <c r="AX64" s="176">
        <f>IFERROR(__xludf.DUMMYFUNCTION("""COMPUTED_VALUE"""),45469.64583333333)</f>
        <v>45469.64583</v>
      </c>
      <c r="AY64" s="177">
        <f>IFERROR(__xludf.DUMMYFUNCTION("""COMPUTED_VALUE"""),423.0)</f>
        <v>423</v>
      </c>
      <c r="AZ64" s="177">
        <f>IFERROR(__xludf.DUMMYFUNCTION("""COMPUTED_VALUE"""),426.4)</f>
        <v>426.4</v>
      </c>
      <c r="BA64" s="177">
        <f>IFERROR(__xludf.DUMMYFUNCTION("""COMPUTED_VALUE"""),422.05)</f>
        <v>422.05</v>
      </c>
      <c r="BB64" s="177">
        <f>IFERROR(__xludf.DUMMYFUNCTION("""COMPUTED_VALUE"""),423.95)</f>
        <v>423.95</v>
      </c>
      <c r="BC64" s="177">
        <f>IFERROR(__xludf.DUMMYFUNCTION("""COMPUTED_VALUE"""),1.1084805E7)</f>
        <v>11084805</v>
      </c>
      <c r="BD64" s="177">
        <f t="shared" si="5"/>
        <v>0.001534376223</v>
      </c>
      <c r="BE64" s="177"/>
      <c r="BF64" s="177"/>
      <c r="BG64" s="189"/>
      <c r="BH64" s="140"/>
      <c r="BI64" s="140"/>
      <c r="BJ64" s="140"/>
      <c r="BK64" s="140"/>
      <c r="BL64" s="140"/>
      <c r="BM64" s="140"/>
      <c r="BN64" s="140"/>
      <c r="BO64" s="140"/>
      <c r="BP64" s="140"/>
      <c r="BQ64" s="140"/>
      <c r="BR64" s="140"/>
      <c r="BS64" s="140"/>
      <c r="BT64" s="140"/>
      <c r="BU64" s="140"/>
      <c r="BV64" s="140"/>
      <c r="BW64" s="140"/>
      <c r="BX64" s="140"/>
      <c r="BY64" s="140"/>
    </row>
    <row r="65" ht="15.75" customHeight="1">
      <c r="A65" s="168"/>
      <c r="B65" s="169">
        <v>45470.0</v>
      </c>
      <c r="C65" s="170">
        <v>6173.52</v>
      </c>
      <c r="D65" s="170">
        <v>6254.18</v>
      </c>
      <c r="E65" s="170">
        <v>6165.12</v>
      </c>
      <c r="F65" s="170">
        <v>6243.71</v>
      </c>
      <c r="G65" s="171" t="s">
        <v>238</v>
      </c>
      <c r="H65" s="172">
        <f t="shared" si="1"/>
        <v>0.01207346958</v>
      </c>
      <c r="I65" s="172"/>
      <c r="J65" s="172"/>
      <c r="K65" s="188"/>
      <c r="L65" s="140"/>
      <c r="M65" s="140"/>
      <c r="N65" s="176">
        <f>IFERROR(__xludf.DUMMYFUNCTION("""COMPUTED_VALUE"""),45470.64583333333)</f>
        <v>45470.64583</v>
      </c>
      <c r="O65" s="177">
        <f>IFERROR(__xludf.DUMMYFUNCTION("""COMPUTED_VALUE"""),1228.35)</f>
        <v>1228.35</v>
      </c>
      <c r="P65" s="177">
        <f>IFERROR(__xludf.DUMMYFUNCTION("""COMPUTED_VALUE"""),1235.0)</f>
        <v>1235</v>
      </c>
      <c r="Q65" s="177">
        <f>IFERROR(__xludf.DUMMYFUNCTION("""COMPUTED_VALUE"""),1209.1)</f>
        <v>1209.1</v>
      </c>
      <c r="R65" s="177">
        <f>IFERROR(__xludf.DUMMYFUNCTION("""COMPUTED_VALUE"""),1219.9)</f>
        <v>1219.9</v>
      </c>
      <c r="S65" s="177">
        <f>IFERROR(__xludf.DUMMYFUNCTION("""COMPUTED_VALUE"""),2.0516632E7)</f>
        <v>20516632</v>
      </c>
      <c r="T65" s="177">
        <f t="shared" si="2"/>
        <v>0.001558718885</v>
      </c>
      <c r="U65" s="178"/>
      <c r="V65" s="177"/>
      <c r="W65" s="189"/>
      <c r="X65" s="140"/>
      <c r="Y65" s="140"/>
      <c r="Z65" s="176">
        <f>IFERROR(__xludf.DUMMYFUNCTION("""COMPUTED_VALUE"""),45470.64583333333)</f>
        <v>45470.64583</v>
      </c>
      <c r="AA65" s="177">
        <f>IFERROR(__xludf.DUMMYFUNCTION("""COMPUTED_VALUE"""),363.0)</f>
        <v>363</v>
      </c>
      <c r="AB65" s="177">
        <f>IFERROR(__xludf.DUMMYFUNCTION("""COMPUTED_VALUE"""),369.2)</f>
        <v>369.2</v>
      </c>
      <c r="AC65" s="177">
        <f>IFERROR(__xludf.DUMMYFUNCTION("""COMPUTED_VALUE"""),351.3)</f>
        <v>351.3</v>
      </c>
      <c r="AD65" s="177">
        <f>IFERROR(__xludf.DUMMYFUNCTION("""COMPUTED_VALUE"""),365.15)</f>
        <v>365.15</v>
      </c>
      <c r="AE65" s="177">
        <f>IFERROR(__xludf.DUMMYFUNCTION("""COMPUTED_VALUE"""),7.024177E7)</f>
        <v>70241770</v>
      </c>
      <c r="AF65" s="177">
        <f t="shared" si="3"/>
        <v>0.02509663778</v>
      </c>
      <c r="AG65" s="177"/>
      <c r="AH65" s="177"/>
      <c r="AI65" s="189"/>
      <c r="AJ65" s="140"/>
      <c r="AK65" s="140"/>
      <c r="AL65" s="176">
        <f>IFERROR(__xludf.DUMMYFUNCTION("""COMPUTED_VALUE"""),45470.64583333333)</f>
        <v>45470.64583</v>
      </c>
      <c r="AM65" s="177">
        <f>IFERROR(__xludf.DUMMYFUNCTION("""COMPUTED_VALUE"""),5265.0)</f>
        <v>5265</v>
      </c>
      <c r="AN65" s="177">
        <f>IFERROR(__xludf.DUMMYFUNCTION("""COMPUTED_VALUE"""),5309.45)</f>
        <v>5309.45</v>
      </c>
      <c r="AO65" s="177">
        <f>IFERROR(__xludf.DUMMYFUNCTION("""COMPUTED_VALUE"""),5213.0)</f>
        <v>5213</v>
      </c>
      <c r="AP65" s="177">
        <f>IFERROR(__xludf.DUMMYFUNCTION("""COMPUTED_VALUE"""),5281.5)</f>
        <v>5281.5</v>
      </c>
      <c r="AQ65" s="177">
        <f>IFERROR(__xludf.DUMMYFUNCTION("""COMPUTED_VALUE"""),2864946.0)</f>
        <v>2864946</v>
      </c>
      <c r="AR65" s="177">
        <f t="shared" si="4"/>
        <v>-0.0007476140578</v>
      </c>
      <c r="AS65" s="177"/>
      <c r="AT65" s="177"/>
      <c r="AU65" s="189"/>
      <c r="AV65" s="140"/>
      <c r="AW65" s="140"/>
      <c r="AX65" s="176">
        <f>IFERROR(__xludf.DUMMYFUNCTION("""COMPUTED_VALUE"""),45470.64583333333)</f>
        <v>45470.64583</v>
      </c>
      <c r="AY65" s="177">
        <f>IFERROR(__xludf.DUMMYFUNCTION("""COMPUTED_VALUE"""),423.95)</f>
        <v>423.95</v>
      </c>
      <c r="AZ65" s="177">
        <f>IFERROR(__xludf.DUMMYFUNCTION("""COMPUTED_VALUE"""),427.25)</f>
        <v>427.25</v>
      </c>
      <c r="BA65" s="177">
        <f>IFERROR(__xludf.DUMMYFUNCTION("""COMPUTED_VALUE"""),421.1)</f>
        <v>421.1</v>
      </c>
      <c r="BB65" s="177">
        <f>IFERROR(__xludf.DUMMYFUNCTION("""COMPUTED_VALUE"""),425.6)</f>
        <v>425.6</v>
      </c>
      <c r="BC65" s="177">
        <f>IFERROR(__xludf.DUMMYFUNCTION("""COMPUTED_VALUE"""),3.7012589E7)</f>
        <v>37012589</v>
      </c>
      <c r="BD65" s="177">
        <f t="shared" si="5"/>
        <v>0.003884414277</v>
      </c>
      <c r="BE65" s="177"/>
      <c r="BF65" s="177"/>
      <c r="BG65" s="189"/>
      <c r="BH65" s="140"/>
      <c r="BI65" s="140"/>
      <c r="BJ65" s="140"/>
      <c r="BK65" s="140"/>
      <c r="BL65" s="140"/>
      <c r="BM65" s="140"/>
      <c r="BN65" s="140"/>
      <c r="BO65" s="140"/>
      <c r="BP65" s="140"/>
      <c r="BQ65" s="140"/>
      <c r="BR65" s="140"/>
      <c r="BS65" s="140"/>
      <c r="BT65" s="140"/>
      <c r="BU65" s="140"/>
      <c r="BV65" s="140"/>
      <c r="BW65" s="140"/>
      <c r="BX65" s="140"/>
      <c r="BY65" s="140"/>
    </row>
    <row r="66" ht="15.75" customHeight="1">
      <c r="A66" s="168"/>
      <c r="B66" s="169">
        <v>45471.0</v>
      </c>
      <c r="C66" s="170">
        <v>6245.52</v>
      </c>
      <c r="D66" s="170">
        <v>6269.52</v>
      </c>
      <c r="E66" s="170">
        <v>6220.78</v>
      </c>
      <c r="F66" s="170">
        <v>6234.78</v>
      </c>
      <c r="G66" s="171" t="s">
        <v>238</v>
      </c>
      <c r="H66" s="172">
        <f t="shared" si="1"/>
        <v>-0.001431263162</v>
      </c>
      <c r="I66" s="172"/>
      <c r="J66" s="172"/>
      <c r="K66" s="188"/>
      <c r="L66" s="140"/>
      <c r="M66" s="140"/>
      <c r="N66" s="176">
        <f>IFERROR(__xludf.DUMMYFUNCTION("""COMPUTED_VALUE"""),45471.64583333333)</f>
        <v>45471.64583</v>
      </c>
      <c r="O66" s="177">
        <f>IFERROR(__xludf.DUMMYFUNCTION("""COMPUTED_VALUE"""),1227.0)</f>
        <v>1227</v>
      </c>
      <c r="P66" s="177">
        <f>IFERROR(__xludf.DUMMYFUNCTION("""COMPUTED_VALUE"""),1227.0)</f>
        <v>1227</v>
      </c>
      <c r="Q66" s="177">
        <f>IFERROR(__xludf.DUMMYFUNCTION("""COMPUTED_VALUE"""),1196.35)</f>
        <v>1196.35</v>
      </c>
      <c r="R66" s="177">
        <f>IFERROR(__xludf.DUMMYFUNCTION("""COMPUTED_VALUE"""),1199.6)</f>
        <v>1199.6</v>
      </c>
      <c r="S66" s="177">
        <f>IFERROR(__xludf.DUMMYFUNCTION("""COMPUTED_VALUE"""),1.2507092E7)</f>
        <v>12507092</v>
      </c>
      <c r="T66" s="177">
        <f t="shared" si="2"/>
        <v>-0.01678072028</v>
      </c>
      <c r="U66" s="178"/>
      <c r="V66" s="177"/>
      <c r="W66" s="189"/>
      <c r="X66" s="140"/>
      <c r="Y66" s="140"/>
      <c r="Z66" s="176">
        <f>IFERROR(__xludf.DUMMYFUNCTION("""COMPUTED_VALUE"""),45471.64583333333)</f>
        <v>45471.64583</v>
      </c>
      <c r="AA66" s="177">
        <f>IFERROR(__xludf.DUMMYFUNCTION("""COMPUTED_VALUE"""),374.0)</f>
        <v>374</v>
      </c>
      <c r="AB66" s="177">
        <f>IFERROR(__xludf.DUMMYFUNCTION("""COMPUTED_VALUE"""),384.8)</f>
        <v>384.8</v>
      </c>
      <c r="AC66" s="177">
        <f>IFERROR(__xludf.DUMMYFUNCTION("""COMPUTED_VALUE"""),370.0)</f>
        <v>370</v>
      </c>
      <c r="AD66" s="177">
        <f>IFERROR(__xludf.DUMMYFUNCTION("""COMPUTED_VALUE"""),375.3)</f>
        <v>375.3</v>
      </c>
      <c r="AE66" s="177">
        <f>IFERROR(__xludf.DUMMYFUNCTION("""COMPUTED_VALUE"""),7.5125583E7)</f>
        <v>75125583</v>
      </c>
      <c r="AF66" s="177">
        <f t="shared" si="3"/>
        <v>0.02741747807</v>
      </c>
      <c r="AG66" s="177"/>
      <c r="AH66" s="177"/>
      <c r="AI66" s="189"/>
      <c r="AJ66" s="140"/>
      <c r="AK66" s="140"/>
      <c r="AL66" s="176">
        <f>IFERROR(__xludf.DUMMYFUNCTION("""COMPUTED_VALUE"""),45471.64583333333)</f>
        <v>45471.64583</v>
      </c>
      <c r="AM66" s="177">
        <f>IFERROR(__xludf.DUMMYFUNCTION("""COMPUTED_VALUE"""),5299.0)</f>
        <v>5299</v>
      </c>
      <c r="AN66" s="177">
        <f>IFERROR(__xludf.DUMMYFUNCTION("""COMPUTED_VALUE"""),5344.0)</f>
        <v>5344</v>
      </c>
      <c r="AO66" s="177">
        <f>IFERROR(__xludf.DUMMYFUNCTION("""COMPUTED_VALUE"""),5250.05)</f>
        <v>5250.05</v>
      </c>
      <c r="AP66" s="177">
        <f>IFERROR(__xludf.DUMMYFUNCTION("""COMPUTED_VALUE"""),5264.25)</f>
        <v>5264.25</v>
      </c>
      <c r="AQ66" s="177">
        <f>IFERROR(__xludf.DUMMYFUNCTION("""COMPUTED_VALUE"""),1565629.0)</f>
        <v>1565629</v>
      </c>
      <c r="AR66" s="177">
        <f t="shared" si="4"/>
        <v>-0.003271462985</v>
      </c>
      <c r="AS66" s="177"/>
      <c r="AT66" s="177"/>
      <c r="AU66" s="189"/>
      <c r="AV66" s="140"/>
      <c r="AW66" s="140"/>
      <c r="AX66" s="176">
        <f>IFERROR(__xludf.DUMMYFUNCTION("""COMPUTED_VALUE"""),45471.64583333333)</f>
        <v>45471.64583</v>
      </c>
      <c r="AY66" s="177">
        <f>IFERROR(__xludf.DUMMYFUNCTION("""COMPUTED_VALUE"""),425.5)</f>
        <v>425.5</v>
      </c>
      <c r="AZ66" s="177">
        <f>IFERROR(__xludf.DUMMYFUNCTION("""COMPUTED_VALUE"""),428.0)</f>
        <v>428</v>
      </c>
      <c r="BA66" s="177">
        <f>IFERROR(__xludf.DUMMYFUNCTION("""COMPUTED_VALUE"""),423.5)</f>
        <v>423.5</v>
      </c>
      <c r="BB66" s="177">
        <f>IFERROR(__xludf.DUMMYFUNCTION("""COMPUTED_VALUE"""),424.9)</f>
        <v>424.9</v>
      </c>
      <c r="BC66" s="177">
        <f>IFERROR(__xludf.DUMMYFUNCTION("""COMPUTED_VALUE"""),1.7866326E7)</f>
        <v>17866326</v>
      </c>
      <c r="BD66" s="177">
        <f t="shared" si="5"/>
        <v>-0.001646090907</v>
      </c>
      <c r="BE66" s="177"/>
      <c r="BF66" s="177"/>
      <c r="BG66" s="189"/>
      <c r="BH66" s="140"/>
      <c r="BI66" s="140"/>
      <c r="BJ66" s="140"/>
      <c r="BK66" s="140"/>
      <c r="BL66" s="140"/>
      <c r="BM66" s="140"/>
      <c r="BN66" s="140"/>
      <c r="BO66" s="140"/>
      <c r="BP66" s="140"/>
      <c r="BQ66" s="140"/>
      <c r="BR66" s="140"/>
      <c r="BS66" s="140"/>
      <c r="BT66" s="140"/>
      <c r="BU66" s="140"/>
      <c r="BV66" s="140"/>
      <c r="BW66" s="140"/>
      <c r="BX66" s="140"/>
      <c r="BY66" s="140"/>
    </row>
    <row r="67" ht="15.75" customHeight="1">
      <c r="A67" s="168"/>
      <c r="B67" s="169">
        <v>45474.0</v>
      </c>
      <c r="C67" s="170">
        <v>6234.78</v>
      </c>
      <c r="D67" s="170">
        <v>6274.12</v>
      </c>
      <c r="E67" s="170">
        <v>6218.78</v>
      </c>
      <c r="F67" s="170">
        <v>6253.71</v>
      </c>
      <c r="G67" s="171" t="s">
        <v>238</v>
      </c>
      <c r="H67" s="172">
        <f t="shared" si="1"/>
        <v>0.003031593811</v>
      </c>
      <c r="I67" s="172"/>
      <c r="J67" s="172"/>
      <c r="K67" s="188"/>
      <c r="L67" s="140"/>
      <c r="M67" s="140"/>
      <c r="N67" s="176">
        <f>IFERROR(__xludf.DUMMYFUNCTION("""COMPUTED_VALUE"""),45474.64583333333)</f>
        <v>45474.64583</v>
      </c>
      <c r="O67" s="177">
        <f>IFERROR(__xludf.DUMMYFUNCTION("""COMPUTED_VALUE"""),1199.6)</f>
        <v>1199.6</v>
      </c>
      <c r="P67" s="177">
        <f>IFERROR(__xludf.DUMMYFUNCTION("""COMPUTED_VALUE"""),1215.35)</f>
        <v>1215.35</v>
      </c>
      <c r="Q67" s="177">
        <f>IFERROR(__xludf.DUMMYFUNCTION("""COMPUTED_VALUE"""),1192.05)</f>
        <v>1192.05</v>
      </c>
      <c r="R67" s="177">
        <f>IFERROR(__xludf.DUMMYFUNCTION("""COMPUTED_VALUE"""),1211.85)</f>
        <v>1211.85</v>
      </c>
      <c r="S67" s="177">
        <f>IFERROR(__xludf.DUMMYFUNCTION("""COMPUTED_VALUE"""),8636894.0)</f>
        <v>8636894</v>
      </c>
      <c r="T67" s="177">
        <f t="shared" si="2"/>
        <v>0.01015994972</v>
      </c>
      <c r="U67" s="178"/>
      <c r="V67" s="177"/>
      <c r="W67" s="189"/>
      <c r="X67" s="140"/>
      <c r="Y67" s="140"/>
      <c r="Z67" s="176">
        <f>IFERROR(__xludf.DUMMYFUNCTION("""COMPUTED_VALUE"""),45474.64583333333)</f>
        <v>45474.64583</v>
      </c>
      <c r="AA67" s="177">
        <f>IFERROR(__xludf.DUMMYFUNCTION("""COMPUTED_VALUE"""),377.0)</f>
        <v>377</v>
      </c>
      <c r="AB67" s="177">
        <f>IFERROR(__xludf.DUMMYFUNCTION("""COMPUTED_VALUE"""),391.0)</f>
        <v>391</v>
      </c>
      <c r="AC67" s="177">
        <f>IFERROR(__xludf.DUMMYFUNCTION("""COMPUTED_VALUE"""),372.75)</f>
        <v>372.75</v>
      </c>
      <c r="AD67" s="177">
        <f>IFERROR(__xludf.DUMMYFUNCTION("""COMPUTED_VALUE"""),389.65)</f>
        <v>389.65</v>
      </c>
      <c r="AE67" s="177">
        <f>IFERROR(__xludf.DUMMYFUNCTION("""COMPUTED_VALUE"""),3.2581017E7)</f>
        <v>32581017</v>
      </c>
      <c r="AF67" s="177">
        <f t="shared" si="3"/>
        <v>0.03752319415</v>
      </c>
      <c r="AG67" s="177"/>
      <c r="AH67" s="177"/>
      <c r="AI67" s="189"/>
      <c r="AJ67" s="140"/>
      <c r="AK67" s="140"/>
      <c r="AL67" s="176">
        <f>IFERROR(__xludf.DUMMYFUNCTION("""COMPUTED_VALUE"""),45474.64583333333)</f>
        <v>45474.64583</v>
      </c>
      <c r="AM67" s="177">
        <f>IFERROR(__xludf.DUMMYFUNCTION("""COMPUTED_VALUE"""),5270.0)</f>
        <v>5270</v>
      </c>
      <c r="AN67" s="177">
        <f>IFERROR(__xludf.DUMMYFUNCTION("""COMPUTED_VALUE"""),5409.0)</f>
        <v>5409</v>
      </c>
      <c r="AO67" s="177">
        <f>IFERROR(__xludf.DUMMYFUNCTION("""COMPUTED_VALUE"""),5253.3)</f>
        <v>5253.3</v>
      </c>
      <c r="AP67" s="177">
        <f>IFERROR(__xludf.DUMMYFUNCTION("""COMPUTED_VALUE"""),5394.05)</f>
        <v>5394.05</v>
      </c>
      <c r="AQ67" s="177">
        <f>IFERROR(__xludf.DUMMYFUNCTION("""COMPUTED_VALUE"""),2307080.0)</f>
        <v>2307080</v>
      </c>
      <c r="AR67" s="177">
        <f t="shared" si="4"/>
        <v>0.02435780894</v>
      </c>
      <c r="AS67" s="177"/>
      <c r="AT67" s="177"/>
      <c r="AU67" s="189"/>
      <c r="AV67" s="140"/>
      <c r="AW67" s="140"/>
      <c r="AX67" s="176">
        <f>IFERROR(__xludf.DUMMYFUNCTION("""COMPUTED_VALUE"""),45474.64583333333)</f>
        <v>45474.64583</v>
      </c>
      <c r="AY67" s="177">
        <f>IFERROR(__xludf.DUMMYFUNCTION("""COMPUTED_VALUE"""),426.3)</f>
        <v>426.3</v>
      </c>
      <c r="AZ67" s="177">
        <f>IFERROR(__xludf.DUMMYFUNCTION("""COMPUTED_VALUE"""),430.25)</f>
        <v>430.25</v>
      </c>
      <c r="BA67" s="177">
        <f>IFERROR(__xludf.DUMMYFUNCTION("""COMPUTED_VALUE"""),424.65)</f>
        <v>424.65</v>
      </c>
      <c r="BB67" s="177">
        <f>IFERROR(__xludf.DUMMYFUNCTION("""COMPUTED_VALUE"""),429.05)</f>
        <v>429.05</v>
      </c>
      <c r="BC67" s="177">
        <f>IFERROR(__xludf.DUMMYFUNCTION("""COMPUTED_VALUE"""),1.2894747E7)</f>
        <v>12894747</v>
      </c>
      <c r="BD67" s="177">
        <f t="shared" si="5"/>
        <v>0.009719615132</v>
      </c>
      <c r="BE67" s="177"/>
      <c r="BF67" s="177"/>
      <c r="BG67" s="189"/>
      <c r="BH67" s="140"/>
      <c r="BI67" s="140"/>
      <c r="BJ67" s="140"/>
      <c r="BK67" s="140"/>
      <c r="BL67" s="140"/>
      <c r="BM67" s="140"/>
      <c r="BN67" s="140"/>
      <c r="BO67" s="140"/>
      <c r="BP67" s="140"/>
      <c r="BQ67" s="140"/>
      <c r="BR67" s="140"/>
      <c r="BS67" s="140"/>
      <c r="BT67" s="140"/>
      <c r="BU67" s="140"/>
      <c r="BV67" s="140"/>
      <c r="BW67" s="140"/>
      <c r="BX67" s="140"/>
      <c r="BY67" s="140"/>
    </row>
    <row r="68" ht="15.75" customHeight="1">
      <c r="A68" s="168"/>
      <c r="B68" s="169">
        <v>45475.0</v>
      </c>
      <c r="C68" s="170">
        <v>6257.12</v>
      </c>
      <c r="D68" s="170">
        <v>6268.78</v>
      </c>
      <c r="E68" s="170">
        <v>6222.78</v>
      </c>
      <c r="F68" s="170">
        <v>6252.52</v>
      </c>
      <c r="G68" s="171" t="s">
        <v>238</v>
      </c>
      <c r="H68" s="172">
        <f t="shared" si="1"/>
        <v>-0.0001903051525</v>
      </c>
      <c r="I68" s="172"/>
      <c r="J68" s="172"/>
      <c r="K68" s="188"/>
      <c r="L68" s="140"/>
      <c r="M68" s="140"/>
      <c r="N68" s="176">
        <f>IFERROR(__xludf.DUMMYFUNCTION("""COMPUTED_VALUE"""),45475.64583333333)</f>
        <v>45475.64583</v>
      </c>
      <c r="O68" s="177">
        <f>IFERROR(__xludf.DUMMYFUNCTION("""COMPUTED_VALUE"""),1217.0)</f>
        <v>1217</v>
      </c>
      <c r="P68" s="177">
        <f>IFERROR(__xludf.DUMMYFUNCTION("""COMPUTED_VALUE"""),1217.0)</f>
        <v>1217</v>
      </c>
      <c r="Q68" s="177">
        <f>IFERROR(__xludf.DUMMYFUNCTION("""COMPUTED_VALUE"""),1185.55)</f>
        <v>1185.55</v>
      </c>
      <c r="R68" s="177">
        <f>IFERROR(__xludf.DUMMYFUNCTION("""COMPUTED_VALUE"""),1190.6)</f>
        <v>1190.6</v>
      </c>
      <c r="S68" s="177">
        <f>IFERROR(__xludf.DUMMYFUNCTION("""COMPUTED_VALUE"""),1.6153925E7)</f>
        <v>16153925</v>
      </c>
      <c r="T68" s="177">
        <f t="shared" si="2"/>
        <v>-0.01769073587</v>
      </c>
      <c r="U68" s="178"/>
      <c r="V68" s="177"/>
      <c r="W68" s="189"/>
      <c r="X68" s="140"/>
      <c r="Y68" s="140"/>
      <c r="Z68" s="176">
        <f>IFERROR(__xludf.DUMMYFUNCTION("""COMPUTED_VALUE"""),45475.64583333333)</f>
        <v>45475.64583</v>
      </c>
      <c r="AA68" s="177">
        <f>IFERROR(__xludf.DUMMYFUNCTION("""COMPUTED_VALUE"""),391.6)</f>
        <v>391.6</v>
      </c>
      <c r="AB68" s="177">
        <f>IFERROR(__xludf.DUMMYFUNCTION("""COMPUTED_VALUE"""),396.5)</f>
        <v>396.5</v>
      </c>
      <c r="AC68" s="177">
        <f>IFERROR(__xludf.DUMMYFUNCTION("""COMPUTED_VALUE"""),379.8)</f>
        <v>379.8</v>
      </c>
      <c r="AD68" s="177">
        <f>IFERROR(__xludf.DUMMYFUNCTION("""COMPUTED_VALUE"""),383.8)</f>
        <v>383.8</v>
      </c>
      <c r="AE68" s="177">
        <f>IFERROR(__xludf.DUMMYFUNCTION("""COMPUTED_VALUE"""),2.7609215E7)</f>
        <v>27609215</v>
      </c>
      <c r="AF68" s="177">
        <f t="shared" si="3"/>
        <v>-0.01512731672</v>
      </c>
      <c r="AG68" s="177"/>
      <c r="AH68" s="177"/>
      <c r="AI68" s="189"/>
      <c r="AJ68" s="140"/>
      <c r="AK68" s="140"/>
      <c r="AL68" s="176">
        <f>IFERROR(__xludf.DUMMYFUNCTION("""COMPUTED_VALUE"""),45475.64583333333)</f>
        <v>45475.64583</v>
      </c>
      <c r="AM68" s="177">
        <f>IFERROR(__xludf.DUMMYFUNCTION("""COMPUTED_VALUE"""),5400.0)</f>
        <v>5400</v>
      </c>
      <c r="AN68" s="177">
        <f>IFERROR(__xludf.DUMMYFUNCTION("""COMPUTED_VALUE"""),5420.0)</f>
        <v>5420</v>
      </c>
      <c r="AO68" s="177">
        <f>IFERROR(__xludf.DUMMYFUNCTION("""COMPUTED_VALUE"""),5300.0)</f>
        <v>5300</v>
      </c>
      <c r="AP68" s="177">
        <f>IFERROR(__xludf.DUMMYFUNCTION("""COMPUTED_VALUE"""),5344.05)</f>
        <v>5344.05</v>
      </c>
      <c r="AQ68" s="177">
        <f>IFERROR(__xludf.DUMMYFUNCTION("""COMPUTED_VALUE"""),1706329.0)</f>
        <v>1706329</v>
      </c>
      <c r="AR68" s="177">
        <f t="shared" si="4"/>
        <v>-0.009312701755</v>
      </c>
      <c r="AS68" s="177"/>
      <c r="AT68" s="177"/>
      <c r="AU68" s="189"/>
      <c r="AV68" s="140"/>
      <c r="AW68" s="140"/>
      <c r="AX68" s="176">
        <f>IFERROR(__xludf.DUMMYFUNCTION("""COMPUTED_VALUE"""),45475.64583333333)</f>
        <v>45475.64583</v>
      </c>
      <c r="AY68" s="177">
        <f>IFERROR(__xludf.DUMMYFUNCTION("""COMPUTED_VALUE"""),430.0)</f>
        <v>430</v>
      </c>
      <c r="AZ68" s="177">
        <f>IFERROR(__xludf.DUMMYFUNCTION("""COMPUTED_VALUE"""),430.65)</f>
        <v>430.65</v>
      </c>
      <c r="BA68" s="177">
        <f>IFERROR(__xludf.DUMMYFUNCTION("""COMPUTED_VALUE"""),422.55)</f>
        <v>422.55</v>
      </c>
      <c r="BB68" s="177">
        <f>IFERROR(__xludf.DUMMYFUNCTION("""COMPUTED_VALUE"""),425.5)</f>
        <v>425.5</v>
      </c>
      <c r="BC68" s="177">
        <f>IFERROR(__xludf.DUMMYFUNCTION("""COMPUTED_VALUE"""),1.0763335E7)</f>
        <v>10763335</v>
      </c>
      <c r="BD68" s="177">
        <f t="shared" si="5"/>
        <v>-0.00830851424</v>
      </c>
      <c r="BE68" s="177"/>
      <c r="BF68" s="177"/>
      <c r="BG68" s="189"/>
      <c r="BH68" s="140"/>
      <c r="BI68" s="140"/>
      <c r="BJ68" s="140"/>
      <c r="BK68" s="140"/>
      <c r="BL68" s="140"/>
      <c r="BM68" s="140"/>
      <c r="BN68" s="140"/>
      <c r="BO68" s="140"/>
      <c r="BP68" s="140"/>
      <c r="BQ68" s="140"/>
      <c r="BR68" s="140"/>
      <c r="BS68" s="140"/>
      <c r="BT68" s="140"/>
      <c r="BU68" s="140"/>
      <c r="BV68" s="140"/>
      <c r="BW68" s="140"/>
      <c r="BX68" s="140"/>
      <c r="BY68" s="140"/>
    </row>
    <row r="69" ht="15.75" customHeight="1">
      <c r="A69" s="168"/>
      <c r="B69" s="169">
        <v>45476.0</v>
      </c>
      <c r="C69" s="170">
        <v>6254.18</v>
      </c>
      <c r="D69" s="170">
        <v>6347.12</v>
      </c>
      <c r="E69" s="170">
        <v>6246.85</v>
      </c>
      <c r="F69" s="170">
        <v>6325.52</v>
      </c>
      <c r="G69" s="171" t="s">
        <v>238</v>
      </c>
      <c r="H69" s="172">
        <f t="shared" si="1"/>
        <v>0.01160766219</v>
      </c>
      <c r="I69" s="172"/>
      <c r="J69" s="172"/>
      <c r="K69" s="188"/>
      <c r="L69" s="140"/>
      <c r="M69" s="140"/>
      <c r="N69" s="176">
        <f>IFERROR(__xludf.DUMMYFUNCTION("""COMPUTED_VALUE"""),45476.64583333333)</f>
        <v>45476.64583</v>
      </c>
      <c r="O69" s="177">
        <f>IFERROR(__xludf.DUMMYFUNCTION("""COMPUTED_VALUE"""),1196.85)</f>
        <v>1196.85</v>
      </c>
      <c r="P69" s="177">
        <f>IFERROR(__xludf.DUMMYFUNCTION("""COMPUTED_VALUE"""),1215.85)</f>
        <v>1215.85</v>
      </c>
      <c r="Q69" s="177">
        <f>IFERROR(__xludf.DUMMYFUNCTION("""COMPUTED_VALUE"""),1179.45)</f>
        <v>1179.45</v>
      </c>
      <c r="R69" s="177">
        <f>IFERROR(__xludf.DUMMYFUNCTION("""COMPUTED_VALUE"""),1201.6)</f>
        <v>1201.6</v>
      </c>
      <c r="S69" s="177">
        <f>IFERROR(__xludf.DUMMYFUNCTION("""COMPUTED_VALUE"""),2.2330897E7)</f>
        <v>22330897</v>
      </c>
      <c r="T69" s="177">
        <f t="shared" si="2"/>
        <v>0.009196620291</v>
      </c>
      <c r="U69" s="178"/>
      <c r="V69" s="177"/>
      <c r="W69" s="189"/>
      <c r="X69" s="140"/>
      <c r="Y69" s="140"/>
      <c r="Z69" s="176">
        <f>IFERROR(__xludf.DUMMYFUNCTION("""COMPUTED_VALUE"""),45476.64583333333)</f>
        <v>45476.64583</v>
      </c>
      <c r="AA69" s="177">
        <f>IFERROR(__xludf.DUMMYFUNCTION("""COMPUTED_VALUE"""),389.0)</f>
        <v>389</v>
      </c>
      <c r="AB69" s="177">
        <f>IFERROR(__xludf.DUMMYFUNCTION("""COMPUTED_VALUE"""),397.45)</f>
        <v>397.45</v>
      </c>
      <c r="AC69" s="177">
        <f>IFERROR(__xludf.DUMMYFUNCTION("""COMPUTED_VALUE"""),385.0)</f>
        <v>385</v>
      </c>
      <c r="AD69" s="177">
        <f>IFERROR(__xludf.DUMMYFUNCTION("""COMPUTED_VALUE"""),396.5)</f>
        <v>396.5</v>
      </c>
      <c r="AE69" s="177">
        <f>IFERROR(__xludf.DUMMYFUNCTION("""COMPUTED_VALUE"""),2.0902391E7)</f>
        <v>20902391</v>
      </c>
      <c r="AF69" s="177">
        <f t="shared" si="3"/>
        <v>0.0325544575</v>
      </c>
      <c r="AG69" s="177"/>
      <c r="AH69" s="177"/>
      <c r="AI69" s="189"/>
      <c r="AJ69" s="140"/>
      <c r="AK69" s="140"/>
      <c r="AL69" s="176">
        <f>IFERROR(__xludf.DUMMYFUNCTION("""COMPUTED_VALUE"""),45476.64583333333)</f>
        <v>45476.64583</v>
      </c>
      <c r="AM69" s="177">
        <f>IFERROR(__xludf.DUMMYFUNCTION("""COMPUTED_VALUE"""),5366.95)</f>
        <v>5366.95</v>
      </c>
      <c r="AN69" s="177">
        <f>IFERROR(__xludf.DUMMYFUNCTION("""COMPUTED_VALUE"""),5480.0)</f>
        <v>5480</v>
      </c>
      <c r="AO69" s="177">
        <f>IFERROR(__xludf.DUMMYFUNCTION("""COMPUTED_VALUE"""),5331.45)</f>
        <v>5331.45</v>
      </c>
      <c r="AP69" s="177">
        <f>IFERROR(__xludf.DUMMYFUNCTION("""COMPUTED_VALUE"""),5459.3)</f>
        <v>5459.3</v>
      </c>
      <c r="AQ69" s="177">
        <f>IFERROR(__xludf.DUMMYFUNCTION("""COMPUTED_VALUE"""),2852572.0)</f>
        <v>2852572</v>
      </c>
      <c r="AR69" s="177">
        <f t="shared" si="4"/>
        <v>0.02133678393</v>
      </c>
      <c r="AS69" s="177"/>
      <c r="AT69" s="177"/>
      <c r="AU69" s="189"/>
      <c r="AV69" s="140"/>
      <c r="AW69" s="140"/>
      <c r="AX69" s="176">
        <f>IFERROR(__xludf.DUMMYFUNCTION("""COMPUTED_VALUE"""),45476.64583333333)</f>
        <v>45476.64583</v>
      </c>
      <c r="AY69" s="177">
        <f>IFERROR(__xludf.DUMMYFUNCTION("""COMPUTED_VALUE"""),426.1)</f>
        <v>426.1</v>
      </c>
      <c r="AZ69" s="177">
        <f>IFERROR(__xludf.DUMMYFUNCTION("""COMPUTED_VALUE"""),429.65)</f>
        <v>429.65</v>
      </c>
      <c r="BA69" s="177">
        <f>IFERROR(__xludf.DUMMYFUNCTION("""COMPUTED_VALUE"""),425.5)</f>
        <v>425.5</v>
      </c>
      <c r="BB69" s="177">
        <f>IFERROR(__xludf.DUMMYFUNCTION("""COMPUTED_VALUE"""),428.3)</f>
        <v>428.3</v>
      </c>
      <c r="BC69" s="177">
        <f>IFERROR(__xludf.DUMMYFUNCTION("""COMPUTED_VALUE"""),7159756.0)</f>
        <v>7159756</v>
      </c>
      <c r="BD69" s="177">
        <f t="shared" si="5"/>
        <v>0.006558936608</v>
      </c>
      <c r="BE69" s="177"/>
      <c r="BF69" s="177"/>
      <c r="BG69" s="189"/>
      <c r="BH69" s="140"/>
      <c r="BI69" s="140"/>
      <c r="BJ69" s="140"/>
      <c r="BK69" s="140"/>
      <c r="BL69" s="140"/>
      <c r="BM69" s="140"/>
      <c r="BN69" s="140"/>
      <c r="BO69" s="140"/>
      <c r="BP69" s="140"/>
      <c r="BQ69" s="140"/>
      <c r="BR69" s="140"/>
      <c r="BS69" s="140"/>
      <c r="BT69" s="140"/>
      <c r="BU69" s="140"/>
      <c r="BV69" s="140"/>
      <c r="BW69" s="140"/>
      <c r="BX69" s="140"/>
      <c r="BY69" s="140"/>
    </row>
    <row r="70" ht="15.75" customHeight="1">
      <c r="A70" s="168"/>
      <c r="B70" s="169">
        <v>45477.0</v>
      </c>
      <c r="C70" s="170">
        <v>6326.85</v>
      </c>
      <c r="D70" s="170">
        <v>6343.12</v>
      </c>
      <c r="E70" s="170">
        <v>6311.52</v>
      </c>
      <c r="F70" s="170">
        <v>6322.78</v>
      </c>
      <c r="G70" s="171" t="s">
        <v>238</v>
      </c>
      <c r="H70" s="172">
        <f t="shared" si="1"/>
        <v>-0.0004332598124</v>
      </c>
      <c r="I70" s="172"/>
      <c r="J70" s="172"/>
      <c r="K70" s="188"/>
      <c r="L70" s="140"/>
      <c r="M70" s="140"/>
      <c r="N70" s="176">
        <f>IFERROR(__xludf.DUMMYFUNCTION("""COMPUTED_VALUE"""),45477.64583333333)</f>
        <v>45477.64583</v>
      </c>
      <c r="O70" s="177">
        <f>IFERROR(__xludf.DUMMYFUNCTION("""COMPUTED_VALUE"""),1229.0)</f>
        <v>1229</v>
      </c>
      <c r="P70" s="177">
        <f>IFERROR(__xludf.DUMMYFUNCTION("""COMPUTED_VALUE"""),1234.95)</f>
        <v>1234.95</v>
      </c>
      <c r="Q70" s="177">
        <f>IFERROR(__xludf.DUMMYFUNCTION("""COMPUTED_VALUE"""),1214.3)</f>
        <v>1214.3</v>
      </c>
      <c r="R70" s="177">
        <f>IFERROR(__xludf.DUMMYFUNCTION("""COMPUTED_VALUE"""),1233.0)</f>
        <v>1233</v>
      </c>
      <c r="S70" s="177">
        <f>IFERROR(__xludf.DUMMYFUNCTION("""COMPUTED_VALUE"""),1.5275791E7)</f>
        <v>15275791</v>
      </c>
      <c r="T70" s="177">
        <f t="shared" si="2"/>
        <v>0.02579622215</v>
      </c>
      <c r="U70" s="178"/>
      <c r="V70" s="177"/>
      <c r="W70" s="189"/>
      <c r="X70" s="140"/>
      <c r="Y70" s="140"/>
      <c r="Z70" s="176">
        <f>IFERROR(__xludf.DUMMYFUNCTION("""COMPUTED_VALUE"""),45477.64583333333)</f>
        <v>45477.64583</v>
      </c>
      <c r="AA70" s="177">
        <f>IFERROR(__xludf.DUMMYFUNCTION("""COMPUTED_VALUE"""),398.4)</f>
        <v>398.4</v>
      </c>
      <c r="AB70" s="177">
        <f>IFERROR(__xludf.DUMMYFUNCTION("""COMPUTED_VALUE"""),408.4)</f>
        <v>408.4</v>
      </c>
      <c r="AC70" s="177">
        <f>IFERROR(__xludf.DUMMYFUNCTION("""COMPUTED_VALUE"""),389.65)</f>
        <v>389.65</v>
      </c>
      <c r="AD70" s="177">
        <f>IFERROR(__xludf.DUMMYFUNCTION("""COMPUTED_VALUE"""),404.05)</f>
        <v>404.05</v>
      </c>
      <c r="AE70" s="177">
        <f>IFERROR(__xludf.DUMMYFUNCTION("""COMPUTED_VALUE"""),2.7983391E7)</f>
        <v>27983391</v>
      </c>
      <c r="AF70" s="177">
        <f t="shared" si="3"/>
        <v>0.0188625916</v>
      </c>
      <c r="AG70" s="177"/>
      <c r="AH70" s="177"/>
      <c r="AI70" s="189"/>
      <c r="AJ70" s="140"/>
      <c r="AK70" s="140"/>
      <c r="AL70" s="176">
        <f>IFERROR(__xludf.DUMMYFUNCTION("""COMPUTED_VALUE"""),45477.64583333333)</f>
        <v>45477.64583</v>
      </c>
      <c r="AM70" s="177">
        <f>IFERROR(__xludf.DUMMYFUNCTION("""COMPUTED_VALUE"""),5475.0)</f>
        <v>5475</v>
      </c>
      <c r="AN70" s="177">
        <f>IFERROR(__xludf.DUMMYFUNCTION("""COMPUTED_VALUE"""),5568.7)</f>
        <v>5568.7</v>
      </c>
      <c r="AO70" s="177">
        <f>IFERROR(__xludf.DUMMYFUNCTION("""COMPUTED_VALUE"""),5459.3)</f>
        <v>5459.3</v>
      </c>
      <c r="AP70" s="177">
        <f>IFERROR(__xludf.DUMMYFUNCTION("""COMPUTED_VALUE"""),5515.1)</f>
        <v>5515.1</v>
      </c>
      <c r="AQ70" s="177">
        <f>IFERROR(__xludf.DUMMYFUNCTION("""COMPUTED_VALUE"""),3743401.0)</f>
        <v>3743401</v>
      </c>
      <c r="AR70" s="177">
        <f t="shared" si="4"/>
        <v>0.0101692085</v>
      </c>
      <c r="AS70" s="177"/>
      <c r="AT70" s="177"/>
      <c r="AU70" s="189"/>
      <c r="AV70" s="140"/>
      <c r="AW70" s="140"/>
      <c r="AX70" s="176">
        <f>IFERROR(__xludf.DUMMYFUNCTION("""COMPUTED_VALUE"""),45477.64583333333)</f>
        <v>45477.64583</v>
      </c>
      <c r="AY70" s="177">
        <f>IFERROR(__xludf.DUMMYFUNCTION("""COMPUTED_VALUE"""),430.0)</f>
        <v>430</v>
      </c>
      <c r="AZ70" s="177">
        <f>IFERROR(__xludf.DUMMYFUNCTION("""COMPUTED_VALUE"""),431.5)</f>
        <v>431.5</v>
      </c>
      <c r="BA70" s="177">
        <f>IFERROR(__xludf.DUMMYFUNCTION("""COMPUTED_VALUE"""),427.05)</f>
        <v>427.05</v>
      </c>
      <c r="BB70" s="177">
        <f>IFERROR(__xludf.DUMMYFUNCTION("""COMPUTED_VALUE"""),429.05)</f>
        <v>429.05</v>
      </c>
      <c r="BC70" s="177">
        <f>IFERROR(__xludf.DUMMYFUNCTION("""COMPUTED_VALUE"""),9127340.0)</f>
        <v>9127340</v>
      </c>
      <c r="BD70" s="177">
        <f t="shared" si="5"/>
        <v>0.001749577632</v>
      </c>
      <c r="BE70" s="177"/>
      <c r="BF70" s="177"/>
      <c r="BG70" s="189"/>
      <c r="BH70" s="140"/>
      <c r="BI70" s="140"/>
      <c r="BJ70" s="140"/>
      <c r="BK70" s="140"/>
      <c r="BL70" s="140"/>
      <c r="BM70" s="140"/>
      <c r="BN70" s="140"/>
      <c r="BO70" s="140"/>
      <c r="BP70" s="140"/>
      <c r="BQ70" s="140"/>
      <c r="BR70" s="140"/>
      <c r="BS70" s="140"/>
      <c r="BT70" s="140"/>
      <c r="BU70" s="140"/>
      <c r="BV70" s="140"/>
      <c r="BW70" s="140"/>
      <c r="BX70" s="140"/>
      <c r="BY70" s="140"/>
    </row>
    <row r="71" ht="15.75" customHeight="1">
      <c r="A71" s="168"/>
      <c r="B71" s="169">
        <v>45478.0</v>
      </c>
      <c r="C71" s="170">
        <v>6325.52</v>
      </c>
      <c r="D71" s="170">
        <v>6424.78</v>
      </c>
      <c r="E71" s="170">
        <v>6318.78</v>
      </c>
      <c r="F71" s="170">
        <v>6420.12</v>
      </c>
      <c r="G71" s="171" t="s">
        <v>238</v>
      </c>
      <c r="H71" s="172">
        <f t="shared" si="1"/>
        <v>0.01527782426</v>
      </c>
      <c r="I71" s="172"/>
      <c r="J71" s="172"/>
      <c r="K71" s="188"/>
      <c r="L71" s="140"/>
      <c r="M71" s="140"/>
      <c r="N71" s="176">
        <f>IFERROR(__xludf.DUMMYFUNCTION("""COMPUTED_VALUE"""),45478.64583333333)</f>
        <v>45478.64583</v>
      </c>
      <c r="O71" s="177">
        <f>IFERROR(__xludf.DUMMYFUNCTION("""COMPUTED_VALUE"""),1225.0)</f>
        <v>1225</v>
      </c>
      <c r="P71" s="177">
        <f>IFERROR(__xludf.DUMMYFUNCTION("""COMPUTED_VALUE"""),1242.6)</f>
        <v>1242.6</v>
      </c>
      <c r="Q71" s="177">
        <f>IFERROR(__xludf.DUMMYFUNCTION("""COMPUTED_VALUE"""),1220.85)</f>
        <v>1220.85</v>
      </c>
      <c r="R71" s="177">
        <f>IFERROR(__xludf.DUMMYFUNCTION("""COMPUTED_VALUE"""),1233.4)</f>
        <v>1233.4</v>
      </c>
      <c r="S71" s="177">
        <f>IFERROR(__xludf.DUMMYFUNCTION("""COMPUTED_VALUE"""),9535575.0)</f>
        <v>9535575</v>
      </c>
      <c r="T71" s="177">
        <f t="shared" si="2"/>
        <v>0.000324359393</v>
      </c>
      <c r="U71" s="178"/>
      <c r="V71" s="177"/>
      <c r="W71" s="189"/>
      <c r="X71" s="140"/>
      <c r="Y71" s="140"/>
      <c r="Z71" s="176">
        <f>IFERROR(__xludf.DUMMYFUNCTION("""COMPUTED_VALUE"""),45478.64583333333)</f>
        <v>45478.64583</v>
      </c>
      <c r="AA71" s="177">
        <f>IFERROR(__xludf.DUMMYFUNCTION("""COMPUTED_VALUE"""),401.0)</f>
        <v>401</v>
      </c>
      <c r="AB71" s="177">
        <f>IFERROR(__xludf.DUMMYFUNCTION("""COMPUTED_VALUE"""),403.45)</f>
        <v>403.45</v>
      </c>
      <c r="AC71" s="177">
        <f>IFERROR(__xludf.DUMMYFUNCTION("""COMPUTED_VALUE"""),392.3)</f>
        <v>392.3</v>
      </c>
      <c r="AD71" s="177">
        <f>IFERROR(__xludf.DUMMYFUNCTION("""COMPUTED_VALUE"""),395.65)</f>
        <v>395.65</v>
      </c>
      <c r="AE71" s="177">
        <f>IFERROR(__xludf.DUMMYFUNCTION("""COMPUTED_VALUE"""),1.3752975E7)</f>
        <v>13752975</v>
      </c>
      <c r="AF71" s="177">
        <f t="shared" si="3"/>
        <v>-0.02100865062</v>
      </c>
      <c r="AG71" s="177"/>
      <c r="AH71" s="177"/>
      <c r="AI71" s="189"/>
      <c r="AJ71" s="140"/>
      <c r="AK71" s="140"/>
      <c r="AL71" s="176">
        <f>IFERROR(__xludf.DUMMYFUNCTION("""COMPUTED_VALUE"""),45478.64583333333)</f>
        <v>45478.64583</v>
      </c>
      <c r="AM71" s="177">
        <f>IFERROR(__xludf.DUMMYFUNCTION("""COMPUTED_VALUE"""),5535.0)</f>
        <v>5535</v>
      </c>
      <c r="AN71" s="177">
        <f>IFERROR(__xludf.DUMMYFUNCTION("""COMPUTED_VALUE"""),5624.95)</f>
        <v>5624.95</v>
      </c>
      <c r="AO71" s="177">
        <f>IFERROR(__xludf.DUMMYFUNCTION("""COMPUTED_VALUE"""),5482.5)</f>
        <v>5482.5</v>
      </c>
      <c r="AP71" s="177">
        <f>IFERROR(__xludf.DUMMYFUNCTION("""COMPUTED_VALUE"""),5552.0)</f>
        <v>5552</v>
      </c>
      <c r="AQ71" s="177">
        <f>IFERROR(__xludf.DUMMYFUNCTION("""COMPUTED_VALUE"""),3446662.0)</f>
        <v>3446662</v>
      </c>
      <c r="AR71" s="177">
        <f t="shared" si="4"/>
        <v>0.006668438297</v>
      </c>
      <c r="AS71" s="177"/>
      <c r="AT71" s="177"/>
      <c r="AU71" s="189"/>
      <c r="AV71" s="140"/>
      <c r="AW71" s="140"/>
      <c r="AX71" s="176">
        <f>IFERROR(__xludf.DUMMYFUNCTION("""COMPUTED_VALUE"""),45478.64583333333)</f>
        <v>45478.64583</v>
      </c>
      <c r="AY71" s="177">
        <f>IFERROR(__xludf.DUMMYFUNCTION("""COMPUTED_VALUE"""),429.0)</f>
        <v>429</v>
      </c>
      <c r="AZ71" s="177">
        <f>IFERROR(__xludf.DUMMYFUNCTION("""COMPUTED_VALUE"""),434.0)</f>
        <v>434</v>
      </c>
      <c r="BA71" s="177">
        <f>IFERROR(__xludf.DUMMYFUNCTION("""COMPUTED_VALUE"""),427.6)</f>
        <v>427.6</v>
      </c>
      <c r="BB71" s="177">
        <f>IFERROR(__xludf.DUMMYFUNCTION("""COMPUTED_VALUE"""),433.65)</f>
        <v>433.65</v>
      </c>
      <c r="BC71" s="177">
        <f>IFERROR(__xludf.DUMMYFUNCTION("""COMPUTED_VALUE"""),1.2929586E7)</f>
        <v>12929586</v>
      </c>
      <c r="BD71" s="177">
        <f t="shared" si="5"/>
        <v>0.01066429488</v>
      </c>
      <c r="BE71" s="177"/>
      <c r="BF71" s="177"/>
      <c r="BG71" s="189"/>
      <c r="BH71" s="140"/>
      <c r="BI71" s="140"/>
      <c r="BJ71" s="140"/>
      <c r="BK71" s="140"/>
      <c r="BL71" s="140"/>
      <c r="BM71" s="140"/>
      <c r="BN71" s="140"/>
      <c r="BO71" s="140"/>
      <c r="BP71" s="140"/>
      <c r="BQ71" s="140"/>
      <c r="BR71" s="140"/>
      <c r="BS71" s="140"/>
      <c r="BT71" s="140"/>
      <c r="BU71" s="140"/>
      <c r="BV71" s="140"/>
      <c r="BW71" s="140"/>
      <c r="BX71" s="140"/>
      <c r="BY71" s="140"/>
    </row>
    <row r="72" ht="15.75" customHeight="1">
      <c r="A72" s="168"/>
      <c r="B72" s="169">
        <v>45481.0</v>
      </c>
      <c r="C72" s="170">
        <v>6421.12</v>
      </c>
      <c r="D72" s="170">
        <v>6421.52</v>
      </c>
      <c r="E72" s="170">
        <v>6308.78</v>
      </c>
      <c r="F72" s="170">
        <v>6331.52</v>
      </c>
      <c r="G72" s="171" t="s">
        <v>238</v>
      </c>
      <c r="H72" s="172">
        <f t="shared" si="1"/>
        <v>-0.0138964754</v>
      </c>
      <c r="I72" s="172"/>
      <c r="J72" s="172"/>
      <c r="K72" s="188"/>
      <c r="L72" s="140"/>
      <c r="M72" s="140"/>
      <c r="N72" s="176">
        <f>IFERROR(__xludf.DUMMYFUNCTION("""COMPUTED_VALUE"""),45481.64583333333)</f>
        <v>45481.64583</v>
      </c>
      <c r="O72" s="177">
        <f>IFERROR(__xludf.DUMMYFUNCTION("""COMPUTED_VALUE"""),1228.9)</f>
        <v>1228.9</v>
      </c>
      <c r="P72" s="177">
        <f>IFERROR(__xludf.DUMMYFUNCTION("""COMPUTED_VALUE"""),1239.5)</f>
        <v>1239.5</v>
      </c>
      <c r="Q72" s="177">
        <f>IFERROR(__xludf.DUMMYFUNCTION("""COMPUTED_VALUE"""),1216.9)</f>
        <v>1216.9</v>
      </c>
      <c r="R72" s="177">
        <f>IFERROR(__xludf.DUMMYFUNCTION("""COMPUTED_VALUE"""),1235.05)</f>
        <v>1235.05</v>
      </c>
      <c r="S72" s="177">
        <f>IFERROR(__xludf.DUMMYFUNCTION("""COMPUTED_VALUE"""),6617190.0)</f>
        <v>6617190</v>
      </c>
      <c r="T72" s="177">
        <f t="shared" si="2"/>
        <v>0.001336871515</v>
      </c>
      <c r="U72" s="178"/>
      <c r="V72" s="177"/>
      <c r="W72" s="189"/>
      <c r="X72" s="140"/>
      <c r="Y72" s="140"/>
      <c r="Z72" s="176">
        <f>IFERROR(__xludf.DUMMYFUNCTION("""COMPUTED_VALUE"""),45481.64583333333)</f>
        <v>45481.64583</v>
      </c>
      <c r="AA72" s="177">
        <f>IFERROR(__xludf.DUMMYFUNCTION("""COMPUTED_VALUE"""),396.0)</f>
        <v>396</v>
      </c>
      <c r="AB72" s="177">
        <f>IFERROR(__xludf.DUMMYFUNCTION("""COMPUTED_VALUE"""),398.85)</f>
        <v>398.85</v>
      </c>
      <c r="AC72" s="177">
        <f>IFERROR(__xludf.DUMMYFUNCTION("""COMPUTED_VALUE"""),384.2)</f>
        <v>384.2</v>
      </c>
      <c r="AD72" s="177">
        <f>IFERROR(__xludf.DUMMYFUNCTION("""COMPUTED_VALUE"""),385.75)</f>
        <v>385.75</v>
      </c>
      <c r="AE72" s="177">
        <f>IFERROR(__xludf.DUMMYFUNCTION("""COMPUTED_VALUE"""),1.7394416E7)</f>
        <v>17394416</v>
      </c>
      <c r="AF72" s="177">
        <f t="shared" si="3"/>
        <v>-0.02534049081</v>
      </c>
      <c r="AG72" s="177"/>
      <c r="AH72" s="177"/>
      <c r="AI72" s="189"/>
      <c r="AJ72" s="140"/>
      <c r="AK72" s="140"/>
      <c r="AL72" s="176">
        <f>IFERROR(__xludf.DUMMYFUNCTION("""COMPUTED_VALUE"""),45481.64583333333)</f>
        <v>45481.64583</v>
      </c>
      <c r="AM72" s="177">
        <f>IFERROR(__xludf.DUMMYFUNCTION("""COMPUTED_VALUE"""),5580.0)</f>
        <v>5580</v>
      </c>
      <c r="AN72" s="177">
        <f>IFERROR(__xludf.DUMMYFUNCTION("""COMPUTED_VALUE"""),5662.45)</f>
        <v>5662.45</v>
      </c>
      <c r="AO72" s="177">
        <f>IFERROR(__xludf.DUMMYFUNCTION("""COMPUTED_VALUE"""),5560.5)</f>
        <v>5560.5</v>
      </c>
      <c r="AP72" s="177">
        <f>IFERROR(__xludf.DUMMYFUNCTION("""COMPUTED_VALUE"""),5621.95)</f>
        <v>5621.95</v>
      </c>
      <c r="AQ72" s="177">
        <f>IFERROR(__xludf.DUMMYFUNCTION("""COMPUTED_VALUE"""),3536842.0)</f>
        <v>3536842</v>
      </c>
      <c r="AR72" s="177">
        <f t="shared" si="4"/>
        <v>0.01252035561</v>
      </c>
      <c r="AS72" s="177"/>
      <c r="AT72" s="177"/>
      <c r="AU72" s="189"/>
      <c r="AV72" s="140"/>
      <c r="AW72" s="140"/>
      <c r="AX72" s="176">
        <f>IFERROR(__xludf.DUMMYFUNCTION("""COMPUTED_VALUE"""),45481.64583333333)</f>
        <v>45481.64583</v>
      </c>
      <c r="AY72" s="177">
        <f>IFERROR(__xludf.DUMMYFUNCTION("""COMPUTED_VALUE"""),435.15)</f>
        <v>435.15</v>
      </c>
      <c r="AZ72" s="177">
        <f>IFERROR(__xludf.DUMMYFUNCTION("""COMPUTED_VALUE"""),444.55)</f>
        <v>444.55</v>
      </c>
      <c r="BA72" s="177">
        <f>IFERROR(__xludf.DUMMYFUNCTION("""COMPUTED_VALUE"""),433.65)</f>
        <v>433.65</v>
      </c>
      <c r="BB72" s="177">
        <f>IFERROR(__xludf.DUMMYFUNCTION("""COMPUTED_VALUE"""),443.6)</f>
        <v>443.6</v>
      </c>
      <c r="BC72" s="177">
        <f>IFERROR(__xludf.DUMMYFUNCTION("""COMPUTED_VALUE"""),2.0521107E7)</f>
        <v>20521107</v>
      </c>
      <c r="BD72" s="177">
        <f t="shared" si="5"/>
        <v>0.02268549835</v>
      </c>
      <c r="BE72" s="177"/>
      <c r="BF72" s="177"/>
      <c r="BG72" s="189"/>
      <c r="BH72" s="140"/>
      <c r="BI72" s="140"/>
      <c r="BJ72" s="140"/>
      <c r="BK72" s="140"/>
      <c r="BL72" s="140"/>
      <c r="BM72" s="140"/>
      <c r="BN72" s="140"/>
      <c r="BO72" s="140"/>
      <c r="BP72" s="140"/>
      <c r="BQ72" s="140"/>
      <c r="BR72" s="140"/>
      <c r="BS72" s="140"/>
      <c r="BT72" s="140"/>
      <c r="BU72" s="140"/>
      <c r="BV72" s="140"/>
      <c r="BW72" s="140"/>
      <c r="BX72" s="140"/>
      <c r="BY72" s="140"/>
    </row>
    <row r="73" ht="15.75" customHeight="1">
      <c r="A73" s="168"/>
      <c r="B73" s="169">
        <v>45482.0</v>
      </c>
      <c r="C73" s="170">
        <v>6337.12</v>
      </c>
      <c r="D73" s="170">
        <v>6365.12</v>
      </c>
      <c r="E73" s="170">
        <v>6307.12</v>
      </c>
      <c r="F73" s="170">
        <v>6343.12</v>
      </c>
      <c r="G73" s="171" t="s">
        <v>238</v>
      </c>
      <c r="H73" s="172">
        <f t="shared" si="1"/>
        <v>0.001830427253</v>
      </c>
      <c r="I73" s="172"/>
      <c r="J73" s="172"/>
      <c r="K73" s="188"/>
      <c r="L73" s="140"/>
      <c r="M73" s="140"/>
      <c r="N73" s="176">
        <f>IFERROR(__xludf.DUMMYFUNCTION("""COMPUTED_VALUE"""),45482.64583333333)</f>
        <v>45482.64583</v>
      </c>
      <c r="O73" s="177">
        <f>IFERROR(__xludf.DUMMYFUNCTION("""COMPUTED_VALUE"""),1234.95)</f>
        <v>1234.95</v>
      </c>
      <c r="P73" s="177">
        <f>IFERROR(__xludf.DUMMYFUNCTION("""COMPUTED_VALUE"""),1250.2)</f>
        <v>1250.2</v>
      </c>
      <c r="Q73" s="177">
        <f>IFERROR(__xludf.DUMMYFUNCTION("""COMPUTED_VALUE"""),1229.3)</f>
        <v>1229.3</v>
      </c>
      <c r="R73" s="177">
        <f>IFERROR(__xludf.DUMMYFUNCTION("""COMPUTED_VALUE"""),1248.25)</f>
        <v>1248.25</v>
      </c>
      <c r="S73" s="177">
        <f>IFERROR(__xludf.DUMMYFUNCTION("""COMPUTED_VALUE"""),1.3366874E7)</f>
        <v>13366874</v>
      </c>
      <c r="T73" s="177">
        <f t="shared" si="2"/>
        <v>0.01063111531</v>
      </c>
      <c r="U73" s="178"/>
      <c r="V73" s="177"/>
      <c r="W73" s="189"/>
      <c r="X73" s="140"/>
      <c r="Y73" s="140"/>
      <c r="Z73" s="176">
        <f>IFERROR(__xludf.DUMMYFUNCTION("""COMPUTED_VALUE"""),45482.64583333333)</f>
        <v>45482.64583</v>
      </c>
      <c r="AA73" s="177">
        <f>IFERROR(__xludf.DUMMYFUNCTION("""COMPUTED_VALUE"""),385.0)</f>
        <v>385</v>
      </c>
      <c r="AB73" s="177">
        <f>IFERROR(__xludf.DUMMYFUNCTION("""COMPUTED_VALUE"""),387.45)</f>
        <v>387.45</v>
      </c>
      <c r="AC73" s="177">
        <f>IFERROR(__xludf.DUMMYFUNCTION("""COMPUTED_VALUE"""),376.35)</f>
        <v>376.35</v>
      </c>
      <c r="AD73" s="177">
        <f>IFERROR(__xludf.DUMMYFUNCTION("""COMPUTED_VALUE"""),385.0)</f>
        <v>385</v>
      </c>
      <c r="AE73" s="177">
        <f>IFERROR(__xludf.DUMMYFUNCTION("""COMPUTED_VALUE"""),1.2570385E7)</f>
        <v>12570385</v>
      </c>
      <c r="AF73" s="177">
        <f t="shared" si="3"/>
        <v>-0.001946156955</v>
      </c>
      <c r="AG73" s="177"/>
      <c r="AH73" s="177"/>
      <c r="AI73" s="189"/>
      <c r="AJ73" s="140"/>
      <c r="AK73" s="140"/>
      <c r="AL73" s="176">
        <f>IFERROR(__xludf.DUMMYFUNCTION("""COMPUTED_VALUE"""),45482.64583333333)</f>
        <v>45482.64583</v>
      </c>
      <c r="AM73" s="177">
        <f>IFERROR(__xludf.DUMMYFUNCTION("""COMPUTED_VALUE"""),5638.9)</f>
        <v>5638.9</v>
      </c>
      <c r="AN73" s="177">
        <f>IFERROR(__xludf.DUMMYFUNCTION("""COMPUTED_VALUE"""),5674.75)</f>
        <v>5674.75</v>
      </c>
      <c r="AO73" s="177">
        <f>IFERROR(__xludf.DUMMYFUNCTION("""COMPUTED_VALUE"""),5517.05)</f>
        <v>5517.05</v>
      </c>
      <c r="AP73" s="177">
        <f>IFERROR(__xludf.DUMMYFUNCTION("""COMPUTED_VALUE"""),5539.6)</f>
        <v>5539.6</v>
      </c>
      <c r="AQ73" s="177">
        <f>IFERROR(__xludf.DUMMYFUNCTION("""COMPUTED_VALUE"""),2392991.0)</f>
        <v>2392991</v>
      </c>
      <c r="AR73" s="177">
        <f t="shared" si="4"/>
        <v>-0.01475628283</v>
      </c>
      <c r="AS73" s="177"/>
      <c r="AT73" s="177"/>
      <c r="AU73" s="189"/>
      <c r="AV73" s="140"/>
      <c r="AW73" s="140"/>
      <c r="AX73" s="176">
        <f>IFERROR(__xludf.DUMMYFUNCTION("""COMPUTED_VALUE"""),45482.64583333333)</f>
        <v>45482.64583</v>
      </c>
      <c r="AY73" s="177">
        <f>IFERROR(__xludf.DUMMYFUNCTION("""COMPUTED_VALUE"""),447.6)</f>
        <v>447.6</v>
      </c>
      <c r="AZ73" s="177">
        <f>IFERROR(__xludf.DUMMYFUNCTION("""COMPUTED_VALUE"""),455.0)</f>
        <v>455</v>
      </c>
      <c r="BA73" s="177">
        <f>IFERROR(__xludf.DUMMYFUNCTION("""COMPUTED_VALUE"""),444.0)</f>
        <v>444</v>
      </c>
      <c r="BB73" s="177">
        <f>IFERROR(__xludf.DUMMYFUNCTION("""COMPUTED_VALUE"""),452.6)</f>
        <v>452.6</v>
      </c>
      <c r="BC73" s="177">
        <f>IFERROR(__xludf.DUMMYFUNCTION("""COMPUTED_VALUE"""),2.647026E7)</f>
        <v>26470260</v>
      </c>
      <c r="BD73" s="177">
        <f t="shared" si="5"/>
        <v>0.02008547772</v>
      </c>
      <c r="BE73" s="177"/>
      <c r="BF73" s="177"/>
      <c r="BG73" s="189"/>
      <c r="BH73" s="140"/>
      <c r="BI73" s="140"/>
      <c r="BJ73" s="140"/>
      <c r="BK73" s="140"/>
      <c r="BL73" s="140"/>
      <c r="BM73" s="140"/>
      <c r="BN73" s="140"/>
      <c r="BO73" s="140"/>
      <c r="BP73" s="140"/>
      <c r="BQ73" s="140"/>
      <c r="BR73" s="140"/>
      <c r="BS73" s="140"/>
      <c r="BT73" s="140"/>
      <c r="BU73" s="140"/>
      <c r="BV73" s="140"/>
      <c r="BW73" s="140"/>
      <c r="BX73" s="140"/>
      <c r="BY73" s="140"/>
    </row>
    <row r="74" ht="15.75" customHeight="1">
      <c r="A74" s="168"/>
      <c r="B74" s="169">
        <v>45483.0</v>
      </c>
      <c r="C74" s="170">
        <v>6346.12</v>
      </c>
      <c r="D74" s="170">
        <v>6408.12</v>
      </c>
      <c r="E74" s="170">
        <v>6341.12</v>
      </c>
      <c r="F74" s="170">
        <v>6365.52</v>
      </c>
      <c r="G74" s="171" t="s">
        <v>238</v>
      </c>
      <c r="H74" s="172">
        <f t="shared" si="1"/>
        <v>0.003525164486</v>
      </c>
      <c r="I74" s="172"/>
      <c r="J74" s="172"/>
      <c r="K74" s="188"/>
      <c r="L74" s="140"/>
      <c r="M74" s="140"/>
      <c r="N74" s="176">
        <f>IFERROR(__xludf.DUMMYFUNCTION("""COMPUTED_VALUE"""),45483.64583333333)</f>
        <v>45483.64583</v>
      </c>
      <c r="O74" s="177">
        <f>IFERROR(__xludf.DUMMYFUNCTION("""COMPUTED_VALUE"""),1252.75)</f>
        <v>1252.75</v>
      </c>
      <c r="P74" s="177">
        <f>IFERROR(__xludf.DUMMYFUNCTION("""COMPUTED_VALUE"""),1252.75)</f>
        <v>1252.75</v>
      </c>
      <c r="Q74" s="177">
        <f>IFERROR(__xludf.DUMMYFUNCTION("""COMPUTED_VALUE"""),1236.35)</f>
        <v>1236.35</v>
      </c>
      <c r="R74" s="177">
        <f>IFERROR(__xludf.DUMMYFUNCTION("""COMPUTED_VALUE"""),1243.2)</f>
        <v>1243.2</v>
      </c>
      <c r="S74" s="177">
        <f>IFERROR(__xludf.DUMMYFUNCTION("""COMPUTED_VALUE"""),1.8226503E7)</f>
        <v>18226503</v>
      </c>
      <c r="T74" s="177">
        <f t="shared" si="2"/>
        <v>-0.004053869767</v>
      </c>
      <c r="U74" s="178"/>
      <c r="V74" s="177"/>
      <c r="W74" s="189"/>
      <c r="X74" s="140"/>
      <c r="Y74" s="140"/>
      <c r="Z74" s="176">
        <f>IFERROR(__xludf.DUMMYFUNCTION("""COMPUTED_VALUE"""),45483.64583333333)</f>
        <v>45483.64583</v>
      </c>
      <c r="AA74" s="177">
        <f>IFERROR(__xludf.DUMMYFUNCTION("""COMPUTED_VALUE"""),386.7)</f>
        <v>386.7</v>
      </c>
      <c r="AB74" s="177">
        <f>IFERROR(__xludf.DUMMYFUNCTION("""COMPUTED_VALUE"""),388.45)</f>
        <v>388.45</v>
      </c>
      <c r="AC74" s="177">
        <f>IFERROR(__xludf.DUMMYFUNCTION("""COMPUTED_VALUE"""),373.55)</f>
        <v>373.55</v>
      </c>
      <c r="AD74" s="177">
        <f>IFERROR(__xludf.DUMMYFUNCTION("""COMPUTED_VALUE"""),382.9)</f>
        <v>382.9</v>
      </c>
      <c r="AE74" s="177">
        <f>IFERROR(__xludf.DUMMYFUNCTION("""COMPUTED_VALUE"""),1.6109267E7)</f>
        <v>16109267</v>
      </c>
      <c r="AF74" s="177">
        <f t="shared" si="3"/>
        <v>-0.005469475805</v>
      </c>
      <c r="AG74" s="177"/>
      <c r="AH74" s="177"/>
      <c r="AI74" s="189"/>
      <c r="AJ74" s="140"/>
      <c r="AK74" s="140"/>
      <c r="AL74" s="176">
        <f>IFERROR(__xludf.DUMMYFUNCTION("""COMPUTED_VALUE"""),45483.64583333333)</f>
        <v>45483.64583</v>
      </c>
      <c r="AM74" s="177">
        <f>IFERROR(__xludf.DUMMYFUNCTION("""COMPUTED_VALUE"""),5568.8)</f>
        <v>5568.8</v>
      </c>
      <c r="AN74" s="177">
        <f>IFERROR(__xludf.DUMMYFUNCTION("""COMPUTED_VALUE"""),5580.0)</f>
        <v>5580</v>
      </c>
      <c r="AO74" s="177">
        <f>IFERROR(__xludf.DUMMYFUNCTION("""COMPUTED_VALUE"""),5319.0)</f>
        <v>5319</v>
      </c>
      <c r="AP74" s="177">
        <f>IFERROR(__xludf.DUMMYFUNCTION("""COMPUTED_VALUE"""),5486.15)</f>
        <v>5486.15</v>
      </c>
      <c r="AQ74" s="177">
        <f>IFERROR(__xludf.DUMMYFUNCTION("""COMPUTED_VALUE"""),2121407.0)</f>
        <v>2121407</v>
      </c>
      <c r="AR74" s="177">
        <f t="shared" si="4"/>
        <v>-0.009695561519</v>
      </c>
      <c r="AS74" s="177"/>
      <c r="AT74" s="177"/>
      <c r="AU74" s="189"/>
      <c r="AV74" s="140"/>
      <c r="AW74" s="140"/>
      <c r="AX74" s="176">
        <f>IFERROR(__xludf.DUMMYFUNCTION("""COMPUTED_VALUE"""),45483.64583333333)</f>
        <v>45483.64583</v>
      </c>
      <c r="AY74" s="177">
        <f>IFERROR(__xludf.DUMMYFUNCTION("""COMPUTED_VALUE"""),453.7)</f>
        <v>453.7</v>
      </c>
      <c r="AZ74" s="177">
        <f>IFERROR(__xludf.DUMMYFUNCTION("""COMPUTED_VALUE"""),455.35)</f>
        <v>455.35</v>
      </c>
      <c r="BA74" s="177">
        <f>IFERROR(__xludf.DUMMYFUNCTION("""COMPUTED_VALUE"""),446.5)</f>
        <v>446.5</v>
      </c>
      <c r="BB74" s="177">
        <f>IFERROR(__xludf.DUMMYFUNCTION("""COMPUTED_VALUE"""),451.45)</f>
        <v>451.45</v>
      </c>
      <c r="BC74" s="177">
        <f>IFERROR(__xludf.DUMMYFUNCTION("""COMPUTED_VALUE"""),1.161821E7)</f>
        <v>11618210</v>
      </c>
      <c r="BD74" s="177">
        <f t="shared" si="5"/>
        <v>-0.002544108446</v>
      </c>
      <c r="BE74" s="177"/>
      <c r="BF74" s="177"/>
      <c r="BG74" s="189"/>
      <c r="BH74" s="140"/>
      <c r="BI74" s="140"/>
      <c r="BJ74" s="140"/>
      <c r="BK74" s="140"/>
      <c r="BL74" s="140"/>
      <c r="BM74" s="140"/>
      <c r="BN74" s="140"/>
      <c r="BO74" s="140"/>
      <c r="BP74" s="140"/>
      <c r="BQ74" s="140"/>
      <c r="BR74" s="140"/>
      <c r="BS74" s="140"/>
      <c r="BT74" s="140"/>
      <c r="BU74" s="140"/>
      <c r="BV74" s="140"/>
      <c r="BW74" s="140"/>
      <c r="BX74" s="140"/>
      <c r="BY74" s="140"/>
    </row>
    <row r="75" ht="15.75" customHeight="1">
      <c r="A75" s="168"/>
      <c r="B75" s="169">
        <v>45484.0</v>
      </c>
      <c r="C75" s="170">
        <v>6366.78</v>
      </c>
      <c r="D75" s="170">
        <v>6508.12</v>
      </c>
      <c r="E75" s="170">
        <v>6364.78</v>
      </c>
      <c r="F75" s="170">
        <v>6483.52</v>
      </c>
      <c r="G75" s="171" t="s">
        <v>238</v>
      </c>
      <c r="H75" s="172">
        <f t="shared" si="1"/>
        <v>0.0183676473</v>
      </c>
      <c r="I75" s="172"/>
      <c r="J75" s="172"/>
      <c r="K75" s="188"/>
      <c r="L75" s="140"/>
      <c r="M75" s="140"/>
      <c r="N75" s="176">
        <f>IFERROR(__xludf.DUMMYFUNCTION("""COMPUTED_VALUE"""),45484.64583333333)</f>
        <v>45484.64583</v>
      </c>
      <c r="O75" s="177">
        <f>IFERROR(__xludf.DUMMYFUNCTION("""COMPUTED_VALUE"""),1246.35)</f>
        <v>1246.35</v>
      </c>
      <c r="P75" s="177">
        <f>IFERROR(__xludf.DUMMYFUNCTION("""COMPUTED_VALUE"""),1257.8)</f>
        <v>1257.8</v>
      </c>
      <c r="Q75" s="177">
        <f>IFERROR(__xludf.DUMMYFUNCTION("""COMPUTED_VALUE"""),1225.05)</f>
        <v>1225.05</v>
      </c>
      <c r="R75" s="177">
        <f>IFERROR(__xludf.DUMMYFUNCTION("""COMPUTED_VALUE"""),1238.45)</f>
        <v>1238.45</v>
      </c>
      <c r="S75" s="177">
        <f>IFERROR(__xludf.DUMMYFUNCTION("""COMPUTED_VALUE"""),1.1307116E7)</f>
        <v>11307116</v>
      </c>
      <c r="T75" s="177">
        <f t="shared" si="2"/>
        <v>-0.003828102916</v>
      </c>
      <c r="U75" s="178"/>
      <c r="V75" s="177"/>
      <c r="W75" s="189"/>
      <c r="X75" s="140"/>
      <c r="Y75" s="140"/>
      <c r="Z75" s="176">
        <f>IFERROR(__xludf.DUMMYFUNCTION("""COMPUTED_VALUE"""),45484.64583333333)</f>
        <v>45484.64583</v>
      </c>
      <c r="AA75" s="177">
        <f>IFERROR(__xludf.DUMMYFUNCTION("""COMPUTED_VALUE"""),383.0)</f>
        <v>383</v>
      </c>
      <c r="AB75" s="177">
        <f>IFERROR(__xludf.DUMMYFUNCTION("""COMPUTED_VALUE"""),395.6)</f>
        <v>395.6</v>
      </c>
      <c r="AC75" s="177">
        <f>IFERROR(__xludf.DUMMYFUNCTION("""COMPUTED_VALUE"""),383.0)</f>
        <v>383</v>
      </c>
      <c r="AD75" s="177">
        <f>IFERROR(__xludf.DUMMYFUNCTION("""COMPUTED_VALUE"""),394.25)</f>
        <v>394.25</v>
      </c>
      <c r="AE75" s="177">
        <f>IFERROR(__xludf.DUMMYFUNCTION("""COMPUTED_VALUE"""),1.3286371E7)</f>
        <v>13286371</v>
      </c>
      <c r="AF75" s="177">
        <f t="shared" si="3"/>
        <v>0.02921136736</v>
      </c>
      <c r="AG75" s="177"/>
      <c r="AH75" s="177"/>
      <c r="AI75" s="189"/>
      <c r="AJ75" s="140"/>
      <c r="AK75" s="140"/>
      <c r="AL75" s="176">
        <f>IFERROR(__xludf.DUMMYFUNCTION("""COMPUTED_VALUE"""),45484.64583333333)</f>
        <v>45484.64583</v>
      </c>
      <c r="AM75" s="177">
        <f>IFERROR(__xludf.DUMMYFUNCTION("""COMPUTED_VALUE"""),5500.0)</f>
        <v>5500</v>
      </c>
      <c r="AN75" s="177">
        <f>IFERROR(__xludf.DUMMYFUNCTION("""COMPUTED_VALUE"""),5575.0)</f>
        <v>5575</v>
      </c>
      <c r="AO75" s="177">
        <f>IFERROR(__xludf.DUMMYFUNCTION("""COMPUTED_VALUE"""),5465.0)</f>
        <v>5465</v>
      </c>
      <c r="AP75" s="177">
        <f>IFERROR(__xludf.DUMMYFUNCTION("""COMPUTED_VALUE"""),5547.6)</f>
        <v>5547.6</v>
      </c>
      <c r="AQ75" s="177">
        <f>IFERROR(__xludf.DUMMYFUNCTION("""COMPUTED_VALUE"""),1843378.0)</f>
        <v>1843378</v>
      </c>
      <c r="AR75" s="177">
        <f t="shared" si="4"/>
        <v>0.01113866733</v>
      </c>
      <c r="AS75" s="177"/>
      <c r="AT75" s="177"/>
      <c r="AU75" s="189"/>
      <c r="AV75" s="140"/>
      <c r="AW75" s="140"/>
      <c r="AX75" s="176">
        <f>IFERROR(__xludf.DUMMYFUNCTION("""COMPUTED_VALUE"""),45484.64583333333)</f>
        <v>45484.64583</v>
      </c>
      <c r="AY75" s="177">
        <f>IFERROR(__xludf.DUMMYFUNCTION("""COMPUTED_VALUE"""),450.0)</f>
        <v>450</v>
      </c>
      <c r="AZ75" s="177">
        <f>IFERROR(__xludf.DUMMYFUNCTION("""COMPUTED_VALUE"""),459.5)</f>
        <v>459.5</v>
      </c>
      <c r="BA75" s="177">
        <f>IFERROR(__xludf.DUMMYFUNCTION("""COMPUTED_VALUE"""),448.7)</f>
        <v>448.7</v>
      </c>
      <c r="BB75" s="177">
        <f>IFERROR(__xludf.DUMMYFUNCTION("""COMPUTED_VALUE"""),458.65)</f>
        <v>458.65</v>
      </c>
      <c r="BC75" s="177">
        <f>IFERROR(__xludf.DUMMYFUNCTION("""COMPUTED_VALUE"""),1.8831345E7)</f>
        <v>18831345</v>
      </c>
      <c r="BD75" s="177">
        <f t="shared" si="5"/>
        <v>0.0158227672</v>
      </c>
      <c r="BE75" s="177"/>
      <c r="BF75" s="177"/>
      <c r="BG75" s="189"/>
      <c r="BH75" s="140"/>
      <c r="BI75" s="140"/>
      <c r="BJ75" s="140"/>
      <c r="BK75" s="140"/>
      <c r="BL75" s="140"/>
      <c r="BM75" s="140"/>
      <c r="BN75" s="140"/>
      <c r="BO75" s="140"/>
      <c r="BP75" s="140"/>
      <c r="BQ75" s="140"/>
      <c r="BR75" s="140"/>
      <c r="BS75" s="140"/>
      <c r="BT75" s="140"/>
      <c r="BU75" s="140"/>
      <c r="BV75" s="140"/>
      <c r="BW75" s="140"/>
      <c r="BX75" s="140"/>
      <c r="BY75" s="140"/>
    </row>
    <row r="76" ht="15.75" customHeight="1">
      <c r="A76" s="168"/>
      <c r="B76" s="169">
        <v>45485.0</v>
      </c>
      <c r="C76" s="170">
        <v>6485.12</v>
      </c>
      <c r="D76" s="170">
        <v>6496.12</v>
      </c>
      <c r="E76" s="170">
        <v>6421.52</v>
      </c>
      <c r="F76" s="170">
        <v>6473.12</v>
      </c>
      <c r="G76" s="171" t="s">
        <v>238</v>
      </c>
      <c r="H76" s="172">
        <f t="shared" si="1"/>
        <v>-0.001605354819</v>
      </c>
      <c r="I76" s="172"/>
      <c r="J76" s="172"/>
      <c r="K76" s="188"/>
      <c r="L76" s="140"/>
      <c r="M76" s="140"/>
      <c r="N76" s="176">
        <f>IFERROR(__xludf.DUMMYFUNCTION("""COMPUTED_VALUE"""),45485.64583333333)</f>
        <v>45485.64583</v>
      </c>
      <c r="O76" s="177">
        <f>IFERROR(__xludf.DUMMYFUNCTION("""COMPUTED_VALUE"""),1235.9)</f>
        <v>1235.9</v>
      </c>
      <c r="P76" s="177">
        <f>IFERROR(__xludf.DUMMYFUNCTION("""COMPUTED_VALUE"""),1252.9)</f>
        <v>1252.9</v>
      </c>
      <c r="Q76" s="177">
        <f>IFERROR(__xludf.DUMMYFUNCTION("""COMPUTED_VALUE"""),1230.1)</f>
        <v>1230.1</v>
      </c>
      <c r="R76" s="177">
        <f>IFERROR(__xludf.DUMMYFUNCTION("""COMPUTED_VALUE"""),1232.9)</f>
        <v>1232.9</v>
      </c>
      <c r="S76" s="177">
        <f>IFERROR(__xludf.DUMMYFUNCTION("""COMPUTED_VALUE"""),1.220829E7)</f>
        <v>12208290</v>
      </c>
      <c r="T76" s="177">
        <f t="shared" si="2"/>
        <v>-0.004491479823</v>
      </c>
      <c r="U76" s="178"/>
      <c r="V76" s="177"/>
      <c r="W76" s="189"/>
      <c r="X76" s="140"/>
      <c r="Y76" s="140"/>
      <c r="Z76" s="176">
        <f>IFERROR(__xludf.DUMMYFUNCTION("""COMPUTED_VALUE"""),45485.64583333333)</f>
        <v>45485.64583</v>
      </c>
      <c r="AA76" s="177">
        <f>IFERROR(__xludf.DUMMYFUNCTION("""COMPUTED_VALUE"""),396.5)</f>
        <v>396.5</v>
      </c>
      <c r="AB76" s="177">
        <f>IFERROR(__xludf.DUMMYFUNCTION("""COMPUTED_VALUE"""),398.55)</f>
        <v>398.55</v>
      </c>
      <c r="AC76" s="177">
        <f>IFERROR(__xludf.DUMMYFUNCTION("""COMPUTED_VALUE"""),389.1)</f>
        <v>389.1</v>
      </c>
      <c r="AD76" s="177">
        <f>IFERROR(__xludf.DUMMYFUNCTION("""COMPUTED_VALUE"""),392.0)</f>
        <v>392</v>
      </c>
      <c r="AE76" s="177">
        <f>IFERROR(__xludf.DUMMYFUNCTION("""COMPUTED_VALUE"""),1.0718103E7)</f>
        <v>10718103</v>
      </c>
      <c r="AF76" s="177">
        <f t="shared" si="3"/>
        <v>-0.005723386053</v>
      </c>
      <c r="AG76" s="177"/>
      <c r="AH76" s="177"/>
      <c r="AI76" s="189"/>
      <c r="AJ76" s="140"/>
      <c r="AK76" s="140"/>
      <c r="AL76" s="176">
        <f>IFERROR(__xludf.DUMMYFUNCTION("""COMPUTED_VALUE"""),45485.64583333333)</f>
        <v>45485.64583</v>
      </c>
      <c r="AM76" s="177">
        <f>IFERROR(__xludf.DUMMYFUNCTION("""COMPUTED_VALUE"""),5570.0)</f>
        <v>5570</v>
      </c>
      <c r="AN76" s="177">
        <f>IFERROR(__xludf.DUMMYFUNCTION("""COMPUTED_VALUE"""),5578.45)</f>
        <v>5578.45</v>
      </c>
      <c r="AO76" s="177">
        <f>IFERROR(__xludf.DUMMYFUNCTION("""COMPUTED_VALUE"""),5446.0)</f>
        <v>5446</v>
      </c>
      <c r="AP76" s="177">
        <f>IFERROR(__xludf.DUMMYFUNCTION("""COMPUTED_VALUE"""),5489.2)</f>
        <v>5489.2</v>
      </c>
      <c r="AQ76" s="177">
        <f>IFERROR(__xludf.DUMMYFUNCTION("""COMPUTED_VALUE"""),1387762.0)</f>
        <v>1387762</v>
      </c>
      <c r="AR76" s="177">
        <f t="shared" si="4"/>
        <v>-0.01058287639</v>
      </c>
      <c r="AS76" s="177"/>
      <c r="AT76" s="177"/>
      <c r="AU76" s="189"/>
      <c r="AV76" s="140"/>
      <c r="AW76" s="140"/>
      <c r="AX76" s="176">
        <f>IFERROR(__xludf.DUMMYFUNCTION("""COMPUTED_VALUE"""),45485.64583333333)</f>
        <v>45485.64583</v>
      </c>
      <c r="AY76" s="177">
        <f>IFERROR(__xludf.DUMMYFUNCTION("""COMPUTED_VALUE"""),458.65)</f>
        <v>458.65</v>
      </c>
      <c r="AZ76" s="177">
        <f>IFERROR(__xludf.DUMMYFUNCTION("""COMPUTED_VALUE"""),463.25)</f>
        <v>463.25</v>
      </c>
      <c r="BA76" s="177">
        <f>IFERROR(__xludf.DUMMYFUNCTION("""COMPUTED_VALUE"""),455.85)</f>
        <v>455.85</v>
      </c>
      <c r="BB76" s="177">
        <f>IFERROR(__xludf.DUMMYFUNCTION("""COMPUTED_VALUE"""),459.05)</f>
        <v>459.05</v>
      </c>
      <c r="BC76" s="177">
        <f>IFERROR(__xludf.DUMMYFUNCTION("""COMPUTED_VALUE"""),1.89628E7)</f>
        <v>18962800</v>
      </c>
      <c r="BD76" s="177">
        <f t="shared" si="5"/>
        <v>0.000871744634</v>
      </c>
      <c r="BE76" s="177"/>
      <c r="BF76" s="177"/>
      <c r="BG76" s="189"/>
      <c r="BH76" s="140"/>
      <c r="BI76" s="140"/>
      <c r="BJ76" s="140"/>
      <c r="BK76" s="140"/>
      <c r="BL76" s="140"/>
      <c r="BM76" s="140"/>
      <c r="BN76" s="140"/>
      <c r="BO76" s="140"/>
      <c r="BP76" s="140"/>
      <c r="BQ76" s="140"/>
      <c r="BR76" s="140"/>
      <c r="BS76" s="140"/>
      <c r="BT76" s="140"/>
      <c r="BU76" s="140"/>
      <c r="BV76" s="140"/>
      <c r="BW76" s="140"/>
      <c r="BX76" s="140"/>
      <c r="BY76" s="140"/>
    </row>
    <row r="77" ht="15.75" customHeight="1">
      <c r="A77" s="168"/>
      <c r="B77" s="169">
        <v>45488.0</v>
      </c>
      <c r="C77" s="170">
        <v>6475.12</v>
      </c>
      <c r="D77" s="170">
        <v>6553.52</v>
      </c>
      <c r="E77" s="170">
        <v>6450.12</v>
      </c>
      <c r="F77" s="170">
        <v>6506.78</v>
      </c>
      <c r="G77" s="171" t="s">
        <v>238</v>
      </c>
      <c r="H77" s="172">
        <f t="shared" si="1"/>
        <v>0.005186492262</v>
      </c>
      <c r="I77" s="172"/>
      <c r="J77" s="172"/>
      <c r="K77" s="188"/>
      <c r="L77" s="140"/>
      <c r="M77" s="140"/>
      <c r="N77" s="176">
        <f>IFERROR(__xludf.DUMMYFUNCTION("""COMPUTED_VALUE"""),45488.64583333333)</f>
        <v>45488.64583</v>
      </c>
      <c r="O77" s="177">
        <f>IFERROR(__xludf.DUMMYFUNCTION("""COMPUTED_VALUE"""),1233.1)</f>
        <v>1233.1</v>
      </c>
      <c r="P77" s="177">
        <f>IFERROR(__xludf.DUMMYFUNCTION("""COMPUTED_VALUE"""),1238.45)</f>
        <v>1238.45</v>
      </c>
      <c r="Q77" s="177">
        <f>IFERROR(__xludf.DUMMYFUNCTION("""COMPUTED_VALUE"""),1224.05)</f>
        <v>1224.05</v>
      </c>
      <c r="R77" s="177">
        <f>IFERROR(__xludf.DUMMYFUNCTION("""COMPUTED_VALUE"""),1229.95)</f>
        <v>1229.95</v>
      </c>
      <c r="S77" s="177">
        <f>IFERROR(__xludf.DUMMYFUNCTION("""COMPUTED_VALUE"""),1.5612671E7)</f>
        <v>15612671</v>
      </c>
      <c r="T77" s="177">
        <f t="shared" si="2"/>
        <v>-0.002395599741</v>
      </c>
      <c r="U77" s="178"/>
      <c r="V77" s="177"/>
      <c r="W77" s="189"/>
      <c r="X77" s="140"/>
      <c r="Y77" s="140"/>
      <c r="Z77" s="176">
        <f>IFERROR(__xludf.DUMMYFUNCTION("""COMPUTED_VALUE"""),45488.64583333333)</f>
        <v>45488.64583</v>
      </c>
      <c r="AA77" s="177">
        <f>IFERROR(__xludf.DUMMYFUNCTION("""COMPUTED_VALUE"""),392.05)</f>
        <v>392.05</v>
      </c>
      <c r="AB77" s="177">
        <f>IFERROR(__xludf.DUMMYFUNCTION("""COMPUTED_VALUE"""),398.05)</f>
        <v>398.05</v>
      </c>
      <c r="AC77" s="177">
        <f>IFERROR(__xludf.DUMMYFUNCTION("""COMPUTED_VALUE"""),388.0)</f>
        <v>388</v>
      </c>
      <c r="AD77" s="177">
        <f>IFERROR(__xludf.DUMMYFUNCTION("""COMPUTED_VALUE"""),396.55)</f>
        <v>396.55</v>
      </c>
      <c r="AE77" s="177">
        <f>IFERROR(__xludf.DUMMYFUNCTION("""COMPUTED_VALUE"""),7398000.0)</f>
        <v>7398000</v>
      </c>
      <c r="AF77" s="177">
        <f t="shared" si="3"/>
        <v>0.01154029674</v>
      </c>
      <c r="AG77" s="177"/>
      <c r="AH77" s="177"/>
      <c r="AI77" s="189"/>
      <c r="AJ77" s="140"/>
      <c r="AK77" s="140"/>
      <c r="AL77" s="176">
        <f>IFERROR(__xludf.DUMMYFUNCTION("""COMPUTED_VALUE"""),45488.64583333333)</f>
        <v>45488.64583</v>
      </c>
      <c r="AM77" s="177">
        <f>IFERROR(__xludf.DUMMYFUNCTION("""COMPUTED_VALUE"""),5495.0)</f>
        <v>5495</v>
      </c>
      <c r="AN77" s="177">
        <f>IFERROR(__xludf.DUMMYFUNCTION("""COMPUTED_VALUE"""),5535.0)</f>
        <v>5535</v>
      </c>
      <c r="AO77" s="177">
        <f>IFERROR(__xludf.DUMMYFUNCTION("""COMPUTED_VALUE"""),5429.0)</f>
        <v>5429</v>
      </c>
      <c r="AP77" s="177">
        <f>IFERROR(__xludf.DUMMYFUNCTION("""COMPUTED_VALUE"""),5504.6)</f>
        <v>5504.6</v>
      </c>
      <c r="AQ77" s="177">
        <f>IFERROR(__xludf.DUMMYFUNCTION("""COMPUTED_VALUE"""),1316307.0)</f>
        <v>1316307</v>
      </c>
      <c r="AR77" s="177">
        <f t="shared" si="4"/>
        <v>0.002801580904</v>
      </c>
      <c r="AS77" s="177"/>
      <c r="AT77" s="177"/>
      <c r="AU77" s="189"/>
      <c r="AV77" s="140"/>
      <c r="AW77" s="140"/>
      <c r="AX77" s="176">
        <f>IFERROR(__xludf.DUMMYFUNCTION("""COMPUTED_VALUE"""),45488.64583333333)</f>
        <v>45488.64583</v>
      </c>
      <c r="AY77" s="177">
        <f>IFERROR(__xludf.DUMMYFUNCTION("""COMPUTED_VALUE"""),459.05)</f>
        <v>459.05</v>
      </c>
      <c r="AZ77" s="177">
        <f>IFERROR(__xludf.DUMMYFUNCTION("""COMPUTED_VALUE"""),466.45)</f>
        <v>466.45</v>
      </c>
      <c r="BA77" s="177">
        <f>IFERROR(__xludf.DUMMYFUNCTION("""COMPUTED_VALUE"""),457.2)</f>
        <v>457.2</v>
      </c>
      <c r="BB77" s="177">
        <f>IFERROR(__xludf.DUMMYFUNCTION("""COMPUTED_VALUE"""),463.4)</f>
        <v>463.4</v>
      </c>
      <c r="BC77" s="177">
        <f>IFERROR(__xludf.DUMMYFUNCTION("""COMPUTED_VALUE"""),1.6251032E7)</f>
        <v>16251032</v>
      </c>
      <c r="BD77" s="177">
        <f t="shared" si="5"/>
        <v>0.009431475409</v>
      </c>
      <c r="BE77" s="177"/>
      <c r="BF77" s="177"/>
      <c r="BG77" s="189"/>
      <c r="BH77" s="140"/>
      <c r="BI77" s="140"/>
      <c r="BJ77" s="140"/>
      <c r="BK77" s="140"/>
      <c r="BL77" s="140"/>
      <c r="BM77" s="140"/>
      <c r="BN77" s="140"/>
      <c r="BO77" s="140"/>
      <c r="BP77" s="140"/>
      <c r="BQ77" s="140"/>
      <c r="BR77" s="140"/>
      <c r="BS77" s="140"/>
      <c r="BT77" s="140"/>
      <c r="BU77" s="140"/>
      <c r="BV77" s="140"/>
      <c r="BW77" s="140"/>
      <c r="BX77" s="140"/>
      <c r="BY77" s="140"/>
    </row>
    <row r="78" ht="15.75" customHeight="1">
      <c r="A78" s="168"/>
      <c r="B78" s="169">
        <v>45489.0</v>
      </c>
      <c r="C78" s="170">
        <v>6508.12</v>
      </c>
      <c r="D78" s="170">
        <v>6633.12</v>
      </c>
      <c r="E78" s="170">
        <v>6502.12</v>
      </c>
      <c r="F78" s="170">
        <v>6629.12</v>
      </c>
      <c r="G78" s="171" t="s">
        <v>238</v>
      </c>
      <c r="H78" s="172">
        <f t="shared" si="1"/>
        <v>0.01862735518</v>
      </c>
      <c r="I78" s="172"/>
      <c r="J78" s="172"/>
      <c r="K78" s="188"/>
      <c r="L78" s="140"/>
      <c r="M78" s="140"/>
      <c r="N78" s="176">
        <f>IFERROR(__xludf.DUMMYFUNCTION("""COMPUTED_VALUE"""),45489.64583333333)</f>
        <v>45489.64583</v>
      </c>
      <c r="O78" s="177">
        <f>IFERROR(__xludf.DUMMYFUNCTION("""COMPUTED_VALUE"""),1230.0)</f>
        <v>1230</v>
      </c>
      <c r="P78" s="177">
        <f>IFERROR(__xludf.DUMMYFUNCTION("""COMPUTED_VALUE"""),1245.0)</f>
        <v>1245</v>
      </c>
      <c r="Q78" s="177">
        <f>IFERROR(__xludf.DUMMYFUNCTION("""COMPUTED_VALUE"""),1229.0)</f>
        <v>1229</v>
      </c>
      <c r="R78" s="177">
        <f>IFERROR(__xludf.DUMMYFUNCTION("""COMPUTED_VALUE"""),1239.9)</f>
        <v>1239.9</v>
      </c>
      <c r="S78" s="177">
        <f>IFERROR(__xludf.DUMMYFUNCTION("""COMPUTED_VALUE"""),1.2320605E7)</f>
        <v>12320605</v>
      </c>
      <c r="T78" s="177">
        <f t="shared" si="2"/>
        <v>0.008057213052</v>
      </c>
      <c r="U78" s="178"/>
      <c r="V78" s="177"/>
      <c r="W78" s="189"/>
      <c r="X78" s="140"/>
      <c r="Y78" s="140"/>
      <c r="Z78" s="176">
        <f>IFERROR(__xludf.DUMMYFUNCTION("""COMPUTED_VALUE"""),45489.64583333333)</f>
        <v>45489.64583</v>
      </c>
      <c r="AA78" s="177">
        <f>IFERROR(__xludf.DUMMYFUNCTION("""COMPUTED_VALUE"""),401.9)</f>
        <v>401.9</v>
      </c>
      <c r="AB78" s="177">
        <f>IFERROR(__xludf.DUMMYFUNCTION("""COMPUTED_VALUE"""),407.9)</f>
        <v>407.9</v>
      </c>
      <c r="AC78" s="177">
        <f>IFERROR(__xludf.DUMMYFUNCTION("""COMPUTED_VALUE"""),398.1)</f>
        <v>398.1</v>
      </c>
      <c r="AD78" s="177">
        <f>IFERROR(__xludf.DUMMYFUNCTION("""COMPUTED_VALUE"""),406.85)</f>
        <v>406.85</v>
      </c>
      <c r="AE78" s="177">
        <f>IFERROR(__xludf.DUMMYFUNCTION("""COMPUTED_VALUE"""),1.7411078E7)</f>
        <v>17411078</v>
      </c>
      <c r="AF78" s="177">
        <f t="shared" si="3"/>
        <v>0.02564243061</v>
      </c>
      <c r="AG78" s="177"/>
      <c r="AH78" s="177"/>
      <c r="AI78" s="189"/>
      <c r="AJ78" s="140"/>
      <c r="AK78" s="140"/>
      <c r="AL78" s="176">
        <f>IFERROR(__xludf.DUMMYFUNCTION("""COMPUTED_VALUE"""),45489.64583333333)</f>
        <v>45489.64583</v>
      </c>
      <c r="AM78" s="177">
        <f>IFERROR(__xludf.DUMMYFUNCTION("""COMPUTED_VALUE"""),5492.2)</f>
        <v>5492.2</v>
      </c>
      <c r="AN78" s="177">
        <f>IFERROR(__xludf.DUMMYFUNCTION("""COMPUTED_VALUE"""),5501.0)</f>
        <v>5501</v>
      </c>
      <c r="AO78" s="177">
        <f>IFERROR(__xludf.DUMMYFUNCTION("""COMPUTED_VALUE"""),5311.7)</f>
        <v>5311.7</v>
      </c>
      <c r="AP78" s="177">
        <f>IFERROR(__xludf.DUMMYFUNCTION("""COMPUTED_VALUE"""),5329.4)</f>
        <v>5329.4</v>
      </c>
      <c r="AQ78" s="177">
        <f>IFERROR(__xludf.DUMMYFUNCTION("""COMPUTED_VALUE"""),2661970.0)</f>
        <v>2661970</v>
      </c>
      <c r="AR78" s="177">
        <f t="shared" si="4"/>
        <v>-0.03234544483</v>
      </c>
      <c r="AS78" s="177"/>
      <c r="AT78" s="177"/>
      <c r="AU78" s="189"/>
      <c r="AV78" s="140"/>
      <c r="AW78" s="140"/>
      <c r="AX78" s="176">
        <f>IFERROR(__xludf.DUMMYFUNCTION("""COMPUTED_VALUE"""),45489.64583333333)</f>
        <v>45489.64583</v>
      </c>
      <c r="AY78" s="177">
        <f>IFERROR(__xludf.DUMMYFUNCTION("""COMPUTED_VALUE"""),463.45)</f>
        <v>463.45</v>
      </c>
      <c r="AZ78" s="177">
        <f>IFERROR(__xludf.DUMMYFUNCTION("""COMPUTED_VALUE"""),466.75)</f>
        <v>466.75</v>
      </c>
      <c r="BA78" s="177">
        <f>IFERROR(__xludf.DUMMYFUNCTION("""COMPUTED_VALUE"""),461.4)</f>
        <v>461.4</v>
      </c>
      <c r="BB78" s="177">
        <f>IFERROR(__xludf.DUMMYFUNCTION("""COMPUTED_VALUE"""),465.55)</f>
        <v>465.55</v>
      </c>
      <c r="BC78" s="177">
        <f>IFERROR(__xludf.DUMMYFUNCTION("""COMPUTED_VALUE"""),1.2996711E7)</f>
        <v>12996711</v>
      </c>
      <c r="BD78" s="177">
        <f t="shared" si="5"/>
        <v>0.004628890336</v>
      </c>
      <c r="BE78" s="177"/>
      <c r="BF78" s="177"/>
      <c r="BG78" s="189"/>
      <c r="BH78" s="140"/>
      <c r="BI78" s="140"/>
      <c r="BJ78" s="140"/>
      <c r="BK78" s="140"/>
      <c r="BL78" s="140"/>
      <c r="BM78" s="140"/>
      <c r="BN78" s="140"/>
      <c r="BO78" s="140"/>
      <c r="BP78" s="140"/>
      <c r="BQ78" s="140"/>
      <c r="BR78" s="140"/>
      <c r="BS78" s="140"/>
      <c r="BT78" s="140"/>
      <c r="BU78" s="140"/>
      <c r="BV78" s="140"/>
      <c r="BW78" s="140"/>
      <c r="BX78" s="140"/>
      <c r="BY78" s="140"/>
    </row>
    <row r="79" ht="15.75" customHeight="1">
      <c r="A79" s="168"/>
      <c r="B79" s="169">
        <v>45491.0</v>
      </c>
      <c r="C79" s="170">
        <v>6607.12</v>
      </c>
      <c r="D79" s="170">
        <v>6654.78</v>
      </c>
      <c r="E79" s="170">
        <v>6558.12</v>
      </c>
      <c r="F79" s="170">
        <v>6570.78</v>
      </c>
      <c r="G79" s="171" t="s">
        <v>238</v>
      </c>
      <c r="H79" s="172">
        <f t="shared" si="1"/>
        <v>-0.008839518462</v>
      </c>
      <c r="I79" s="172"/>
      <c r="J79" s="172"/>
      <c r="K79" s="188"/>
      <c r="L79" s="140"/>
      <c r="M79" s="140"/>
      <c r="N79" s="176">
        <f>IFERROR(__xludf.DUMMYFUNCTION("""COMPUTED_VALUE"""),45491.64583333333)</f>
        <v>45491.64583</v>
      </c>
      <c r="O79" s="177">
        <f>IFERROR(__xludf.DUMMYFUNCTION("""COMPUTED_VALUE"""),1234.9)</f>
        <v>1234.9</v>
      </c>
      <c r="P79" s="177">
        <f>IFERROR(__xludf.DUMMYFUNCTION("""COMPUTED_VALUE"""),1256.45)</f>
        <v>1256.45</v>
      </c>
      <c r="Q79" s="177">
        <f>IFERROR(__xludf.DUMMYFUNCTION("""COMPUTED_VALUE"""),1231.7)</f>
        <v>1231.7</v>
      </c>
      <c r="R79" s="177">
        <f>IFERROR(__xludf.DUMMYFUNCTION("""COMPUTED_VALUE"""),1250.3)</f>
        <v>1250.3</v>
      </c>
      <c r="S79" s="177">
        <f>IFERROR(__xludf.DUMMYFUNCTION("""COMPUTED_VALUE"""),1.0999632E7)</f>
        <v>10999632</v>
      </c>
      <c r="T79" s="177">
        <f t="shared" si="2"/>
        <v>0.008352791315</v>
      </c>
      <c r="U79" s="178"/>
      <c r="V79" s="177"/>
      <c r="W79" s="189"/>
      <c r="X79" s="140"/>
      <c r="Y79" s="140"/>
      <c r="Z79" s="176">
        <f>IFERROR(__xludf.DUMMYFUNCTION("""COMPUTED_VALUE"""),45491.64583333333)</f>
        <v>45491.64583</v>
      </c>
      <c r="AA79" s="177">
        <f>IFERROR(__xludf.DUMMYFUNCTION("""COMPUTED_VALUE"""),407.5)</f>
        <v>407.5</v>
      </c>
      <c r="AB79" s="177">
        <f>IFERROR(__xludf.DUMMYFUNCTION("""COMPUTED_VALUE"""),423.2)</f>
        <v>423.2</v>
      </c>
      <c r="AC79" s="177">
        <f>IFERROR(__xludf.DUMMYFUNCTION("""COMPUTED_VALUE"""),407.5)</f>
        <v>407.5</v>
      </c>
      <c r="AD79" s="177">
        <f>IFERROR(__xludf.DUMMYFUNCTION("""COMPUTED_VALUE"""),418.95)</f>
        <v>418.95</v>
      </c>
      <c r="AE79" s="177">
        <f>IFERROR(__xludf.DUMMYFUNCTION("""COMPUTED_VALUE"""),4.1312223E7)</f>
        <v>41312223</v>
      </c>
      <c r="AF79" s="177">
        <f t="shared" si="3"/>
        <v>0.02930701392</v>
      </c>
      <c r="AG79" s="177"/>
      <c r="AH79" s="177"/>
      <c r="AI79" s="189"/>
      <c r="AJ79" s="140"/>
      <c r="AK79" s="140"/>
      <c r="AL79" s="176">
        <f>IFERROR(__xludf.DUMMYFUNCTION("""COMPUTED_VALUE"""),45491.64583333333)</f>
        <v>45491.64583</v>
      </c>
      <c r="AM79" s="177">
        <f>IFERROR(__xludf.DUMMYFUNCTION("""COMPUTED_VALUE"""),5325.0)</f>
        <v>5325</v>
      </c>
      <c r="AN79" s="177">
        <f>IFERROR(__xludf.DUMMYFUNCTION("""COMPUTED_VALUE"""),5325.0)</f>
        <v>5325</v>
      </c>
      <c r="AO79" s="177">
        <f>IFERROR(__xludf.DUMMYFUNCTION("""COMPUTED_VALUE"""),4975.0)</f>
        <v>4975</v>
      </c>
      <c r="AP79" s="177">
        <f>IFERROR(__xludf.DUMMYFUNCTION("""COMPUTED_VALUE"""),5015.75)</f>
        <v>5015.75</v>
      </c>
      <c r="AQ79" s="177">
        <f>IFERROR(__xludf.DUMMYFUNCTION("""COMPUTED_VALUE"""),7950717.0)</f>
        <v>7950717</v>
      </c>
      <c r="AR79" s="177">
        <f t="shared" si="4"/>
        <v>-0.06065569991</v>
      </c>
      <c r="AS79" s="177"/>
      <c r="AT79" s="177"/>
      <c r="AU79" s="189"/>
      <c r="AV79" s="140"/>
      <c r="AW79" s="140"/>
      <c r="AX79" s="176">
        <f>IFERROR(__xludf.DUMMYFUNCTION("""COMPUTED_VALUE"""),45491.64583333333)</f>
        <v>45491.64583</v>
      </c>
      <c r="AY79" s="177">
        <f>IFERROR(__xludf.DUMMYFUNCTION("""COMPUTED_VALUE"""),463.0)</f>
        <v>463</v>
      </c>
      <c r="AZ79" s="177">
        <f>IFERROR(__xludf.DUMMYFUNCTION("""COMPUTED_VALUE"""),470.9)</f>
        <v>470.9</v>
      </c>
      <c r="BA79" s="177">
        <f>IFERROR(__xludf.DUMMYFUNCTION("""COMPUTED_VALUE"""),462.65)</f>
        <v>462.65</v>
      </c>
      <c r="BB79" s="177">
        <f>IFERROR(__xludf.DUMMYFUNCTION("""COMPUTED_VALUE"""),470.25)</f>
        <v>470.25</v>
      </c>
      <c r="BC79" s="177">
        <f>IFERROR(__xludf.DUMMYFUNCTION("""COMPUTED_VALUE"""),2.1094737E7)</f>
        <v>21094737</v>
      </c>
      <c r="BD79" s="177">
        <f t="shared" si="5"/>
        <v>0.01004496585</v>
      </c>
      <c r="BE79" s="177"/>
      <c r="BF79" s="177"/>
      <c r="BG79" s="189"/>
      <c r="BH79" s="140"/>
      <c r="BI79" s="140"/>
      <c r="BJ79" s="140"/>
      <c r="BK79" s="140"/>
      <c r="BL79" s="140"/>
      <c r="BM79" s="140"/>
      <c r="BN79" s="140"/>
      <c r="BO79" s="140"/>
      <c r="BP79" s="140"/>
      <c r="BQ79" s="140"/>
      <c r="BR79" s="140"/>
      <c r="BS79" s="140"/>
      <c r="BT79" s="140"/>
      <c r="BU79" s="140"/>
      <c r="BV79" s="140"/>
      <c r="BW79" s="140"/>
      <c r="BX79" s="140"/>
      <c r="BY79" s="140"/>
    </row>
    <row r="80" ht="15.75" customHeight="1">
      <c r="A80" s="168"/>
      <c r="B80" s="169">
        <v>45492.0</v>
      </c>
      <c r="C80" s="170">
        <v>6571.52</v>
      </c>
      <c r="D80" s="170">
        <v>6573.12</v>
      </c>
      <c r="E80" s="170">
        <v>6442.78</v>
      </c>
      <c r="F80" s="170">
        <v>6462.12</v>
      </c>
      <c r="G80" s="171" t="s">
        <v>238</v>
      </c>
      <c r="H80" s="172">
        <f t="shared" si="1"/>
        <v>-0.01667510958</v>
      </c>
      <c r="I80" s="172"/>
      <c r="J80" s="172"/>
      <c r="K80" s="188"/>
      <c r="L80" s="140"/>
      <c r="M80" s="140"/>
      <c r="N80" s="176">
        <f>IFERROR(__xludf.DUMMYFUNCTION("""COMPUTED_VALUE"""),45492.64583333333)</f>
        <v>45492.64583</v>
      </c>
      <c r="O80" s="177">
        <f>IFERROR(__xludf.DUMMYFUNCTION("""COMPUTED_VALUE"""),1244.0)</f>
        <v>1244</v>
      </c>
      <c r="P80" s="177">
        <f>IFERROR(__xludf.DUMMYFUNCTION("""COMPUTED_VALUE"""),1250.5)</f>
        <v>1250.5</v>
      </c>
      <c r="Q80" s="177">
        <f>IFERROR(__xludf.DUMMYFUNCTION("""COMPUTED_VALUE"""),1240.25)</f>
        <v>1240.25</v>
      </c>
      <c r="R80" s="177">
        <f>IFERROR(__xludf.DUMMYFUNCTION("""COMPUTED_VALUE"""),1248.65)</f>
        <v>1248.65</v>
      </c>
      <c r="S80" s="177">
        <f>IFERROR(__xludf.DUMMYFUNCTION("""COMPUTED_VALUE"""),7958817.0)</f>
        <v>7958817</v>
      </c>
      <c r="T80" s="177">
        <f t="shared" si="2"/>
        <v>-0.001320554825</v>
      </c>
      <c r="U80" s="178"/>
      <c r="V80" s="177"/>
      <c r="W80" s="189"/>
      <c r="X80" s="140"/>
      <c r="Y80" s="140"/>
      <c r="Z80" s="176">
        <f>IFERROR(__xludf.DUMMYFUNCTION("""COMPUTED_VALUE"""),45492.64583333333)</f>
        <v>45492.64583</v>
      </c>
      <c r="AA80" s="177">
        <f>IFERROR(__xludf.DUMMYFUNCTION("""COMPUTED_VALUE"""),421.15)</f>
        <v>421.15</v>
      </c>
      <c r="AB80" s="177">
        <f>IFERROR(__xludf.DUMMYFUNCTION("""COMPUTED_VALUE"""),424.7)</f>
        <v>424.7</v>
      </c>
      <c r="AC80" s="177">
        <f>IFERROR(__xludf.DUMMYFUNCTION("""COMPUTED_VALUE"""),404.8)</f>
        <v>404.8</v>
      </c>
      <c r="AD80" s="177">
        <f>IFERROR(__xludf.DUMMYFUNCTION("""COMPUTED_VALUE"""),409.5)</f>
        <v>409.5</v>
      </c>
      <c r="AE80" s="177">
        <f>IFERROR(__xludf.DUMMYFUNCTION("""COMPUTED_VALUE"""),1.8446103E7)</f>
        <v>18446103</v>
      </c>
      <c r="AF80" s="177">
        <f t="shared" si="3"/>
        <v>-0.02281467777</v>
      </c>
      <c r="AG80" s="177"/>
      <c r="AH80" s="177"/>
      <c r="AI80" s="189"/>
      <c r="AJ80" s="140"/>
      <c r="AK80" s="140"/>
      <c r="AL80" s="176">
        <f>IFERROR(__xludf.DUMMYFUNCTION("""COMPUTED_VALUE"""),45492.64583333333)</f>
        <v>45492.64583</v>
      </c>
      <c r="AM80" s="177">
        <f>IFERROR(__xludf.DUMMYFUNCTION("""COMPUTED_VALUE"""),5010.0)</f>
        <v>5010</v>
      </c>
      <c r="AN80" s="177">
        <f>IFERROR(__xludf.DUMMYFUNCTION("""COMPUTED_VALUE"""),5020.0)</f>
        <v>5020</v>
      </c>
      <c r="AO80" s="177">
        <f>IFERROR(__xludf.DUMMYFUNCTION("""COMPUTED_VALUE"""),4783.1)</f>
        <v>4783.1</v>
      </c>
      <c r="AP80" s="177">
        <f>IFERROR(__xludf.DUMMYFUNCTION("""COMPUTED_VALUE"""),4800.25)</f>
        <v>4800.25</v>
      </c>
      <c r="AQ80" s="177">
        <f>IFERROR(__xludf.DUMMYFUNCTION("""COMPUTED_VALUE"""),6373234.0)</f>
        <v>6373234</v>
      </c>
      <c r="AR80" s="177">
        <f t="shared" si="4"/>
        <v>-0.04391496169</v>
      </c>
      <c r="AS80" s="177"/>
      <c r="AT80" s="177"/>
      <c r="AU80" s="189"/>
      <c r="AV80" s="140"/>
      <c r="AW80" s="140"/>
      <c r="AX80" s="176">
        <f>IFERROR(__xludf.DUMMYFUNCTION("""COMPUTED_VALUE"""),45492.64583333333)</f>
        <v>45492.64583</v>
      </c>
      <c r="AY80" s="177">
        <f>IFERROR(__xludf.DUMMYFUNCTION("""COMPUTED_VALUE"""),471.0)</f>
        <v>471</v>
      </c>
      <c r="AZ80" s="177">
        <f>IFERROR(__xludf.DUMMYFUNCTION("""COMPUTED_VALUE"""),479.4)</f>
        <v>479.4</v>
      </c>
      <c r="BA80" s="177">
        <f>IFERROR(__xludf.DUMMYFUNCTION("""COMPUTED_VALUE"""),469.4)</f>
        <v>469.4</v>
      </c>
      <c r="BB80" s="177">
        <f>IFERROR(__xludf.DUMMYFUNCTION("""COMPUTED_VALUE"""),474.55)</f>
        <v>474.55</v>
      </c>
      <c r="BC80" s="177">
        <f>IFERROR(__xludf.DUMMYFUNCTION("""COMPUTED_VALUE"""),2.4977373E7)</f>
        <v>24977373</v>
      </c>
      <c r="BD80" s="177">
        <f t="shared" si="5"/>
        <v>0.009102518395</v>
      </c>
      <c r="BE80" s="177"/>
      <c r="BF80" s="177"/>
      <c r="BG80" s="189"/>
      <c r="BH80" s="140"/>
      <c r="BI80" s="140"/>
      <c r="BJ80" s="140"/>
      <c r="BK80" s="140"/>
      <c r="BL80" s="140"/>
      <c r="BM80" s="140"/>
      <c r="BN80" s="140"/>
      <c r="BO80" s="140"/>
      <c r="BP80" s="140"/>
      <c r="BQ80" s="140"/>
      <c r="BR80" s="140"/>
      <c r="BS80" s="140"/>
      <c r="BT80" s="140"/>
      <c r="BU80" s="140"/>
      <c r="BV80" s="140"/>
      <c r="BW80" s="140"/>
      <c r="BX80" s="140"/>
      <c r="BY80" s="140"/>
    </row>
    <row r="81" ht="15.75" customHeight="1">
      <c r="A81" s="168"/>
      <c r="B81" s="169">
        <v>45495.0</v>
      </c>
      <c r="C81" s="170">
        <v>6461.12</v>
      </c>
      <c r="D81" s="170">
        <v>6492.78</v>
      </c>
      <c r="E81" s="170">
        <v>6411.52</v>
      </c>
      <c r="F81" s="170">
        <v>6445.12</v>
      </c>
      <c r="G81" s="171" t="s">
        <v>238</v>
      </c>
      <c r="H81" s="172">
        <f t="shared" si="1"/>
        <v>-0.00263418203</v>
      </c>
      <c r="I81" s="172"/>
      <c r="J81" s="172"/>
      <c r="K81" s="188"/>
      <c r="L81" s="140"/>
      <c r="M81" s="140"/>
      <c r="N81" s="176">
        <f>IFERROR(__xludf.DUMMYFUNCTION("""COMPUTED_VALUE"""),45495.64583333333)</f>
        <v>45495.64583</v>
      </c>
      <c r="O81" s="177">
        <f>IFERROR(__xludf.DUMMYFUNCTION("""COMPUTED_VALUE"""),1240.0)</f>
        <v>1240</v>
      </c>
      <c r="P81" s="177">
        <f>IFERROR(__xludf.DUMMYFUNCTION("""COMPUTED_VALUE"""),1245.3)</f>
        <v>1245.3</v>
      </c>
      <c r="Q81" s="177">
        <f>IFERROR(__xludf.DUMMYFUNCTION("""COMPUTED_VALUE"""),1232.9)</f>
        <v>1232.9</v>
      </c>
      <c r="R81" s="177">
        <f>IFERROR(__xludf.DUMMYFUNCTION("""COMPUTED_VALUE"""),1241.15)</f>
        <v>1241.15</v>
      </c>
      <c r="S81" s="177">
        <f>IFERROR(__xludf.DUMMYFUNCTION("""COMPUTED_VALUE"""),9958965.0)</f>
        <v>9958965</v>
      </c>
      <c r="T81" s="177">
        <f t="shared" si="2"/>
        <v>-0.00602459851</v>
      </c>
      <c r="U81" s="178"/>
      <c r="V81" s="177"/>
      <c r="W81" s="189"/>
      <c r="X81" s="140"/>
      <c r="Y81" s="140"/>
      <c r="Z81" s="176">
        <f>IFERROR(__xludf.DUMMYFUNCTION("""COMPUTED_VALUE"""),45495.64583333333)</f>
        <v>45495.64583</v>
      </c>
      <c r="AA81" s="177">
        <f>IFERROR(__xludf.DUMMYFUNCTION("""COMPUTED_VALUE"""),409.6)</f>
        <v>409.6</v>
      </c>
      <c r="AB81" s="177">
        <f>IFERROR(__xludf.DUMMYFUNCTION("""COMPUTED_VALUE"""),422.9)</f>
        <v>422.9</v>
      </c>
      <c r="AC81" s="177">
        <f>IFERROR(__xludf.DUMMYFUNCTION("""COMPUTED_VALUE"""),403.65)</f>
        <v>403.65</v>
      </c>
      <c r="AD81" s="177">
        <f>IFERROR(__xludf.DUMMYFUNCTION("""COMPUTED_VALUE"""),421.75)</f>
        <v>421.75</v>
      </c>
      <c r="AE81" s="177">
        <f>IFERROR(__xludf.DUMMYFUNCTION("""COMPUTED_VALUE"""),1.2653379E7)</f>
        <v>12653379</v>
      </c>
      <c r="AF81" s="177">
        <f t="shared" si="3"/>
        <v>0.02947581813</v>
      </c>
      <c r="AG81" s="177"/>
      <c r="AH81" s="177"/>
      <c r="AI81" s="189"/>
      <c r="AJ81" s="140"/>
      <c r="AK81" s="140"/>
      <c r="AL81" s="176">
        <f>IFERROR(__xludf.DUMMYFUNCTION("""COMPUTED_VALUE"""),45495.64583333333)</f>
        <v>45495.64583</v>
      </c>
      <c r="AM81" s="177">
        <f>IFERROR(__xludf.DUMMYFUNCTION("""COMPUTED_VALUE"""),4799.75)</f>
        <v>4799.75</v>
      </c>
      <c r="AN81" s="177">
        <f>IFERROR(__xludf.DUMMYFUNCTION("""COMPUTED_VALUE"""),5073.85)</f>
        <v>5073.85</v>
      </c>
      <c r="AO81" s="177">
        <f>IFERROR(__xludf.DUMMYFUNCTION("""COMPUTED_VALUE"""),4678.0)</f>
        <v>4678</v>
      </c>
      <c r="AP81" s="177">
        <f>IFERROR(__xludf.DUMMYFUNCTION("""COMPUTED_VALUE"""),4997.25)</f>
        <v>4997.25</v>
      </c>
      <c r="AQ81" s="177">
        <f>IFERROR(__xludf.DUMMYFUNCTION("""COMPUTED_VALUE"""),6315834.0)</f>
        <v>6315834</v>
      </c>
      <c r="AR81" s="177">
        <f t="shared" si="4"/>
        <v>0.04021976124</v>
      </c>
      <c r="AS81" s="177"/>
      <c r="AT81" s="177"/>
      <c r="AU81" s="189"/>
      <c r="AV81" s="140"/>
      <c r="AW81" s="140"/>
      <c r="AX81" s="176">
        <f>IFERROR(__xludf.DUMMYFUNCTION("""COMPUTED_VALUE"""),45495.64583333333)</f>
        <v>45495.64583</v>
      </c>
      <c r="AY81" s="177">
        <f>IFERROR(__xludf.DUMMYFUNCTION("""COMPUTED_VALUE"""),474.6)</f>
        <v>474.6</v>
      </c>
      <c r="AZ81" s="177">
        <f>IFERROR(__xludf.DUMMYFUNCTION("""COMPUTED_VALUE"""),479.45)</f>
        <v>479.45</v>
      </c>
      <c r="BA81" s="177">
        <f>IFERROR(__xludf.DUMMYFUNCTION("""COMPUTED_VALUE"""),465.85)</f>
        <v>465.85</v>
      </c>
      <c r="BB81" s="177">
        <f>IFERROR(__xludf.DUMMYFUNCTION("""COMPUTED_VALUE"""),466.55)</f>
        <v>466.55</v>
      </c>
      <c r="BC81" s="177">
        <f>IFERROR(__xludf.DUMMYFUNCTION("""COMPUTED_VALUE"""),1.8066586E7)</f>
        <v>18066586</v>
      </c>
      <c r="BD81" s="177">
        <f t="shared" si="5"/>
        <v>-0.0170017909</v>
      </c>
      <c r="BE81" s="177"/>
      <c r="BF81" s="177"/>
      <c r="BG81" s="189"/>
      <c r="BH81" s="140"/>
      <c r="BI81" s="140"/>
      <c r="BJ81" s="140"/>
      <c r="BK81" s="140"/>
      <c r="BL81" s="140"/>
      <c r="BM81" s="140"/>
      <c r="BN81" s="140"/>
      <c r="BO81" s="140"/>
      <c r="BP81" s="140"/>
      <c r="BQ81" s="140"/>
      <c r="BR81" s="140"/>
      <c r="BS81" s="140"/>
      <c r="BT81" s="140"/>
      <c r="BU81" s="140"/>
      <c r="BV81" s="140"/>
      <c r="BW81" s="140"/>
      <c r="BX81" s="140"/>
      <c r="BY81" s="140"/>
    </row>
    <row r="82" ht="15.75" customHeight="1">
      <c r="A82" s="168"/>
      <c r="B82" s="169">
        <v>45496.0</v>
      </c>
      <c r="C82" s="170">
        <v>6446.12</v>
      </c>
      <c r="D82" s="170">
        <v>6492.78</v>
      </c>
      <c r="E82" s="170">
        <v>6421.12</v>
      </c>
      <c r="F82" s="170">
        <v>6478.78</v>
      </c>
      <c r="G82" s="171" t="s">
        <v>238</v>
      </c>
      <c r="H82" s="172">
        <f t="shared" si="1"/>
        <v>0.005208965732</v>
      </c>
      <c r="I82" s="172"/>
      <c r="J82" s="172"/>
      <c r="K82" s="188"/>
      <c r="L82" s="140"/>
      <c r="M82" s="140"/>
      <c r="N82" s="176">
        <f>IFERROR(__xludf.DUMMYFUNCTION("""COMPUTED_VALUE"""),45496.64583333333)</f>
        <v>45496.64583</v>
      </c>
      <c r="O82" s="177">
        <f>IFERROR(__xludf.DUMMYFUNCTION("""COMPUTED_VALUE"""),1241.15)</f>
        <v>1241.15</v>
      </c>
      <c r="P82" s="177">
        <f>IFERROR(__xludf.DUMMYFUNCTION("""COMPUTED_VALUE"""),1248.65)</f>
        <v>1248.65</v>
      </c>
      <c r="Q82" s="177">
        <f>IFERROR(__xludf.DUMMYFUNCTION("""COMPUTED_VALUE"""),1212.5)</f>
        <v>1212.5</v>
      </c>
      <c r="R82" s="177">
        <f>IFERROR(__xludf.DUMMYFUNCTION("""COMPUTED_VALUE"""),1226.75)</f>
        <v>1226.75</v>
      </c>
      <c r="S82" s="177">
        <f>IFERROR(__xludf.DUMMYFUNCTION("""COMPUTED_VALUE"""),1.9369832E7)</f>
        <v>19369832</v>
      </c>
      <c r="T82" s="177">
        <f t="shared" si="2"/>
        <v>-0.0116699732</v>
      </c>
      <c r="U82" s="178"/>
      <c r="V82" s="177"/>
      <c r="W82" s="189"/>
      <c r="X82" s="140"/>
      <c r="Y82" s="140"/>
      <c r="Z82" s="176">
        <f>IFERROR(__xludf.DUMMYFUNCTION("""COMPUTED_VALUE"""),45496.64583333333)</f>
        <v>45496.64583</v>
      </c>
      <c r="AA82" s="177">
        <f>IFERROR(__xludf.DUMMYFUNCTION("""COMPUTED_VALUE"""),424.0)</f>
        <v>424</v>
      </c>
      <c r="AB82" s="177">
        <f>IFERROR(__xludf.DUMMYFUNCTION("""COMPUTED_VALUE"""),439.4)</f>
        <v>439.4</v>
      </c>
      <c r="AC82" s="177">
        <f>IFERROR(__xludf.DUMMYFUNCTION("""COMPUTED_VALUE"""),403.8)</f>
        <v>403.8</v>
      </c>
      <c r="AD82" s="177">
        <f>IFERROR(__xludf.DUMMYFUNCTION("""COMPUTED_VALUE"""),434.55)</f>
        <v>434.55</v>
      </c>
      <c r="AE82" s="177">
        <f>IFERROR(__xludf.DUMMYFUNCTION("""COMPUTED_VALUE"""),3.4818877E7)</f>
        <v>34818877</v>
      </c>
      <c r="AF82" s="177">
        <f t="shared" si="3"/>
        <v>0.02989829146</v>
      </c>
      <c r="AG82" s="177"/>
      <c r="AH82" s="177"/>
      <c r="AI82" s="189"/>
      <c r="AJ82" s="140"/>
      <c r="AK82" s="140"/>
      <c r="AL82" s="176">
        <f>IFERROR(__xludf.DUMMYFUNCTION("""COMPUTED_VALUE"""),45496.64583333333)</f>
        <v>45496.64583</v>
      </c>
      <c r="AM82" s="177">
        <f>IFERROR(__xludf.DUMMYFUNCTION("""COMPUTED_VALUE"""),5045.0)</f>
        <v>5045</v>
      </c>
      <c r="AN82" s="177">
        <f>IFERROR(__xludf.DUMMYFUNCTION("""COMPUTED_VALUE"""),5069.0)</f>
        <v>5069</v>
      </c>
      <c r="AO82" s="177">
        <f>IFERROR(__xludf.DUMMYFUNCTION("""COMPUTED_VALUE"""),4510.0)</f>
        <v>4510</v>
      </c>
      <c r="AP82" s="177">
        <f>IFERROR(__xludf.DUMMYFUNCTION("""COMPUTED_VALUE"""),4856.1)</f>
        <v>4856.1</v>
      </c>
      <c r="AQ82" s="177">
        <f>IFERROR(__xludf.DUMMYFUNCTION("""COMPUTED_VALUE"""),7108160.0)</f>
        <v>7108160</v>
      </c>
      <c r="AR82" s="177">
        <f t="shared" si="4"/>
        <v>-0.0286521145</v>
      </c>
      <c r="AS82" s="177"/>
      <c r="AT82" s="177"/>
      <c r="AU82" s="189"/>
      <c r="AV82" s="140"/>
      <c r="AW82" s="140"/>
      <c r="AX82" s="176">
        <f>IFERROR(__xludf.DUMMYFUNCTION("""COMPUTED_VALUE"""),45496.64583333333)</f>
        <v>45496.64583</v>
      </c>
      <c r="AY82" s="177">
        <f>IFERROR(__xludf.DUMMYFUNCTION("""COMPUTED_VALUE"""),466.55)</f>
        <v>466.55</v>
      </c>
      <c r="AZ82" s="177">
        <f>IFERROR(__xludf.DUMMYFUNCTION("""COMPUTED_VALUE"""),497.4)</f>
        <v>497.4</v>
      </c>
      <c r="BA82" s="177">
        <f>IFERROR(__xludf.DUMMYFUNCTION("""COMPUTED_VALUE"""),466.4)</f>
        <v>466.4</v>
      </c>
      <c r="BB82" s="177">
        <f>IFERROR(__xludf.DUMMYFUNCTION("""COMPUTED_VALUE"""),492.2)</f>
        <v>492.2</v>
      </c>
      <c r="BC82" s="177">
        <f>IFERROR(__xludf.DUMMYFUNCTION("""COMPUTED_VALUE"""),5.4044423E7)</f>
        <v>54044423</v>
      </c>
      <c r="BD82" s="177">
        <f t="shared" si="5"/>
        <v>0.05351994228</v>
      </c>
      <c r="BE82" s="177"/>
      <c r="BF82" s="177"/>
      <c r="BG82" s="189"/>
      <c r="BH82" s="140"/>
      <c r="BI82" s="140"/>
      <c r="BJ82" s="140"/>
      <c r="BK82" s="140"/>
      <c r="BL82" s="140"/>
      <c r="BM82" s="140"/>
      <c r="BN82" s="140"/>
      <c r="BO82" s="140"/>
      <c r="BP82" s="140"/>
      <c r="BQ82" s="140"/>
      <c r="BR82" s="140"/>
      <c r="BS82" s="140"/>
      <c r="BT82" s="140"/>
      <c r="BU82" s="140"/>
      <c r="BV82" s="140"/>
      <c r="BW82" s="140"/>
      <c r="BX82" s="140"/>
      <c r="BY82" s="140"/>
    </row>
    <row r="83" ht="15.75" customHeight="1">
      <c r="A83" s="168"/>
      <c r="B83" s="169">
        <v>45497.0</v>
      </c>
      <c r="C83" s="170">
        <v>6483.12</v>
      </c>
      <c r="D83" s="170">
        <v>6544.78</v>
      </c>
      <c r="E83" s="170">
        <v>6450.12</v>
      </c>
      <c r="F83" s="170">
        <v>6449.71</v>
      </c>
      <c r="G83" s="171" t="s">
        <v>238</v>
      </c>
      <c r="H83" s="172">
        <f t="shared" si="1"/>
        <v>-0.004497052477</v>
      </c>
      <c r="I83" s="172"/>
      <c r="J83" s="172"/>
      <c r="K83" s="188"/>
      <c r="L83" s="140"/>
      <c r="M83" s="140"/>
      <c r="N83" s="176">
        <f>IFERROR(__xludf.DUMMYFUNCTION("""COMPUTED_VALUE"""),45497.64583333333)</f>
        <v>45497.64583</v>
      </c>
      <c r="O83" s="177">
        <f>IFERROR(__xludf.DUMMYFUNCTION("""COMPUTED_VALUE"""),1225.0)</f>
        <v>1225</v>
      </c>
      <c r="P83" s="177">
        <f>IFERROR(__xludf.DUMMYFUNCTION("""COMPUTED_VALUE"""),1233.65)</f>
        <v>1233.65</v>
      </c>
      <c r="Q83" s="177">
        <f>IFERROR(__xludf.DUMMYFUNCTION("""COMPUTED_VALUE"""),1202.05)</f>
        <v>1202.05</v>
      </c>
      <c r="R83" s="177">
        <f>IFERROR(__xludf.DUMMYFUNCTION("""COMPUTED_VALUE"""),1223.0)</f>
        <v>1223</v>
      </c>
      <c r="S83" s="177">
        <f>IFERROR(__xludf.DUMMYFUNCTION("""COMPUTED_VALUE"""),2.0122521E7)</f>
        <v>20122521</v>
      </c>
      <c r="T83" s="177">
        <f t="shared" si="2"/>
        <v>-0.003061539283</v>
      </c>
      <c r="U83" s="178"/>
      <c r="V83" s="177"/>
      <c r="W83" s="189"/>
      <c r="X83" s="140"/>
      <c r="Y83" s="140"/>
      <c r="Z83" s="176">
        <f>IFERROR(__xludf.DUMMYFUNCTION("""COMPUTED_VALUE"""),45497.64583333333)</f>
        <v>45497.64583</v>
      </c>
      <c r="AA83" s="177">
        <f>IFERROR(__xludf.DUMMYFUNCTION("""COMPUTED_VALUE"""),439.15)</f>
        <v>439.15</v>
      </c>
      <c r="AB83" s="177">
        <f>IFERROR(__xludf.DUMMYFUNCTION("""COMPUTED_VALUE"""),439.7)</f>
        <v>439.7</v>
      </c>
      <c r="AC83" s="177">
        <f>IFERROR(__xludf.DUMMYFUNCTION("""COMPUTED_VALUE"""),418.75)</f>
        <v>418.75</v>
      </c>
      <c r="AD83" s="177">
        <f>IFERROR(__xludf.DUMMYFUNCTION("""COMPUTED_VALUE"""),426.15)</f>
        <v>426.15</v>
      </c>
      <c r="AE83" s="177">
        <f>IFERROR(__xludf.DUMMYFUNCTION("""COMPUTED_VALUE"""),7.1801651E7)</f>
        <v>71801651</v>
      </c>
      <c r="AF83" s="177">
        <f t="shared" si="3"/>
        <v>-0.01951961592</v>
      </c>
      <c r="AG83" s="177"/>
      <c r="AH83" s="177"/>
      <c r="AI83" s="189"/>
      <c r="AJ83" s="140"/>
      <c r="AK83" s="140"/>
      <c r="AL83" s="176">
        <f>IFERROR(__xludf.DUMMYFUNCTION("""COMPUTED_VALUE"""),45497.64583333333)</f>
        <v>45497.64583</v>
      </c>
      <c r="AM83" s="177">
        <f>IFERROR(__xludf.DUMMYFUNCTION("""COMPUTED_VALUE"""),4855.0)</f>
        <v>4855</v>
      </c>
      <c r="AN83" s="177">
        <f>IFERROR(__xludf.DUMMYFUNCTION("""COMPUTED_VALUE"""),4967.15)</f>
        <v>4967.15</v>
      </c>
      <c r="AO83" s="177">
        <f>IFERROR(__xludf.DUMMYFUNCTION("""COMPUTED_VALUE"""),4803.1)</f>
        <v>4803.1</v>
      </c>
      <c r="AP83" s="177">
        <f>IFERROR(__xludf.DUMMYFUNCTION("""COMPUTED_VALUE"""),4849.5)</f>
        <v>4849.5</v>
      </c>
      <c r="AQ83" s="177">
        <f>IFERROR(__xludf.DUMMYFUNCTION("""COMPUTED_VALUE"""),2601966.0)</f>
        <v>2601966</v>
      </c>
      <c r="AR83" s="177">
        <f t="shared" si="4"/>
        <v>-0.001360039774</v>
      </c>
      <c r="AS83" s="177"/>
      <c r="AT83" s="177"/>
      <c r="AU83" s="189"/>
      <c r="AV83" s="140"/>
      <c r="AW83" s="140"/>
      <c r="AX83" s="176">
        <f>IFERROR(__xludf.DUMMYFUNCTION("""COMPUTED_VALUE"""),45497.64583333333)</f>
        <v>45497.64583</v>
      </c>
      <c r="AY83" s="177">
        <f>IFERROR(__xludf.DUMMYFUNCTION("""COMPUTED_VALUE"""),496.0)</f>
        <v>496</v>
      </c>
      <c r="AZ83" s="177">
        <f>IFERROR(__xludf.DUMMYFUNCTION("""COMPUTED_VALUE"""),510.65)</f>
        <v>510.65</v>
      </c>
      <c r="BA83" s="177">
        <f>IFERROR(__xludf.DUMMYFUNCTION("""COMPUTED_VALUE"""),490.65)</f>
        <v>490.65</v>
      </c>
      <c r="BB83" s="177">
        <f>IFERROR(__xludf.DUMMYFUNCTION("""COMPUTED_VALUE"""),494.05)</f>
        <v>494.05</v>
      </c>
      <c r="BC83" s="177">
        <f>IFERROR(__xludf.DUMMYFUNCTION("""COMPUTED_VALUE"""),4.2073323E7)</f>
        <v>42073323</v>
      </c>
      <c r="BD83" s="177">
        <f t="shared" si="5"/>
        <v>0.003751588684</v>
      </c>
      <c r="BE83" s="177"/>
      <c r="BF83" s="177"/>
      <c r="BG83" s="189"/>
      <c r="BH83" s="140"/>
      <c r="BI83" s="140"/>
      <c r="BJ83" s="140"/>
      <c r="BK83" s="140"/>
      <c r="BL83" s="140"/>
      <c r="BM83" s="140"/>
      <c r="BN83" s="140"/>
      <c r="BO83" s="140"/>
      <c r="BP83" s="140"/>
      <c r="BQ83" s="140"/>
      <c r="BR83" s="140"/>
      <c r="BS83" s="140"/>
      <c r="BT83" s="140"/>
      <c r="BU83" s="140"/>
      <c r="BV83" s="140"/>
      <c r="BW83" s="140"/>
      <c r="BX83" s="140"/>
      <c r="BY83" s="140"/>
    </row>
    <row r="84" ht="15.75" customHeight="1">
      <c r="A84" s="168"/>
      <c r="B84" s="169">
        <v>45498.0</v>
      </c>
      <c r="C84" s="170">
        <v>6453.12</v>
      </c>
      <c r="D84" s="170">
        <v>6465.12</v>
      </c>
      <c r="E84" s="170">
        <v>6334.78</v>
      </c>
      <c r="F84" s="170">
        <v>6363.12</v>
      </c>
      <c r="G84" s="171" t="s">
        <v>238</v>
      </c>
      <c r="H84" s="172">
        <f t="shared" si="1"/>
        <v>-0.01351634545</v>
      </c>
      <c r="I84" s="172"/>
      <c r="J84" s="172"/>
      <c r="K84" s="188"/>
      <c r="L84" s="140"/>
      <c r="M84" s="140"/>
      <c r="N84" s="176">
        <f>IFERROR(__xludf.DUMMYFUNCTION("""COMPUTED_VALUE"""),45498.64583333333)</f>
        <v>45498.64583</v>
      </c>
      <c r="O84" s="177">
        <f>IFERROR(__xludf.DUMMYFUNCTION("""COMPUTED_VALUE"""),1205.5)</f>
        <v>1205.5</v>
      </c>
      <c r="P84" s="177">
        <f>IFERROR(__xludf.DUMMYFUNCTION("""COMPUTED_VALUE"""),1218.25)</f>
        <v>1218.25</v>
      </c>
      <c r="Q84" s="177">
        <f>IFERROR(__xludf.DUMMYFUNCTION("""COMPUTED_VALUE"""),1190.6)</f>
        <v>1190.6</v>
      </c>
      <c r="R84" s="177">
        <f>IFERROR(__xludf.DUMMYFUNCTION("""COMPUTED_VALUE"""),1197.9)</f>
        <v>1197.9</v>
      </c>
      <c r="S84" s="177">
        <f>IFERROR(__xludf.DUMMYFUNCTION("""COMPUTED_VALUE"""),1.4154461E7)</f>
        <v>14154461</v>
      </c>
      <c r="T84" s="177">
        <f t="shared" si="2"/>
        <v>-0.02073683295</v>
      </c>
      <c r="U84" s="178"/>
      <c r="V84" s="177"/>
      <c r="W84" s="189"/>
      <c r="X84" s="140"/>
      <c r="Y84" s="140"/>
      <c r="Z84" s="176">
        <f>IFERROR(__xludf.DUMMYFUNCTION("""COMPUTED_VALUE"""),45498.64583333333)</f>
        <v>45498.64583</v>
      </c>
      <c r="AA84" s="177">
        <f>IFERROR(__xludf.DUMMYFUNCTION("""COMPUTED_VALUE"""),417.5)</f>
        <v>417.5</v>
      </c>
      <c r="AB84" s="177">
        <f>IFERROR(__xludf.DUMMYFUNCTION("""COMPUTED_VALUE"""),429.7)</f>
        <v>429.7</v>
      </c>
      <c r="AC84" s="177">
        <f>IFERROR(__xludf.DUMMYFUNCTION("""COMPUTED_VALUE"""),415.55)</f>
        <v>415.55</v>
      </c>
      <c r="AD84" s="177">
        <f>IFERROR(__xludf.DUMMYFUNCTION("""COMPUTED_VALUE"""),424.85)</f>
        <v>424.85</v>
      </c>
      <c r="AE84" s="177">
        <f>IFERROR(__xludf.DUMMYFUNCTION("""COMPUTED_VALUE"""),1.3231597E7)</f>
        <v>13231597</v>
      </c>
      <c r="AF84" s="177">
        <f t="shared" si="3"/>
        <v>-0.003055231519</v>
      </c>
      <c r="AG84" s="177"/>
      <c r="AH84" s="177"/>
      <c r="AI84" s="189"/>
      <c r="AJ84" s="140"/>
      <c r="AK84" s="140"/>
      <c r="AL84" s="176">
        <f>IFERROR(__xludf.DUMMYFUNCTION("""COMPUTED_VALUE"""),45498.64583333333)</f>
        <v>45498.64583</v>
      </c>
      <c r="AM84" s="177">
        <f>IFERROR(__xludf.DUMMYFUNCTION("""COMPUTED_VALUE"""),4780.0)</f>
        <v>4780</v>
      </c>
      <c r="AN84" s="177">
        <f>IFERROR(__xludf.DUMMYFUNCTION("""COMPUTED_VALUE"""),4893.75)</f>
        <v>4893.75</v>
      </c>
      <c r="AO84" s="177">
        <f>IFERROR(__xludf.DUMMYFUNCTION("""COMPUTED_VALUE"""),4732.05)</f>
        <v>4732.05</v>
      </c>
      <c r="AP84" s="177">
        <f>IFERROR(__xludf.DUMMYFUNCTION("""COMPUTED_VALUE"""),4830.05)</f>
        <v>4830.05</v>
      </c>
      <c r="AQ84" s="177">
        <f>IFERROR(__xludf.DUMMYFUNCTION("""COMPUTED_VALUE"""),2232884.0)</f>
        <v>2232884</v>
      </c>
      <c r="AR84" s="177">
        <f t="shared" si="4"/>
        <v>-0.004018787274</v>
      </c>
      <c r="AS84" s="177"/>
      <c r="AT84" s="177"/>
      <c r="AU84" s="189"/>
      <c r="AV84" s="140"/>
      <c r="AW84" s="140"/>
      <c r="AX84" s="176">
        <f>IFERROR(__xludf.DUMMYFUNCTION("""COMPUTED_VALUE"""),45498.64583333333)</f>
        <v>45498.64583</v>
      </c>
      <c r="AY84" s="177">
        <f>IFERROR(__xludf.DUMMYFUNCTION("""COMPUTED_VALUE"""),490.0)</f>
        <v>490</v>
      </c>
      <c r="AZ84" s="177">
        <f>IFERROR(__xludf.DUMMYFUNCTION("""COMPUTED_VALUE"""),496.0)</f>
        <v>496</v>
      </c>
      <c r="BA84" s="177">
        <f>IFERROR(__xludf.DUMMYFUNCTION("""COMPUTED_VALUE"""),484.65)</f>
        <v>484.65</v>
      </c>
      <c r="BB84" s="177">
        <f>IFERROR(__xludf.DUMMYFUNCTION("""COMPUTED_VALUE"""),489.95)</f>
        <v>489.95</v>
      </c>
      <c r="BC84" s="177">
        <f>IFERROR(__xludf.DUMMYFUNCTION("""COMPUTED_VALUE"""),1.7878994E7)</f>
        <v>17878994</v>
      </c>
      <c r="BD84" s="177">
        <f t="shared" si="5"/>
        <v>-0.008333381559</v>
      </c>
      <c r="BE84" s="177"/>
      <c r="BF84" s="177"/>
      <c r="BG84" s="189"/>
      <c r="BH84" s="140"/>
      <c r="BI84" s="140"/>
      <c r="BJ84" s="140"/>
      <c r="BK84" s="140"/>
      <c r="BL84" s="140"/>
      <c r="BM84" s="140"/>
      <c r="BN84" s="140"/>
      <c r="BO84" s="140"/>
      <c r="BP84" s="140"/>
      <c r="BQ84" s="140"/>
      <c r="BR84" s="140"/>
      <c r="BS84" s="140"/>
      <c r="BT84" s="140"/>
      <c r="BU84" s="140"/>
      <c r="BV84" s="140"/>
      <c r="BW84" s="140"/>
      <c r="BX84" s="140"/>
      <c r="BY84" s="140"/>
    </row>
    <row r="85" ht="15.75" customHeight="1">
      <c r="A85" s="168"/>
      <c r="B85" s="169">
        <v>45499.0</v>
      </c>
      <c r="C85" s="170">
        <v>6364.12</v>
      </c>
      <c r="D85" s="170">
        <v>6435.12</v>
      </c>
      <c r="E85" s="170">
        <v>6342.78</v>
      </c>
      <c r="F85" s="170">
        <v>6423.12</v>
      </c>
      <c r="G85" s="171" t="s">
        <v>238</v>
      </c>
      <c r="H85" s="172">
        <f t="shared" si="1"/>
        <v>0.009385157858</v>
      </c>
      <c r="I85" s="172"/>
      <c r="J85" s="172"/>
      <c r="K85" s="188"/>
      <c r="L85" s="140"/>
      <c r="M85" s="140"/>
      <c r="N85" s="176">
        <f>IFERROR(__xludf.DUMMYFUNCTION("""COMPUTED_VALUE"""),45499.64583333333)</f>
        <v>45499.64583</v>
      </c>
      <c r="O85" s="177">
        <f>IFERROR(__xludf.DUMMYFUNCTION("""COMPUTED_VALUE"""),1190.0)</f>
        <v>1190</v>
      </c>
      <c r="P85" s="177">
        <f>IFERROR(__xludf.DUMMYFUNCTION("""COMPUTED_VALUE"""),1220.0)</f>
        <v>1220</v>
      </c>
      <c r="Q85" s="177">
        <f>IFERROR(__xludf.DUMMYFUNCTION("""COMPUTED_VALUE"""),1185.95)</f>
        <v>1185.95</v>
      </c>
      <c r="R85" s="177">
        <f>IFERROR(__xludf.DUMMYFUNCTION("""COMPUTED_VALUE"""),1207.2)</f>
        <v>1207.2</v>
      </c>
      <c r="S85" s="177">
        <f>IFERROR(__xludf.DUMMYFUNCTION("""COMPUTED_VALUE"""),1.9309265E7)</f>
        <v>19309265</v>
      </c>
      <c r="T85" s="177">
        <f t="shared" si="2"/>
        <v>0.007733604716</v>
      </c>
      <c r="U85" s="178"/>
      <c r="V85" s="177"/>
      <c r="W85" s="189"/>
      <c r="X85" s="140"/>
      <c r="Y85" s="140"/>
      <c r="Z85" s="176">
        <f>IFERROR(__xludf.DUMMYFUNCTION("""COMPUTED_VALUE"""),45499.64583333333)</f>
        <v>45499.64583</v>
      </c>
      <c r="AA85" s="177">
        <f>IFERROR(__xludf.DUMMYFUNCTION("""COMPUTED_VALUE"""),439.9)</f>
        <v>439.9</v>
      </c>
      <c r="AB85" s="177">
        <f>IFERROR(__xludf.DUMMYFUNCTION("""COMPUTED_VALUE"""),447.35)</f>
        <v>447.35</v>
      </c>
      <c r="AC85" s="177">
        <f>IFERROR(__xludf.DUMMYFUNCTION("""COMPUTED_VALUE"""),435.0)</f>
        <v>435</v>
      </c>
      <c r="AD85" s="177">
        <f>IFERROR(__xludf.DUMMYFUNCTION("""COMPUTED_VALUE"""),444.85)</f>
        <v>444.85</v>
      </c>
      <c r="AE85" s="177">
        <f>IFERROR(__xludf.DUMMYFUNCTION("""COMPUTED_VALUE"""),2.0829504E7)</f>
        <v>20829504</v>
      </c>
      <c r="AF85" s="177">
        <f t="shared" si="3"/>
        <v>0.04600098124</v>
      </c>
      <c r="AG85" s="177"/>
      <c r="AH85" s="177"/>
      <c r="AI85" s="189"/>
      <c r="AJ85" s="140"/>
      <c r="AK85" s="140"/>
      <c r="AL85" s="176">
        <f>IFERROR(__xludf.DUMMYFUNCTION("""COMPUTED_VALUE"""),45499.64583333333)</f>
        <v>45499.64583</v>
      </c>
      <c r="AM85" s="177">
        <f>IFERROR(__xludf.DUMMYFUNCTION("""COMPUTED_VALUE"""),4850.0)</f>
        <v>4850</v>
      </c>
      <c r="AN85" s="177">
        <f>IFERROR(__xludf.DUMMYFUNCTION("""COMPUTED_VALUE"""),4933.75)</f>
        <v>4933.75</v>
      </c>
      <c r="AO85" s="177">
        <f>IFERROR(__xludf.DUMMYFUNCTION("""COMPUTED_VALUE"""),4842.0)</f>
        <v>4842</v>
      </c>
      <c r="AP85" s="177">
        <f>IFERROR(__xludf.DUMMYFUNCTION("""COMPUTED_VALUE"""),4905.4)</f>
        <v>4905.4</v>
      </c>
      <c r="AQ85" s="177">
        <f>IFERROR(__xludf.DUMMYFUNCTION("""COMPUTED_VALUE"""),1492223.0)</f>
        <v>1492223</v>
      </c>
      <c r="AR85" s="177">
        <f t="shared" si="4"/>
        <v>0.01547981955</v>
      </c>
      <c r="AS85" s="177"/>
      <c r="AT85" s="177"/>
      <c r="AU85" s="189"/>
      <c r="AV85" s="140"/>
      <c r="AW85" s="140"/>
      <c r="AX85" s="176">
        <f>IFERROR(__xludf.DUMMYFUNCTION("""COMPUTED_VALUE"""),45499.64583333333)</f>
        <v>45499.64583</v>
      </c>
      <c r="AY85" s="177">
        <f>IFERROR(__xludf.DUMMYFUNCTION("""COMPUTED_VALUE"""),494.05)</f>
        <v>494.05</v>
      </c>
      <c r="AZ85" s="177">
        <f>IFERROR(__xludf.DUMMYFUNCTION("""COMPUTED_VALUE"""),506.4)</f>
        <v>506.4</v>
      </c>
      <c r="BA85" s="177">
        <f>IFERROR(__xludf.DUMMYFUNCTION("""COMPUTED_VALUE"""),487.4)</f>
        <v>487.4</v>
      </c>
      <c r="BB85" s="177">
        <f>IFERROR(__xludf.DUMMYFUNCTION("""COMPUTED_VALUE"""),502.2)</f>
        <v>502.2</v>
      </c>
      <c r="BC85" s="177">
        <f>IFERROR(__xludf.DUMMYFUNCTION("""COMPUTED_VALUE"""),2.0736094E7)</f>
        <v>20736094</v>
      </c>
      <c r="BD85" s="177">
        <f t="shared" si="5"/>
        <v>0.02469510164</v>
      </c>
      <c r="BE85" s="177"/>
      <c r="BF85" s="177"/>
      <c r="BG85" s="189"/>
      <c r="BH85" s="140"/>
      <c r="BI85" s="140"/>
      <c r="BJ85" s="140"/>
      <c r="BK85" s="140"/>
      <c r="BL85" s="140"/>
      <c r="BM85" s="140"/>
      <c r="BN85" s="140"/>
      <c r="BO85" s="140"/>
      <c r="BP85" s="140"/>
      <c r="BQ85" s="140"/>
      <c r="BR85" s="140"/>
      <c r="BS85" s="140"/>
      <c r="BT85" s="140"/>
      <c r="BU85" s="140"/>
      <c r="BV85" s="140"/>
      <c r="BW85" s="140"/>
      <c r="BX85" s="140"/>
      <c r="BY85" s="140"/>
    </row>
    <row r="86" ht="15.75" customHeight="1">
      <c r="A86" s="168"/>
      <c r="B86" s="169">
        <v>45502.0</v>
      </c>
      <c r="C86" s="170">
        <v>6426.12</v>
      </c>
      <c r="D86" s="170">
        <v>6469.12</v>
      </c>
      <c r="E86" s="170">
        <v>6381.12</v>
      </c>
      <c r="F86" s="170">
        <v>6419.12</v>
      </c>
      <c r="G86" s="171" t="s">
        <v>238</v>
      </c>
      <c r="H86" s="172">
        <f t="shared" si="1"/>
        <v>-0.000622944304</v>
      </c>
      <c r="I86" s="172"/>
      <c r="J86" s="172"/>
      <c r="K86" s="188"/>
      <c r="L86" s="140"/>
      <c r="M86" s="140"/>
      <c r="N86" s="176">
        <f>IFERROR(__xludf.DUMMYFUNCTION("""COMPUTED_VALUE"""),45502.64583333333)</f>
        <v>45502.64583</v>
      </c>
      <c r="O86" s="177">
        <f>IFERROR(__xludf.DUMMYFUNCTION("""COMPUTED_VALUE"""),1215.15)</f>
        <v>1215.15</v>
      </c>
      <c r="P86" s="177">
        <f>IFERROR(__xludf.DUMMYFUNCTION("""COMPUTED_VALUE"""),1242.75)</f>
        <v>1242.75</v>
      </c>
      <c r="Q86" s="177">
        <f>IFERROR(__xludf.DUMMYFUNCTION("""COMPUTED_VALUE"""),1204.15)</f>
        <v>1204.15</v>
      </c>
      <c r="R86" s="177">
        <f>IFERROR(__xludf.DUMMYFUNCTION("""COMPUTED_VALUE"""),1212.7)</f>
        <v>1212.7</v>
      </c>
      <c r="S86" s="177">
        <f>IFERROR(__xludf.DUMMYFUNCTION("""COMPUTED_VALUE"""),2.8458261E7)</f>
        <v>28458261</v>
      </c>
      <c r="T86" s="177">
        <f t="shared" si="2"/>
        <v>0.004545650209</v>
      </c>
      <c r="U86" s="178"/>
      <c r="V86" s="177"/>
      <c r="W86" s="189"/>
      <c r="X86" s="140"/>
      <c r="Y86" s="140"/>
      <c r="Z86" s="176">
        <f>IFERROR(__xludf.DUMMYFUNCTION("""COMPUTED_VALUE"""),45502.64583333333)</f>
        <v>45502.64583</v>
      </c>
      <c r="AA86" s="177">
        <f>IFERROR(__xludf.DUMMYFUNCTION("""COMPUTED_VALUE"""),448.9)</f>
        <v>448.9</v>
      </c>
      <c r="AB86" s="177">
        <f>IFERROR(__xludf.DUMMYFUNCTION("""COMPUTED_VALUE"""),449.0)</f>
        <v>449</v>
      </c>
      <c r="AC86" s="177">
        <f>IFERROR(__xludf.DUMMYFUNCTION("""COMPUTED_VALUE"""),441.1)</f>
        <v>441.1</v>
      </c>
      <c r="AD86" s="177">
        <f>IFERROR(__xludf.DUMMYFUNCTION("""COMPUTED_VALUE"""),443.4)</f>
        <v>443.4</v>
      </c>
      <c r="AE86" s="177">
        <f>IFERROR(__xludf.DUMMYFUNCTION("""COMPUTED_VALUE"""),1.0917593E7)</f>
        <v>10917593</v>
      </c>
      <c r="AF86" s="177">
        <f t="shared" si="3"/>
        <v>-0.003264849509</v>
      </c>
      <c r="AG86" s="177"/>
      <c r="AH86" s="177"/>
      <c r="AI86" s="189"/>
      <c r="AJ86" s="140"/>
      <c r="AK86" s="140"/>
      <c r="AL86" s="176">
        <f>IFERROR(__xludf.DUMMYFUNCTION("""COMPUTED_VALUE"""),45502.64583333333)</f>
        <v>45502.64583</v>
      </c>
      <c r="AM86" s="177">
        <f>IFERROR(__xludf.DUMMYFUNCTION("""COMPUTED_VALUE"""),4946.8)</f>
        <v>4946.8</v>
      </c>
      <c r="AN86" s="177">
        <f>IFERROR(__xludf.DUMMYFUNCTION("""COMPUTED_VALUE"""),5042.0)</f>
        <v>5042</v>
      </c>
      <c r="AO86" s="177">
        <f>IFERROR(__xludf.DUMMYFUNCTION("""COMPUTED_VALUE"""),4911.0)</f>
        <v>4911</v>
      </c>
      <c r="AP86" s="177">
        <f>IFERROR(__xludf.DUMMYFUNCTION("""COMPUTED_VALUE"""),5030.0)</f>
        <v>5030</v>
      </c>
      <c r="AQ86" s="177">
        <f>IFERROR(__xludf.DUMMYFUNCTION("""COMPUTED_VALUE"""),2448415.0)</f>
        <v>2448415</v>
      </c>
      <c r="AR86" s="177">
        <f t="shared" si="4"/>
        <v>0.02508334498</v>
      </c>
      <c r="AS86" s="177"/>
      <c r="AT86" s="177"/>
      <c r="AU86" s="189"/>
      <c r="AV86" s="140"/>
      <c r="AW86" s="140"/>
      <c r="AX86" s="176">
        <f>IFERROR(__xludf.DUMMYFUNCTION("""COMPUTED_VALUE"""),45502.64583333333)</f>
        <v>45502.64583</v>
      </c>
      <c r="AY86" s="177">
        <f>IFERROR(__xludf.DUMMYFUNCTION("""COMPUTED_VALUE"""),505.5)</f>
        <v>505.5</v>
      </c>
      <c r="AZ86" s="177">
        <f>IFERROR(__xludf.DUMMYFUNCTION("""COMPUTED_VALUE"""),506.2)</f>
        <v>506.2</v>
      </c>
      <c r="BA86" s="177">
        <f>IFERROR(__xludf.DUMMYFUNCTION("""COMPUTED_VALUE"""),494.05)</f>
        <v>494.05</v>
      </c>
      <c r="BB86" s="177">
        <f>IFERROR(__xludf.DUMMYFUNCTION("""COMPUTED_VALUE"""),496.05)</f>
        <v>496.05</v>
      </c>
      <c r="BC86" s="177">
        <f>IFERROR(__xludf.DUMMYFUNCTION("""COMPUTED_VALUE"""),1.2496895E7)</f>
        <v>12496895</v>
      </c>
      <c r="BD86" s="177">
        <f t="shared" si="5"/>
        <v>-0.01232171863</v>
      </c>
      <c r="BE86" s="177"/>
      <c r="BF86" s="177"/>
      <c r="BG86" s="189"/>
      <c r="BH86" s="140"/>
      <c r="BI86" s="140"/>
      <c r="BJ86" s="140"/>
      <c r="BK86" s="140"/>
      <c r="BL86" s="140"/>
      <c r="BM86" s="140"/>
      <c r="BN86" s="140"/>
      <c r="BO86" s="140"/>
      <c r="BP86" s="140"/>
      <c r="BQ86" s="140"/>
      <c r="BR86" s="140"/>
      <c r="BS86" s="140"/>
      <c r="BT86" s="140"/>
      <c r="BU86" s="140"/>
      <c r="BV86" s="140"/>
      <c r="BW86" s="140"/>
      <c r="BX86" s="140"/>
      <c r="BY86" s="140"/>
    </row>
    <row r="87" ht="15.75" customHeight="1">
      <c r="A87" s="168"/>
      <c r="B87" s="169">
        <v>45503.0</v>
      </c>
      <c r="C87" s="170">
        <v>6419.52</v>
      </c>
      <c r="D87" s="170">
        <v>6495.12</v>
      </c>
      <c r="E87" s="170">
        <v>6398.12</v>
      </c>
      <c r="F87" s="170">
        <v>6482.12</v>
      </c>
      <c r="G87" s="171" t="s">
        <v>238</v>
      </c>
      <c r="H87" s="172">
        <f t="shared" si="1"/>
        <v>0.009766580697</v>
      </c>
      <c r="I87" s="172"/>
      <c r="J87" s="172"/>
      <c r="K87" s="188"/>
      <c r="L87" s="140"/>
      <c r="M87" s="140"/>
      <c r="N87" s="176">
        <f>IFERROR(__xludf.DUMMYFUNCTION("""COMPUTED_VALUE"""),45503.64583333333)</f>
        <v>45503.64583</v>
      </c>
      <c r="O87" s="177">
        <f>IFERROR(__xludf.DUMMYFUNCTION("""COMPUTED_VALUE"""),1213.0)</f>
        <v>1213</v>
      </c>
      <c r="P87" s="177">
        <f>IFERROR(__xludf.DUMMYFUNCTION("""COMPUTED_VALUE"""),1230.85)</f>
        <v>1230.85</v>
      </c>
      <c r="Q87" s="177">
        <f>IFERROR(__xludf.DUMMYFUNCTION("""COMPUTED_VALUE"""),1204.4)</f>
        <v>1204.4</v>
      </c>
      <c r="R87" s="177">
        <f>IFERROR(__xludf.DUMMYFUNCTION("""COMPUTED_VALUE"""),1209.45)</f>
        <v>1209.45</v>
      </c>
      <c r="S87" s="177">
        <f>IFERROR(__xludf.DUMMYFUNCTION("""COMPUTED_VALUE"""),2.3972277E7)</f>
        <v>23972277</v>
      </c>
      <c r="T87" s="177">
        <f t="shared" si="2"/>
        <v>-0.002683567864</v>
      </c>
      <c r="U87" s="178"/>
      <c r="V87" s="177"/>
      <c r="W87" s="189"/>
      <c r="X87" s="140"/>
      <c r="Y87" s="140"/>
      <c r="Z87" s="176">
        <f>IFERROR(__xludf.DUMMYFUNCTION("""COMPUTED_VALUE"""),45503.64583333333)</f>
        <v>45503.64583</v>
      </c>
      <c r="AA87" s="177">
        <f>IFERROR(__xludf.DUMMYFUNCTION("""COMPUTED_VALUE"""),444.5)</f>
        <v>444.5</v>
      </c>
      <c r="AB87" s="177">
        <f>IFERROR(__xludf.DUMMYFUNCTION("""COMPUTED_VALUE"""),453.3)</f>
        <v>453.3</v>
      </c>
      <c r="AC87" s="177">
        <f>IFERROR(__xludf.DUMMYFUNCTION("""COMPUTED_VALUE"""),443.6)</f>
        <v>443.6</v>
      </c>
      <c r="AD87" s="177">
        <f>IFERROR(__xludf.DUMMYFUNCTION("""COMPUTED_VALUE"""),446.8)</f>
        <v>446.8</v>
      </c>
      <c r="AE87" s="177">
        <f>IFERROR(__xludf.DUMMYFUNCTION("""COMPUTED_VALUE"""),1.0182321E7)</f>
        <v>10182321</v>
      </c>
      <c r="AF87" s="177">
        <f t="shared" si="3"/>
        <v>0.007638770013</v>
      </c>
      <c r="AG87" s="177"/>
      <c r="AH87" s="177"/>
      <c r="AI87" s="189"/>
      <c r="AJ87" s="140"/>
      <c r="AK87" s="140"/>
      <c r="AL87" s="176">
        <f>IFERROR(__xludf.DUMMYFUNCTION("""COMPUTED_VALUE"""),45503.64583333333)</f>
        <v>45503.64583</v>
      </c>
      <c r="AM87" s="177">
        <f>IFERROR(__xludf.DUMMYFUNCTION("""COMPUTED_VALUE"""),5049.95)</f>
        <v>5049.95</v>
      </c>
      <c r="AN87" s="177">
        <f>IFERROR(__xludf.DUMMYFUNCTION("""COMPUTED_VALUE"""),5082.0)</f>
        <v>5082</v>
      </c>
      <c r="AO87" s="177">
        <f>IFERROR(__xludf.DUMMYFUNCTION("""COMPUTED_VALUE"""),4945.1)</f>
        <v>4945.1</v>
      </c>
      <c r="AP87" s="177">
        <f>IFERROR(__xludf.DUMMYFUNCTION("""COMPUTED_VALUE"""),4953.65)</f>
        <v>4953.65</v>
      </c>
      <c r="AQ87" s="177">
        <f>IFERROR(__xludf.DUMMYFUNCTION("""COMPUTED_VALUE"""),2499857.0)</f>
        <v>2499857</v>
      </c>
      <c r="AR87" s="177">
        <f t="shared" si="4"/>
        <v>-0.01529530552</v>
      </c>
      <c r="AS87" s="177"/>
      <c r="AT87" s="177"/>
      <c r="AU87" s="189"/>
      <c r="AV87" s="140"/>
      <c r="AW87" s="140"/>
      <c r="AX87" s="176">
        <f>IFERROR(__xludf.DUMMYFUNCTION("""COMPUTED_VALUE"""),45503.64583333333)</f>
        <v>45503.64583</v>
      </c>
      <c r="AY87" s="177">
        <f>IFERROR(__xludf.DUMMYFUNCTION("""COMPUTED_VALUE"""),496.3)</f>
        <v>496.3</v>
      </c>
      <c r="AZ87" s="177">
        <f>IFERROR(__xludf.DUMMYFUNCTION("""COMPUTED_VALUE"""),497.8)</f>
        <v>497.8</v>
      </c>
      <c r="BA87" s="177">
        <f>IFERROR(__xludf.DUMMYFUNCTION("""COMPUTED_VALUE"""),488.65)</f>
        <v>488.65</v>
      </c>
      <c r="BB87" s="177">
        <f>IFERROR(__xludf.DUMMYFUNCTION("""COMPUTED_VALUE"""),489.9)</f>
        <v>489.9</v>
      </c>
      <c r="BC87" s="177">
        <f>IFERROR(__xludf.DUMMYFUNCTION("""COMPUTED_VALUE"""),1.3375906E7)</f>
        <v>13375906</v>
      </c>
      <c r="BD87" s="177">
        <f t="shared" si="5"/>
        <v>-0.01247543945</v>
      </c>
      <c r="BE87" s="177"/>
      <c r="BF87" s="177"/>
      <c r="BG87" s="189"/>
      <c r="BH87" s="140"/>
      <c r="BI87" s="140"/>
      <c r="BJ87" s="140"/>
      <c r="BK87" s="140"/>
      <c r="BL87" s="140"/>
      <c r="BM87" s="140"/>
      <c r="BN87" s="140"/>
      <c r="BO87" s="140"/>
      <c r="BP87" s="140"/>
      <c r="BQ87" s="140"/>
      <c r="BR87" s="140"/>
      <c r="BS87" s="140"/>
      <c r="BT87" s="140"/>
      <c r="BU87" s="140"/>
      <c r="BV87" s="140"/>
      <c r="BW87" s="140"/>
      <c r="BX87" s="140"/>
      <c r="BY87" s="140"/>
    </row>
    <row r="88" ht="15.75" customHeight="1">
      <c r="A88" s="168"/>
      <c r="B88" s="169">
        <v>45504.0</v>
      </c>
      <c r="C88" s="170">
        <v>6489.12</v>
      </c>
      <c r="D88" s="170">
        <v>6597.12</v>
      </c>
      <c r="E88" s="170">
        <v>6471.12</v>
      </c>
      <c r="F88" s="170">
        <v>6583.12</v>
      </c>
      <c r="G88" s="171" t="s">
        <v>238</v>
      </c>
      <c r="H88" s="172">
        <f t="shared" si="1"/>
        <v>0.01546117974</v>
      </c>
      <c r="I88" s="172"/>
      <c r="J88" s="172"/>
      <c r="K88" s="188"/>
      <c r="L88" s="140"/>
      <c r="M88" s="140"/>
      <c r="N88" s="176">
        <f>IFERROR(__xludf.DUMMYFUNCTION("""COMPUTED_VALUE"""),45504.64583333333)</f>
        <v>45504.64583</v>
      </c>
      <c r="O88" s="177">
        <f>IFERROR(__xludf.DUMMYFUNCTION("""COMPUTED_VALUE"""),1219.0)</f>
        <v>1219</v>
      </c>
      <c r="P88" s="177">
        <f>IFERROR(__xludf.DUMMYFUNCTION("""COMPUTED_VALUE"""),1224.65)</f>
        <v>1224.65</v>
      </c>
      <c r="Q88" s="177">
        <f>IFERROR(__xludf.DUMMYFUNCTION("""COMPUTED_VALUE"""),1211.0)</f>
        <v>1211</v>
      </c>
      <c r="R88" s="177">
        <f>IFERROR(__xludf.DUMMYFUNCTION("""COMPUTED_VALUE"""),1214.9)</f>
        <v>1214.9</v>
      </c>
      <c r="S88" s="177">
        <f>IFERROR(__xludf.DUMMYFUNCTION("""COMPUTED_VALUE"""),2.2297629E7)</f>
        <v>22297629</v>
      </c>
      <c r="T88" s="177">
        <f t="shared" si="2"/>
        <v>0.004496058062</v>
      </c>
      <c r="U88" s="178"/>
      <c r="V88" s="177"/>
      <c r="W88" s="189"/>
      <c r="X88" s="140"/>
      <c r="Y88" s="140"/>
      <c r="Z88" s="176">
        <f>IFERROR(__xludf.DUMMYFUNCTION("""COMPUTED_VALUE"""),45504.64583333333)</f>
        <v>45504.64583</v>
      </c>
      <c r="AA88" s="177">
        <f>IFERROR(__xludf.DUMMYFUNCTION("""COMPUTED_VALUE"""),448.0)</f>
        <v>448</v>
      </c>
      <c r="AB88" s="177">
        <f>IFERROR(__xludf.DUMMYFUNCTION("""COMPUTED_VALUE"""),449.7)</f>
        <v>449.7</v>
      </c>
      <c r="AC88" s="177">
        <f>IFERROR(__xludf.DUMMYFUNCTION("""COMPUTED_VALUE"""),430.35)</f>
        <v>430.35</v>
      </c>
      <c r="AD88" s="177">
        <f>IFERROR(__xludf.DUMMYFUNCTION("""COMPUTED_VALUE"""),433.15)</f>
        <v>433.15</v>
      </c>
      <c r="AE88" s="177">
        <f>IFERROR(__xludf.DUMMYFUNCTION("""COMPUTED_VALUE"""),2.3215256E7)</f>
        <v>23215256</v>
      </c>
      <c r="AF88" s="177">
        <f t="shared" si="3"/>
        <v>-0.03102697886</v>
      </c>
      <c r="AG88" s="177"/>
      <c r="AH88" s="177"/>
      <c r="AI88" s="189"/>
      <c r="AJ88" s="140"/>
      <c r="AK88" s="140"/>
      <c r="AL88" s="176">
        <f>IFERROR(__xludf.DUMMYFUNCTION("""COMPUTED_VALUE"""),45504.64583333333)</f>
        <v>45504.64583</v>
      </c>
      <c r="AM88" s="177">
        <f>IFERROR(__xludf.DUMMYFUNCTION("""COMPUTED_VALUE"""),4953.65)</f>
        <v>4953.65</v>
      </c>
      <c r="AN88" s="177">
        <f>IFERROR(__xludf.DUMMYFUNCTION("""COMPUTED_VALUE"""),4987.9)</f>
        <v>4987.9</v>
      </c>
      <c r="AO88" s="177">
        <f>IFERROR(__xludf.DUMMYFUNCTION("""COMPUTED_VALUE"""),4912.0)</f>
        <v>4912</v>
      </c>
      <c r="AP88" s="177">
        <f>IFERROR(__xludf.DUMMYFUNCTION("""COMPUTED_VALUE"""),4922.85)</f>
        <v>4922.85</v>
      </c>
      <c r="AQ88" s="177">
        <f>IFERROR(__xludf.DUMMYFUNCTION("""COMPUTED_VALUE"""),1298852.0)</f>
        <v>1298852</v>
      </c>
      <c r="AR88" s="177">
        <f t="shared" si="4"/>
        <v>-0.006237047506</v>
      </c>
      <c r="AS88" s="177"/>
      <c r="AT88" s="177"/>
      <c r="AU88" s="189"/>
      <c r="AV88" s="140"/>
      <c r="AW88" s="140"/>
      <c r="AX88" s="176">
        <f>IFERROR(__xludf.DUMMYFUNCTION("""COMPUTED_VALUE"""),45504.64583333333)</f>
        <v>45504.64583</v>
      </c>
      <c r="AY88" s="177">
        <f>IFERROR(__xludf.DUMMYFUNCTION("""COMPUTED_VALUE"""),492.45)</f>
        <v>492.45</v>
      </c>
      <c r="AZ88" s="177">
        <f>IFERROR(__xludf.DUMMYFUNCTION("""COMPUTED_VALUE"""),497.95)</f>
        <v>497.95</v>
      </c>
      <c r="BA88" s="177">
        <f>IFERROR(__xludf.DUMMYFUNCTION("""COMPUTED_VALUE"""),490.5)</f>
        <v>490.5</v>
      </c>
      <c r="BB88" s="177">
        <f>IFERROR(__xludf.DUMMYFUNCTION("""COMPUTED_VALUE"""),495.35)</f>
        <v>495.35</v>
      </c>
      <c r="BC88" s="177">
        <f>IFERROR(__xludf.DUMMYFUNCTION("""COMPUTED_VALUE"""),1.1538215E7)</f>
        <v>11538215</v>
      </c>
      <c r="BD88" s="177">
        <f t="shared" si="5"/>
        <v>0.01106329477</v>
      </c>
      <c r="BE88" s="177"/>
      <c r="BF88" s="177"/>
      <c r="BG88" s="189"/>
      <c r="BH88" s="140"/>
      <c r="BI88" s="140"/>
      <c r="BJ88" s="140"/>
      <c r="BK88" s="140"/>
      <c r="BL88" s="140"/>
      <c r="BM88" s="140"/>
      <c r="BN88" s="140"/>
      <c r="BO88" s="140"/>
      <c r="BP88" s="140"/>
      <c r="BQ88" s="140"/>
      <c r="BR88" s="140"/>
      <c r="BS88" s="140"/>
      <c r="BT88" s="140"/>
      <c r="BU88" s="140"/>
      <c r="BV88" s="140"/>
      <c r="BW88" s="140"/>
      <c r="BX88" s="140"/>
      <c r="BY88" s="140"/>
    </row>
    <row r="89" ht="15.75" customHeight="1">
      <c r="A89" s="168"/>
      <c r="B89" s="169">
        <v>45505.0</v>
      </c>
      <c r="C89" s="170">
        <v>6586.12</v>
      </c>
      <c r="D89" s="170">
        <v>6627.12</v>
      </c>
      <c r="E89" s="170">
        <v>6541.52</v>
      </c>
      <c r="F89" s="170">
        <v>6579.12</v>
      </c>
      <c r="G89" s="171" t="s">
        <v>238</v>
      </c>
      <c r="H89" s="172">
        <f t="shared" si="1"/>
        <v>-0.0006077992991</v>
      </c>
      <c r="I89" s="172"/>
      <c r="J89" s="172"/>
      <c r="K89" s="188"/>
      <c r="L89" s="140"/>
      <c r="M89" s="140"/>
      <c r="N89" s="176">
        <f>IFERROR(__xludf.DUMMYFUNCTION("""COMPUTED_VALUE"""),45505.64583333333)</f>
        <v>45505.64583</v>
      </c>
      <c r="O89" s="177">
        <f>IFERROR(__xludf.DUMMYFUNCTION("""COMPUTED_VALUE"""),1212.5)</f>
        <v>1212.5</v>
      </c>
      <c r="P89" s="177">
        <f>IFERROR(__xludf.DUMMYFUNCTION("""COMPUTED_VALUE"""),1222.65)</f>
        <v>1222.65</v>
      </c>
      <c r="Q89" s="177">
        <f>IFERROR(__xludf.DUMMYFUNCTION("""COMPUTED_VALUE"""),1206.9)</f>
        <v>1206.9</v>
      </c>
      <c r="R89" s="177">
        <f>IFERROR(__xludf.DUMMYFUNCTION("""COMPUTED_VALUE"""),1210.1)</f>
        <v>1210.1</v>
      </c>
      <c r="S89" s="177">
        <f>IFERROR(__xludf.DUMMYFUNCTION("""COMPUTED_VALUE"""),8725046.0)</f>
        <v>8725046</v>
      </c>
      <c r="T89" s="177">
        <f t="shared" si="2"/>
        <v>-0.003958768057</v>
      </c>
      <c r="U89" s="178"/>
      <c r="V89" s="177"/>
      <c r="W89" s="189"/>
      <c r="X89" s="140"/>
      <c r="Y89" s="140"/>
      <c r="Z89" s="176">
        <f>IFERROR(__xludf.DUMMYFUNCTION("""COMPUTED_VALUE"""),45505.64583333333)</f>
        <v>45505.64583</v>
      </c>
      <c r="AA89" s="177">
        <f>IFERROR(__xludf.DUMMYFUNCTION("""COMPUTED_VALUE"""),435.9)</f>
        <v>435.9</v>
      </c>
      <c r="AB89" s="177">
        <f>IFERROR(__xludf.DUMMYFUNCTION("""COMPUTED_VALUE"""),436.6)</f>
        <v>436.6</v>
      </c>
      <c r="AC89" s="177">
        <f>IFERROR(__xludf.DUMMYFUNCTION("""COMPUTED_VALUE"""),424.3)</f>
        <v>424.3</v>
      </c>
      <c r="AD89" s="177">
        <f>IFERROR(__xludf.DUMMYFUNCTION("""COMPUTED_VALUE"""),428.75)</f>
        <v>428.75</v>
      </c>
      <c r="AE89" s="177">
        <f>IFERROR(__xludf.DUMMYFUNCTION("""COMPUTED_VALUE"""),1.0696575E7)</f>
        <v>10696575</v>
      </c>
      <c r="AF89" s="177">
        <f t="shared" si="3"/>
        <v>-0.01021008986</v>
      </c>
      <c r="AG89" s="177"/>
      <c r="AH89" s="177"/>
      <c r="AI89" s="189"/>
      <c r="AJ89" s="140"/>
      <c r="AK89" s="140"/>
      <c r="AL89" s="176">
        <f>IFERROR(__xludf.DUMMYFUNCTION("""COMPUTED_VALUE"""),45505.64583333333)</f>
        <v>45505.64583</v>
      </c>
      <c r="AM89" s="177">
        <f>IFERROR(__xludf.DUMMYFUNCTION("""COMPUTED_VALUE"""),4922.0)</f>
        <v>4922</v>
      </c>
      <c r="AN89" s="177">
        <f>IFERROR(__xludf.DUMMYFUNCTION("""COMPUTED_VALUE"""),4946.9)</f>
        <v>4946.9</v>
      </c>
      <c r="AO89" s="177">
        <f>IFERROR(__xludf.DUMMYFUNCTION("""COMPUTED_VALUE"""),4797.6)</f>
        <v>4797.6</v>
      </c>
      <c r="AP89" s="177">
        <f>IFERROR(__xludf.DUMMYFUNCTION("""COMPUTED_VALUE"""),4813.3)</f>
        <v>4813.3</v>
      </c>
      <c r="AQ89" s="177">
        <f>IFERROR(__xludf.DUMMYFUNCTION("""COMPUTED_VALUE"""),2347381.0)</f>
        <v>2347381</v>
      </c>
      <c r="AR89" s="177">
        <f t="shared" si="4"/>
        <v>-0.02250471152</v>
      </c>
      <c r="AS89" s="177"/>
      <c r="AT89" s="177"/>
      <c r="AU89" s="189"/>
      <c r="AV89" s="140"/>
      <c r="AW89" s="140"/>
      <c r="AX89" s="176">
        <f>IFERROR(__xludf.DUMMYFUNCTION("""COMPUTED_VALUE"""),45505.64583333333)</f>
        <v>45505.64583</v>
      </c>
      <c r="AY89" s="177">
        <f>IFERROR(__xludf.DUMMYFUNCTION("""COMPUTED_VALUE"""),495.95)</f>
        <v>495.95</v>
      </c>
      <c r="AZ89" s="177">
        <f>IFERROR(__xludf.DUMMYFUNCTION("""COMPUTED_VALUE"""),496.75)</f>
        <v>496.75</v>
      </c>
      <c r="BA89" s="177">
        <f>IFERROR(__xludf.DUMMYFUNCTION("""COMPUTED_VALUE"""),490.95)</f>
        <v>490.95</v>
      </c>
      <c r="BB89" s="177">
        <f>IFERROR(__xludf.DUMMYFUNCTION("""COMPUTED_VALUE"""),493.7)</f>
        <v>493.7</v>
      </c>
      <c r="BC89" s="177">
        <f>IFERROR(__xludf.DUMMYFUNCTION("""COMPUTED_VALUE"""),1.1665529E7)</f>
        <v>11665529</v>
      </c>
      <c r="BD89" s="177">
        <f t="shared" si="5"/>
        <v>-0.003336538154</v>
      </c>
      <c r="BE89" s="177"/>
      <c r="BF89" s="177"/>
      <c r="BG89" s="189"/>
      <c r="BH89" s="140"/>
      <c r="BI89" s="140"/>
      <c r="BJ89" s="140"/>
      <c r="BK89" s="140"/>
      <c r="BL89" s="140"/>
      <c r="BM89" s="140"/>
      <c r="BN89" s="140"/>
      <c r="BO89" s="140"/>
      <c r="BP89" s="140"/>
      <c r="BQ89" s="140"/>
      <c r="BR89" s="140"/>
      <c r="BS89" s="140"/>
      <c r="BT89" s="140"/>
      <c r="BU89" s="140"/>
      <c r="BV89" s="140"/>
      <c r="BW89" s="140"/>
      <c r="BX89" s="140"/>
      <c r="BY89" s="140"/>
    </row>
    <row r="90" ht="15.75" customHeight="1">
      <c r="A90" s="168"/>
      <c r="B90" s="169">
        <v>45506.0</v>
      </c>
      <c r="C90" s="170">
        <v>6583.12</v>
      </c>
      <c r="D90" s="170">
        <v>6670.78</v>
      </c>
      <c r="E90" s="170">
        <v>6494.12</v>
      </c>
      <c r="F90" s="170">
        <v>6582.12</v>
      </c>
      <c r="G90" s="171" t="s">
        <v>238</v>
      </c>
      <c r="H90" s="172">
        <f t="shared" si="1"/>
        <v>0.0004558841039</v>
      </c>
      <c r="I90" s="172"/>
      <c r="J90" s="172"/>
      <c r="K90" s="188"/>
      <c r="L90" s="140"/>
      <c r="M90" s="140"/>
      <c r="N90" s="176">
        <f>IFERROR(__xludf.DUMMYFUNCTION("""COMPUTED_VALUE"""),45506.64583333333)</f>
        <v>45506.64583</v>
      </c>
      <c r="O90" s="177">
        <f>IFERROR(__xludf.DUMMYFUNCTION("""COMPUTED_VALUE"""),1197.0)</f>
        <v>1197</v>
      </c>
      <c r="P90" s="177">
        <f>IFERROR(__xludf.DUMMYFUNCTION("""COMPUTED_VALUE"""),1201.65)</f>
        <v>1201.65</v>
      </c>
      <c r="Q90" s="177">
        <f>IFERROR(__xludf.DUMMYFUNCTION("""COMPUTED_VALUE"""),1190.1)</f>
        <v>1190.1</v>
      </c>
      <c r="R90" s="177">
        <f>IFERROR(__xludf.DUMMYFUNCTION("""COMPUTED_VALUE"""),1196.55)</f>
        <v>1196.55</v>
      </c>
      <c r="S90" s="177">
        <f>IFERROR(__xludf.DUMMYFUNCTION("""COMPUTED_VALUE"""),1.0735395E7)</f>
        <v>10735395</v>
      </c>
      <c r="T90" s="177">
        <f t="shared" si="2"/>
        <v>-0.01126058478</v>
      </c>
      <c r="U90" s="178"/>
      <c r="V90" s="177"/>
      <c r="W90" s="189"/>
      <c r="X90" s="140"/>
      <c r="Y90" s="140"/>
      <c r="Z90" s="176">
        <f>IFERROR(__xludf.DUMMYFUNCTION("""COMPUTED_VALUE"""),45506.64583333333)</f>
        <v>45506.64583</v>
      </c>
      <c r="AA90" s="177">
        <f>IFERROR(__xludf.DUMMYFUNCTION("""COMPUTED_VALUE"""),422.5)</f>
        <v>422.5</v>
      </c>
      <c r="AB90" s="177">
        <f>IFERROR(__xludf.DUMMYFUNCTION("""COMPUTED_VALUE"""),427.5)</f>
        <v>427.5</v>
      </c>
      <c r="AC90" s="177">
        <f>IFERROR(__xludf.DUMMYFUNCTION("""COMPUTED_VALUE"""),420.1)</f>
        <v>420.1</v>
      </c>
      <c r="AD90" s="177">
        <f>IFERROR(__xludf.DUMMYFUNCTION("""COMPUTED_VALUE"""),421.1)</f>
        <v>421.1</v>
      </c>
      <c r="AE90" s="177">
        <f>IFERROR(__xludf.DUMMYFUNCTION("""COMPUTED_VALUE"""),7685638.0)</f>
        <v>7685638</v>
      </c>
      <c r="AF90" s="177">
        <f t="shared" si="3"/>
        <v>-0.01800366331</v>
      </c>
      <c r="AG90" s="177"/>
      <c r="AH90" s="177"/>
      <c r="AI90" s="189"/>
      <c r="AJ90" s="140"/>
      <c r="AK90" s="140"/>
      <c r="AL90" s="176">
        <f>IFERROR(__xludf.DUMMYFUNCTION("""COMPUTED_VALUE"""),45506.64583333333)</f>
        <v>45506.64583</v>
      </c>
      <c r="AM90" s="177">
        <f>IFERROR(__xludf.DUMMYFUNCTION("""COMPUTED_VALUE"""),4740.0)</f>
        <v>4740</v>
      </c>
      <c r="AN90" s="177">
        <f>IFERROR(__xludf.DUMMYFUNCTION("""COMPUTED_VALUE"""),4768.0)</f>
        <v>4768</v>
      </c>
      <c r="AO90" s="177">
        <f>IFERROR(__xludf.DUMMYFUNCTION("""COMPUTED_VALUE"""),4631.35)</f>
        <v>4631.35</v>
      </c>
      <c r="AP90" s="177">
        <f>IFERROR(__xludf.DUMMYFUNCTION("""COMPUTED_VALUE"""),4695.75)</f>
        <v>4695.75</v>
      </c>
      <c r="AQ90" s="177">
        <f>IFERROR(__xludf.DUMMYFUNCTION("""COMPUTED_VALUE"""),3205399.0)</f>
        <v>3205399</v>
      </c>
      <c r="AR90" s="177">
        <f t="shared" si="4"/>
        <v>-0.02472507525</v>
      </c>
      <c r="AS90" s="177"/>
      <c r="AT90" s="177"/>
      <c r="AU90" s="189"/>
      <c r="AV90" s="140"/>
      <c r="AW90" s="140"/>
      <c r="AX90" s="176">
        <f>IFERROR(__xludf.DUMMYFUNCTION("""COMPUTED_VALUE"""),45506.64583333333)</f>
        <v>45506.64583</v>
      </c>
      <c r="AY90" s="177">
        <f>IFERROR(__xludf.DUMMYFUNCTION("""COMPUTED_VALUE"""),484.8)</f>
        <v>484.8</v>
      </c>
      <c r="AZ90" s="177">
        <f>IFERROR(__xludf.DUMMYFUNCTION("""COMPUTED_VALUE"""),499.45)</f>
        <v>499.45</v>
      </c>
      <c r="BA90" s="177">
        <f>IFERROR(__xludf.DUMMYFUNCTION("""COMPUTED_VALUE"""),484.8)</f>
        <v>484.8</v>
      </c>
      <c r="BB90" s="177">
        <f>IFERROR(__xludf.DUMMYFUNCTION("""COMPUTED_VALUE"""),489.1)</f>
        <v>489.1</v>
      </c>
      <c r="BC90" s="177">
        <f>IFERROR(__xludf.DUMMYFUNCTION("""COMPUTED_VALUE"""),2.1320064E7)</f>
        <v>21320064</v>
      </c>
      <c r="BD90" s="177">
        <f t="shared" si="5"/>
        <v>-0.00936107772</v>
      </c>
      <c r="BE90" s="177"/>
      <c r="BF90" s="177"/>
      <c r="BG90" s="189"/>
      <c r="BH90" s="140"/>
      <c r="BI90" s="140"/>
      <c r="BJ90" s="140"/>
      <c r="BK90" s="140"/>
      <c r="BL90" s="140"/>
      <c r="BM90" s="140"/>
      <c r="BN90" s="140"/>
      <c r="BO90" s="140"/>
      <c r="BP90" s="140"/>
      <c r="BQ90" s="140"/>
      <c r="BR90" s="140"/>
      <c r="BS90" s="140"/>
      <c r="BT90" s="140"/>
      <c r="BU90" s="140"/>
      <c r="BV90" s="140"/>
      <c r="BW90" s="140"/>
      <c r="BX90" s="140"/>
      <c r="BY90" s="140"/>
    </row>
    <row r="91" ht="15.75" customHeight="1">
      <c r="A91" s="168"/>
      <c r="B91" s="169">
        <v>45509.0</v>
      </c>
      <c r="C91" s="170">
        <v>6582.12</v>
      </c>
      <c r="D91" s="170">
        <v>6623.12</v>
      </c>
      <c r="E91" s="170">
        <v>6396.78</v>
      </c>
      <c r="F91" s="170">
        <v>6511.52</v>
      </c>
      <c r="G91" s="171" t="s">
        <v>238</v>
      </c>
      <c r="H91" s="172">
        <f t="shared" si="1"/>
        <v>-0.01078396599</v>
      </c>
      <c r="I91" s="172"/>
      <c r="J91" s="172"/>
      <c r="K91" s="188"/>
      <c r="L91" s="140"/>
      <c r="M91" s="140"/>
      <c r="N91" s="176">
        <f>IFERROR(__xludf.DUMMYFUNCTION("""COMPUTED_VALUE"""),45509.64583333333)</f>
        <v>45509.64583</v>
      </c>
      <c r="O91" s="177">
        <f>IFERROR(__xludf.DUMMYFUNCTION("""COMPUTED_VALUE"""),1182.0)</f>
        <v>1182</v>
      </c>
      <c r="P91" s="177">
        <f>IFERROR(__xludf.DUMMYFUNCTION("""COMPUTED_VALUE"""),1188.9)</f>
        <v>1188.9</v>
      </c>
      <c r="Q91" s="177">
        <f>IFERROR(__xludf.DUMMYFUNCTION("""COMPUTED_VALUE"""),1167.0)</f>
        <v>1167</v>
      </c>
      <c r="R91" s="177">
        <f>IFERROR(__xludf.DUMMYFUNCTION("""COMPUTED_VALUE"""),1172.6)</f>
        <v>1172.6</v>
      </c>
      <c r="S91" s="177">
        <f>IFERROR(__xludf.DUMMYFUNCTION("""COMPUTED_VALUE"""),1.4306771E7)</f>
        <v>14306771</v>
      </c>
      <c r="T91" s="177">
        <f t="shared" si="2"/>
        <v>-0.0202189105</v>
      </c>
      <c r="U91" s="178"/>
      <c r="V91" s="177"/>
      <c r="W91" s="189"/>
      <c r="X91" s="140"/>
      <c r="Y91" s="140"/>
      <c r="Z91" s="176">
        <f>IFERROR(__xludf.DUMMYFUNCTION("""COMPUTED_VALUE"""),45509.64583333333)</f>
        <v>45509.64583</v>
      </c>
      <c r="AA91" s="177">
        <f>IFERROR(__xludf.DUMMYFUNCTION("""COMPUTED_VALUE"""),417.9)</f>
        <v>417.9</v>
      </c>
      <c r="AB91" s="177">
        <f>IFERROR(__xludf.DUMMYFUNCTION("""COMPUTED_VALUE"""),425.4)</f>
        <v>425.4</v>
      </c>
      <c r="AC91" s="177">
        <f>IFERROR(__xludf.DUMMYFUNCTION("""COMPUTED_VALUE"""),407.0)</f>
        <v>407</v>
      </c>
      <c r="AD91" s="177">
        <f>IFERROR(__xludf.DUMMYFUNCTION("""COMPUTED_VALUE"""),413.65)</f>
        <v>413.65</v>
      </c>
      <c r="AE91" s="177">
        <f>IFERROR(__xludf.DUMMYFUNCTION("""COMPUTED_VALUE"""),1.4601326E7)</f>
        <v>14601326</v>
      </c>
      <c r="AF91" s="177">
        <f t="shared" si="3"/>
        <v>-0.01785012953</v>
      </c>
      <c r="AG91" s="177"/>
      <c r="AH91" s="177"/>
      <c r="AI91" s="189"/>
      <c r="AJ91" s="140"/>
      <c r="AK91" s="140"/>
      <c r="AL91" s="176">
        <f>IFERROR(__xludf.DUMMYFUNCTION("""COMPUTED_VALUE"""),45509.64583333333)</f>
        <v>45509.64583</v>
      </c>
      <c r="AM91" s="177">
        <f>IFERROR(__xludf.DUMMYFUNCTION("""COMPUTED_VALUE"""),4501.05)</f>
        <v>4501.05</v>
      </c>
      <c r="AN91" s="177">
        <f>IFERROR(__xludf.DUMMYFUNCTION("""COMPUTED_VALUE"""),4663.8)</f>
        <v>4663.8</v>
      </c>
      <c r="AO91" s="177">
        <f>IFERROR(__xludf.DUMMYFUNCTION("""COMPUTED_VALUE"""),4480.1)</f>
        <v>4480.1</v>
      </c>
      <c r="AP91" s="177">
        <f>IFERROR(__xludf.DUMMYFUNCTION("""COMPUTED_VALUE"""),4591.1)</f>
        <v>4591.1</v>
      </c>
      <c r="AQ91" s="177">
        <f>IFERROR(__xludf.DUMMYFUNCTION("""COMPUTED_VALUE"""),3622642.0)</f>
        <v>3622642</v>
      </c>
      <c r="AR91" s="177">
        <f t="shared" si="4"/>
        <v>-0.02253819753</v>
      </c>
      <c r="AS91" s="177"/>
      <c r="AT91" s="177"/>
      <c r="AU91" s="189"/>
      <c r="AV91" s="140"/>
      <c r="AW91" s="140"/>
      <c r="AX91" s="176">
        <f>IFERROR(__xludf.DUMMYFUNCTION("""COMPUTED_VALUE"""),45509.64583333333)</f>
        <v>45509.64583</v>
      </c>
      <c r="AY91" s="177">
        <f>IFERROR(__xludf.DUMMYFUNCTION("""COMPUTED_VALUE"""),480.05)</f>
        <v>480.05</v>
      </c>
      <c r="AZ91" s="177">
        <f>IFERROR(__xludf.DUMMYFUNCTION("""COMPUTED_VALUE"""),491.9)</f>
        <v>491.9</v>
      </c>
      <c r="BA91" s="177">
        <f>IFERROR(__xludf.DUMMYFUNCTION("""COMPUTED_VALUE"""),479.55)</f>
        <v>479.55</v>
      </c>
      <c r="BB91" s="177">
        <f>IFERROR(__xludf.DUMMYFUNCTION("""COMPUTED_VALUE"""),486.0)</f>
        <v>486</v>
      </c>
      <c r="BC91" s="177">
        <f>IFERROR(__xludf.DUMMYFUNCTION("""COMPUTED_VALUE"""),2.4094139E7)</f>
        <v>24094139</v>
      </c>
      <c r="BD91" s="177">
        <f t="shared" si="5"/>
        <v>-0.006358343645</v>
      </c>
      <c r="BE91" s="177"/>
      <c r="BF91" s="177"/>
      <c r="BG91" s="189"/>
      <c r="BH91" s="140"/>
      <c r="BI91" s="140"/>
      <c r="BJ91" s="140"/>
      <c r="BK91" s="140"/>
      <c r="BL91" s="140"/>
      <c r="BM91" s="140"/>
      <c r="BN91" s="140"/>
      <c r="BO91" s="140"/>
      <c r="BP91" s="140"/>
      <c r="BQ91" s="140"/>
      <c r="BR91" s="140"/>
      <c r="BS91" s="140"/>
      <c r="BT91" s="140"/>
      <c r="BU91" s="140"/>
      <c r="BV91" s="140"/>
      <c r="BW91" s="140"/>
      <c r="BX91" s="140"/>
      <c r="BY91" s="140"/>
    </row>
    <row r="92" ht="15.75" customHeight="1">
      <c r="A92" s="168"/>
      <c r="B92" s="169">
        <v>45510.0</v>
      </c>
      <c r="C92" s="170">
        <v>6506.78</v>
      </c>
      <c r="D92" s="170">
        <v>6528.12</v>
      </c>
      <c r="E92" s="170">
        <v>6427.12</v>
      </c>
      <c r="F92" s="170">
        <v>6450.12</v>
      </c>
      <c r="G92" s="171" t="s">
        <v>238</v>
      </c>
      <c r="H92" s="172">
        <f t="shared" si="1"/>
        <v>-0.009474180624</v>
      </c>
      <c r="I92" s="172"/>
      <c r="J92" s="172"/>
      <c r="K92" s="188"/>
      <c r="L92" s="140"/>
      <c r="M92" s="140"/>
      <c r="N92" s="176">
        <f>IFERROR(__xludf.DUMMYFUNCTION("""COMPUTED_VALUE"""),45510.64583333333)</f>
        <v>45510.64583</v>
      </c>
      <c r="O92" s="177">
        <f>IFERROR(__xludf.DUMMYFUNCTION("""COMPUTED_VALUE"""),1175.0)</f>
        <v>1175</v>
      </c>
      <c r="P92" s="177">
        <f>IFERROR(__xludf.DUMMYFUNCTION("""COMPUTED_VALUE"""),1187.7)</f>
        <v>1187.7</v>
      </c>
      <c r="Q92" s="177">
        <f>IFERROR(__xludf.DUMMYFUNCTION("""COMPUTED_VALUE"""),1161.5)</f>
        <v>1161.5</v>
      </c>
      <c r="R92" s="177">
        <f>IFERROR(__xludf.DUMMYFUNCTION("""COMPUTED_VALUE"""),1166.85)</f>
        <v>1166.85</v>
      </c>
      <c r="S92" s="177">
        <f>IFERROR(__xludf.DUMMYFUNCTION("""COMPUTED_VALUE"""),1.3575619E7)</f>
        <v>13575619</v>
      </c>
      <c r="T92" s="177">
        <f t="shared" si="2"/>
        <v>-0.004915695209</v>
      </c>
      <c r="U92" s="178"/>
      <c r="V92" s="177"/>
      <c r="W92" s="189"/>
      <c r="X92" s="140"/>
      <c r="Y92" s="140"/>
      <c r="Z92" s="176">
        <f>IFERROR(__xludf.DUMMYFUNCTION("""COMPUTED_VALUE"""),45510.64583333333)</f>
        <v>45510.64583</v>
      </c>
      <c r="AA92" s="177">
        <f>IFERROR(__xludf.DUMMYFUNCTION("""COMPUTED_VALUE"""),418.05)</f>
        <v>418.05</v>
      </c>
      <c r="AB92" s="177">
        <f>IFERROR(__xludf.DUMMYFUNCTION("""COMPUTED_VALUE"""),427.3)</f>
        <v>427.3</v>
      </c>
      <c r="AC92" s="177">
        <f>IFERROR(__xludf.DUMMYFUNCTION("""COMPUTED_VALUE"""),413.2)</f>
        <v>413.2</v>
      </c>
      <c r="AD92" s="177">
        <f>IFERROR(__xludf.DUMMYFUNCTION("""COMPUTED_VALUE"""),414.55)</f>
        <v>414.55</v>
      </c>
      <c r="AE92" s="177">
        <f>IFERROR(__xludf.DUMMYFUNCTION("""COMPUTED_VALUE"""),1.3583635E7)</f>
        <v>13583635</v>
      </c>
      <c r="AF92" s="177">
        <f t="shared" si="3"/>
        <v>0.002173388926</v>
      </c>
      <c r="AG92" s="177"/>
      <c r="AH92" s="177"/>
      <c r="AI92" s="189"/>
      <c r="AJ92" s="140"/>
      <c r="AK92" s="140"/>
      <c r="AL92" s="176">
        <f>IFERROR(__xludf.DUMMYFUNCTION("""COMPUTED_VALUE"""),45510.64583333333)</f>
        <v>45510.64583</v>
      </c>
      <c r="AM92" s="177">
        <f>IFERROR(__xludf.DUMMYFUNCTION("""COMPUTED_VALUE"""),4601.0)</f>
        <v>4601</v>
      </c>
      <c r="AN92" s="177">
        <f>IFERROR(__xludf.DUMMYFUNCTION("""COMPUTED_VALUE"""),4737.1)</f>
        <v>4737.1</v>
      </c>
      <c r="AO92" s="177">
        <f>IFERROR(__xludf.DUMMYFUNCTION("""COMPUTED_VALUE"""),4500.0)</f>
        <v>4500</v>
      </c>
      <c r="AP92" s="177">
        <f>IFERROR(__xludf.DUMMYFUNCTION("""COMPUTED_VALUE"""),4514.3)</f>
        <v>4514.3</v>
      </c>
      <c r="AQ92" s="177">
        <f>IFERROR(__xludf.DUMMYFUNCTION("""COMPUTED_VALUE"""),2117464.0)</f>
        <v>2117464</v>
      </c>
      <c r="AR92" s="177">
        <f t="shared" si="4"/>
        <v>-0.01686951069</v>
      </c>
      <c r="AS92" s="177"/>
      <c r="AT92" s="177"/>
      <c r="AU92" s="189"/>
      <c r="AV92" s="140"/>
      <c r="AW92" s="140"/>
      <c r="AX92" s="176">
        <f>IFERROR(__xludf.DUMMYFUNCTION("""COMPUTED_VALUE"""),45510.64583333333)</f>
        <v>45510.64583</v>
      </c>
      <c r="AY92" s="177">
        <f>IFERROR(__xludf.DUMMYFUNCTION("""COMPUTED_VALUE"""),486.25)</f>
        <v>486.25</v>
      </c>
      <c r="AZ92" s="177">
        <f>IFERROR(__xludf.DUMMYFUNCTION("""COMPUTED_VALUE"""),491.7)</f>
        <v>491.7</v>
      </c>
      <c r="BA92" s="177">
        <f>IFERROR(__xludf.DUMMYFUNCTION("""COMPUTED_VALUE"""),484.05)</f>
        <v>484.05</v>
      </c>
      <c r="BB92" s="177">
        <f>IFERROR(__xludf.DUMMYFUNCTION("""COMPUTED_VALUE"""),486.3)</f>
        <v>486.3</v>
      </c>
      <c r="BC92" s="177">
        <f>IFERROR(__xludf.DUMMYFUNCTION("""COMPUTED_VALUE"""),1.3722855E7)</f>
        <v>13722855</v>
      </c>
      <c r="BD92" s="177">
        <f t="shared" si="5"/>
        <v>0.0006170935092</v>
      </c>
      <c r="BE92" s="177"/>
      <c r="BF92" s="177"/>
      <c r="BG92" s="189"/>
      <c r="BH92" s="140"/>
      <c r="BI92" s="140"/>
      <c r="BJ92" s="140"/>
      <c r="BK92" s="140"/>
      <c r="BL92" s="140"/>
      <c r="BM92" s="140"/>
      <c r="BN92" s="140"/>
      <c r="BO92" s="140"/>
      <c r="BP92" s="140"/>
      <c r="BQ92" s="140"/>
      <c r="BR92" s="140"/>
      <c r="BS92" s="140"/>
      <c r="BT92" s="140"/>
      <c r="BU92" s="140"/>
      <c r="BV92" s="140"/>
      <c r="BW92" s="140"/>
      <c r="BX92" s="140"/>
      <c r="BY92" s="140"/>
    </row>
    <row r="93" ht="15.75" customHeight="1">
      <c r="A93" s="168"/>
      <c r="B93" s="169">
        <v>45511.0</v>
      </c>
      <c r="C93" s="170">
        <v>6454.78</v>
      </c>
      <c r="D93" s="170">
        <v>6496.78</v>
      </c>
      <c r="E93" s="170">
        <v>6418.12</v>
      </c>
      <c r="F93" s="170">
        <v>6426.12</v>
      </c>
      <c r="G93" s="171" t="s">
        <v>238</v>
      </c>
      <c r="H93" s="172">
        <f t="shared" si="1"/>
        <v>-0.00372780063</v>
      </c>
      <c r="I93" s="172"/>
      <c r="J93" s="172"/>
      <c r="K93" s="188"/>
      <c r="L93" s="140"/>
      <c r="M93" s="140"/>
      <c r="N93" s="176">
        <f>IFERROR(__xludf.DUMMYFUNCTION("""COMPUTED_VALUE"""),45511.64583333333)</f>
        <v>45511.64583</v>
      </c>
      <c r="O93" s="177">
        <f>IFERROR(__xludf.DUMMYFUNCTION("""COMPUTED_VALUE"""),1178.95)</f>
        <v>1178.95</v>
      </c>
      <c r="P93" s="177">
        <f>IFERROR(__xludf.DUMMYFUNCTION("""COMPUTED_VALUE"""),1179.8)</f>
        <v>1179.8</v>
      </c>
      <c r="Q93" s="177">
        <f>IFERROR(__xludf.DUMMYFUNCTION("""COMPUTED_VALUE"""),1161.6)</f>
        <v>1161.6</v>
      </c>
      <c r="R93" s="177">
        <f>IFERROR(__xludf.DUMMYFUNCTION("""COMPUTED_VALUE"""),1172.45)</f>
        <v>1172.45</v>
      </c>
      <c r="S93" s="177">
        <f>IFERROR(__xludf.DUMMYFUNCTION("""COMPUTED_VALUE"""),1.5753644E7)</f>
        <v>15753644</v>
      </c>
      <c r="T93" s="177">
        <f t="shared" si="2"/>
        <v>0.004787766167</v>
      </c>
      <c r="U93" s="178"/>
      <c r="V93" s="177"/>
      <c r="W93" s="189"/>
      <c r="X93" s="140"/>
      <c r="Y93" s="140"/>
      <c r="Z93" s="176">
        <f>IFERROR(__xludf.DUMMYFUNCTION("""COMPUTED_VALUE"""),45511.64583333333)</f>
        <v>45511.64583</v>
      </c>
      <c r="AA93" s="177">
        <f>IFERROR(__xludf.DUMMYFUNCTION("""COMPUTED_VALUE"""),420.05)</f>
        <v>420.05</v>
      </c>
      <c r="AB93" s="177">
        <f>IFERROR(__xludf.DUMMYFUNCTION("""COMPUTED_VALUE"""),422.5)</f>
        <v>422.5</v>
      </c>
      <c r="AC93" s="177">
        <f>IFERROR(__xludf.DUMMYFUNCTION("""COMPUTED_VALUE"""),414.5)</f>
        <v>414.5</v>
      </c>
      <c r="AD93" s="177">
        <f>IFERROR(__xludf.DUMMYFUNCTION("""COMPUTED_VALUE"""),421.3)</f>
        <v>421.3</v>
      </c>
      <c r="AE93" s="177">
        <f>IFERROR(__xludf.DUMMYFUNCTION("""COMPUTED_VALUE"""),1.2573368E7)</f>
        <v>12573368</v>
      </c>
      <c r="AF93" s="177">
        <f t="shared" si="3"/>
        <v>0.01615157442</v>
      </c>
      <c r="AG93" s="177"/>
      <c r="AH93" s="177"/>
      <c r="AI93" s="189"/>
      <c r="AJ93" s="140"/>
      <c r="AK93" s="140"/>
      <c r="AL93" s="176">
        <f>IFERROR(__xludf.DUMMYFUNCTION("""COMPUTED_VALUE"""),45511.64583333333)</f>
        <v>45511.64583</v>
      </c>
      <c r="AM93" s="177">
        <f>IFERROR(__xludf.DUMMYFUNCTION("""COMPUTED_VALUE"""),4600.95)</f>
        <v>4600.95</v>
      </c>
      <c r="AN93" s="177">
        <f>IFERROR(__xludf.DUMMYFUNCTION("""COMPUTED_VALUE"""),4749.0)</f>
        <v>4749</v>
      </c>
      <c r="AO93" s="177">
        <f>IFERROR(__xludf.DUMMYFUNCTION("""COMPUTED_VALUE"""),4570.0)</f>
        <v>4570</v>
      </c>
      <c r="AP93" s="177">
        <f>IFERROR(__xludf.DUMMYFUNCTION("""COMPUTED_VALUE"""),4740.45)</f>
        <v>4740.45</v>
      </c>
      <c r="AQ93" s="177">
        <f>IFERROR(__xludf.DUMMYFUNCTION("""COMPUTED_VALUE"""),2000224.0)</f>
        <v>2000224</v>
      </c>
      <c r="AR93" s="177">
        <f t="shared" si="4"/>
        <v>0.04888193182</v>
      </c>
      <c r="AS93" s="177"/>
      <c r="AT93" s="177"/>
      <c r="AU93" s="189"/>
      <c r="AV93" s="140"/>
      <c r="AW93" s="140"/>
      <c r="AX93" s="176">
        <f>IFERROR(__xludf.DUMMYFUNCTION("""COMPUTED_VALUE"""),45511.64583333333)</f>
        <v>45511.64583</v>
      </c>
      <c r="AY93" s="177">
        <f>IFERROR(__xludf.DUMMYFUNCTION("""COMPUTED_VALUE"""),490.0)</f>
        <v>490</v>
      </c>
      <c r="AZ93" s="177">
        <f>IFERROR(__xludf.DUMMYFUNCTION("""COMPUTED_VALUE"""),495.6)</f>
        <v>495.6</v>
      </c>
      <c r="BA93" s="177">
        <f>IFERROR(__xludf.DUMMYFUNCTION("""COMPUTED_VALUE"""),488.1)</f>
        <v>488.1</v>
      </c>
      <c r="BB93" s="177">
        <f>IFERROR(__xludf.DUMMYFUNCTION("""COMPUTED_VALUE"""),492.65)</f>
        <v>492.65</v>
      </c>
      <c r="BC93" s="177">
        <f>IFERROR(__xludf.DUMMYFUNCTION("""COMPUTED_VALUE"""),1.0900585E7)</f>
        <v>10900585</v>
      </c>
      <c r="BD93" s="177">
        <f t="shared" si="5"/>
        <v>0.01297326536</v>
      </c>
      <c r="BE93" s="177"/>
      <c r="BF93" s="177"/>
      <c r="BG93" s="189"/>
      <c r="BH93" s="140"/>
      <c r="BI93" s="140"/>
      <c r="BJ93" s="140"/>
      <c r="BK93" s="140"/>
      <c r="BL93" s="140"/>
      <c r="BM93" s="140"/>
      <c r="BN93" s="140"/>
      <c r="BO93" s="140"/>
      <c r="BP93" s="140"/>
      <c r="BQ93" s="140"/>
      <c r="BR93" s="140"/>
      <c r="BS93" s="140"/>
      <c r="BT93" s="140"/>
      <c r="BU93" s="140"/>
      <c r="BV93" s="140"/>
      <c r="BW93" s="140"/>
      <c r="BX93" s="140"/>
      <c r="BY93" s="140"/>
    </row>
    <row r="94" ht="15.75" customHeight="1">
      <c r="A94" s="168"/>
      <c r="B94" s="169">
        <v>45512.0</v>
      </c>
      <c r="C94" s="170">
        <v>6428.12</v>
      </c>
      <c r="D94" s="170">
        <v>6556.12</v>
      </c>
      <c r="E94" s="170">
        <v>6425.12</v>
      </c>
      <c r="F94" s="170">
        <v>6554.12</v>
      </c>
      <c r="G94" s="171" t="s">
        <v>238</v>
      </c>
      <c r="H94" s="172">
        <f t="shared" si="1"/>
        <v>0.01972292488</v>
      </c>
      <c r="I94" s="172"/>
      <c r="J94" s="172"/>
      <c r="K94" s="188"/>
      <c r="L94" s="140"/>
      <c r="M94" s="140"/>
      <c r="N94" s="176">
        <f>IFERROR(__xludf.DUMMYFUNCTION("""COMPUTED_VALUE"""),45512.64583333333)</f>
        <v>45512.64583</v>
      </c>
      <c r="O94" s="177">
        <f>IFERROR(__xludf.DUMMYFUNCTION("""COMPUTED_VALUE"""),1166.95)</f>
        <v>1166.95</v>
      </c>
      <c r="P94" s="177">
        <f>IFERROR(__xludf.DUMMYFUNCTION("""COMPUTED_VALUE"""),1174.4)</f>
        <v>1174.4</v>
      </c>
      <c r="Q94" s="177">
        <f>IFERROR(__xludf.DUMMYFUNCTION("""COMPUTED_VALUE"""),1158.9)</f>
        <v>1158.9</v>
      </c>
      <c r="R94" s="177">
        <f>IFERROR(__xludf.DUMMYFUNCTION("""COMPUTED_VALUE"""),1164.6)</f>
        <v>1164.6</v>
      </c>
      <c r="S94" s="177">
        <f>IFERROR(__xludf.DUMMYFUNCTION("""COMPUTED_VALUE"""),1.0806438E7)</f>
        <v>10806438</v>
      </c>
      <c r="T94" s="177">
        <f t="shared" si="2"/>
        <v>-0.006717896085</v>
      </c>
      <c r="U94" s="178"/>
      <c r="V94" s="177"/>
      <c r="W94" s="189"/>
      <c r="X94" s="140"/>
      <c r="Y94" s="140"/>
      <c r="Z94" s="176">
        <f>IFERROR(__xludf.DUMMYFUNCTION("""COMPUTED_VALUE"""),45512.64583333333)</f>
        <v>45512.64583</v>
      </c>
      <c r="AA94" s="177">
        <f>IFERROR(__xludf.DUMMYFUNCTION("""COMPUTED_VALUE"""),424.0)</f>
        <v>424</v>
      </c>
      <c r="AB94" s="177">
        <f>IFERROR(__xludf.DUMMYFUNCTION("""COMPUTED_VALUE"""),426.05)</f>
        <v>426.05</v>
      </c>
      <c r="AC94" s="177">
        <f>IFERROR(__xludf.DUMMYFUNCTION("""COMPUTED_VALUE"""),416.35)</f>
        <v>416.35</v>
      </c>
      <c r="AD94" s="177">
        <f>IFERROR(__xludf.DUMMYFUNCTION("""COMPUTED_VALUE"""),417.0)</f>
        <v>417</v>
      </c>
      <c r="AE94" s="177">
        <f>IFERROR(__xludf.DUMMYFUNCTION("""COMPUTED_VALUE"""),1.4007899E7)</f>
        <v>14007899</v>
      </c>
      <c r="AF94" s="177">
        <f t="shared" si="3"/>
        <v>-0.01025894719</v>
      </c>
      <c r="AG94" s="177"/>
      <c r="AH94" s="177"/>
      <c r="AI94" s="189"/>
      <c r="AJ94" s="140"/>
      <c r="AK94" s="140"/>
      <c r="AL94" s="176">
        <f>IFERROR(__xludf.DUMMYFUNCTION("""COMPUTED_VALUE"""),45512.64583333333)</f>
        <v>45512.64583</v>
      </c>
      <c r="AM94" s="177">
        <f>IFERROR(__xludf.DUMMYFUNCTION("""COMPUTED_VALUE"""),4742.0)</f>
        <v>4742</v>
      </c>
      <c r="AN94" s="177">
        <f>IFERROR(__xludf.DUMMYFUNCTION("""COMPUTED_VALUE"""),4759.95)</f>
        <v>4759.95</v>
      </c>
      <c r="AO94" s="177">
        <f>IFERROR(__xludf.DUMMYFUNCTION("""COMPUTED_VALUE"""),4660.0)</f>
        <v>4660</v>
      </c>
      <c r="AP94" s="177">
        <f>IFERROR(__xludf.DUMMYFUNCTION("""COMPUTED_VALUE"""),4667.85)</f>
        <v>4667.85</v>
      </c>
      <c r="AQ94" s="177">
        <f>IFERROR(__xludf.DUMMYFUNCTION("""COMPUTED_VALUE"""),1301394.0)</f>
        <v>1301394</v>
      </c>
      <c r="AR94" s="177">
        <f t="shared" si="4"/>
        <v>-0.01543348768</v>
      </c>
      <c r="AS94" s="177"/>
      <c r="AT94" s="177"/>
      <c r="AU94" s="189"/>
      <c r="AV94" s="140"/>
      <c r="AW94" s="140"/>
      <c r="AX94" s="176">
        <f>IFERROR(__xludf.DUMMYFUNCTION("""COMPUTED_VALUE"""),45512.64583333333)</f>
        <v>45512.64583</v>
      </c>
      <c r="AY94" s="177">
        <f>IFERROR(__xludf.DUMMYFUNCTION("""COMPUTED_VALUE"""),494.0)</f>
        <v>494</v>
      </c>
      <c r="AZ94" s="177">
        <f>IFERROR(__xludf.DUMMYFUNCTION("""COMPUTED_VALUE"""),498.0)</f>
        <v>498</v>
      </c>
      <c r="BA94" s="177">
        <f>IFERROR(__xludf.DUMMYFUNCTION("""COMPUTED_VALUE"""),492.5)</f>
        <v>492.5</v>
      </c>
      <c r="BB94" s="177">
        <f>IFERROR(__xludf.DUMMYFUNCTION("""COMPUTED_VALUE"""),494.75)</f>
        <v>494.75</v>
      </c>
      <c r="BC94" s="177">
        <f>IFERROR(__xludf.DUMMYFUNCTION("""COMPUTED_VALUE"""),2.0558134E7)</f>
        <v>20558134</v>
      </c>
      <c r="BD94" s="177">
        <f t="shared" si="5"/>
        <v>0.004253601714</v>
      </c>
      <c r="BE94" s="177"/>
      <c r="BF94" s="177"/>
      <c r="BG94" s="189"/>
      <c r="BH94" s="140"/>
      <c r="BI94" s="140"/>
      <c r="BJ94" s="140"/>
      <c r="BK94" s="140"/>
      <c r="BL94" s="140"/>
      <c r="BM94" s="140"/>
      <c r="BN94" s="140"/>
      <c r="BO94" s="140"/>
      <c r="BP94" s="140"/>
      <c r="BQ94" s="140"/>
      <c r="BR94" s="140"/>
      <c r="BS94" s="140"/>
      <c r="BT94" s="140"/>
      <c r="BU94" s="140"/>
      <c r="BV94" s="140"/>
      <c r="BW94" s="140"/>
      <c r="BX94" s="140"/>
      <c r="BY94" s="140"/>
    </row>
    <row r="95" ht="15.75" customHeight="1">
      <c r="A95" s="168"/>
      <c r="B95" s="169">
        <v>45513.0</v>
      </c>
      <c r="C95" s="170">
        <v>6554.78</v>
      </c>
      <c r="D95" s="170">
        <v>6578.12</v>
      </c>
      <c r="E95" s="170">
        <v>6519.12</v>
      </c>
      <c r="F95" s="170">
        <v>6560.78</v>
      </c>
      <c r="G95" s="171" t="s">
        <v>238</v>
      </c>
      <c r="H95" s="172">
        <f t="shared" si="1"/>
        <v>0.001015638788</v>
      </c>
      <c r="I95" s="172"/>
      <c r="J95" s="172"/>
      <c r="K95" s="188"/>
      <c r="L95" s="140"/>
      <c r="M95" s="140"/>
      <c r="N95" s="176">
        <f>IFERROR(__xludf.DUMMYFUNCTION("""COMPUTED_VALUE"""),45513.64583333333)</f>
        <v>45513.64583</v>
      </c>
      <c r="O95" s="177">
        <f>IFERROR(__xludf.DUMMYFUNCTION("""COMPUTED_VALUE"""),1176.55)</f>
        <v>1176.55</v>
      </c>
      <c r="P95" s="177">
        <f>IFERROR(__xludf.DUMMYFUNCTION("""COMPUTED_VALUE"""),1180.95)</f>
        <v>1180.95</v>
      </c>
      <c r="Q95" s="177">
        <f>IFERROR(__xludf.DUMMYFUNCTION("""COMPUTED_VALUE"""),1169.0)</f>
        <v>1169</v>
      </c>
      <c r="R95" s="177">
        <f>IFERROR(__xludf.DUMMYFUNCTION("""COMPUTED_VALUE"""),1171.6)</f>
        <v>1171.6</v>
      </c>
      <c r="S95" s="177">
        <f>IFERROR(__xludf.DUMMYFUNCTION("""COMPUTED_VALUE"""),8687307.0)</f>
        <v>8687307</v>
      </c>
      <c r="T95" s="177">
        <f t="shared" si="2"/>
        <v>0.005992655551</v>
      </c>
      <c r="U95" s="178"/>
      <c r="V95" s="177"/>
      <c r="W95" s="189"/>
      <c r="X95" s="140"/>
      <c r="Y95" s="140"/>
      <c r="Z95" s="176">
        <f>IFERROR(__xludf.DUMMYFUNCTION("""COMPUTED_VALUE"""),45513.64583333333)</f>
        <v>45513.64583</v>
      </c>
      <c r="AA95" s="177">
        <f>IFERROR(__xludf.DUMMYFUNCTION("""COMPUTED_VALUE"""),416.0)</f>
        <v>416</v>
      </c>
      <c r="AB95" s="177">
        <f>IFERROR(__xludf.DUMMYFUNCTION("""COMPUTED_VALUE"""),422.35)</f>
        <v>422.35</v>
      </c>
      <c r="AC95" s="177">
        <f>IFERROR(__xludf.DUMMYFUNCTION("""COMPUTED_VALUE"""),414.4)</f>
        <v>414.4</v>
      </c>
      <c r="AD95" s="177">
        <f>IFERROR(__xludf.DUMMYFUNCTION("""COMPUTED_VALUE"""),414.95)</f>
        <v>414.95</v>
      </c>
      <c r="AE95" s="177">
        <f>IFERROR(__xludf.DUMMYFUNCTION("""COMPUTED_VALUE"""),6011495.0)</f>
        <v>6011495</v>
      </c>
      <c r="AF95" s="177">
        <f t="shared" si="3"/>
        <v>-0.004928190754</v>
      </c>
      <c r="AG95" s="177"/>
      <c r="AH95" s="177"/>
      <c r="AI95" s="189"/>
      <c r="AJ95" s="140"/>
      <c r="AK95" s="140"/>
      <c r="AL95" s="176">
        <f>IFERROR(__xludf.DUMMYFUNCTION("""COMPUTED_VALUE"""),45513.64583333333)</f>
        <v>45513.64583</v>
      </c>
      <c r="AM95" s="177">
        <f>IFERROR(__xludf.DUMMYFUNCTION("""COMPUTED_VALUE"""),4746.7)</f>
        <v>4746.7</v>
      </c>
      <c r="AN95" s="177">
        <f>IFERROR(__xludf.DUMMYFUNCTION("""COMPUTED_VALUE"""),4773.5)</f>
        <v>4773.5</v>
      </c>
      <c r="AO95" s="177">
        <f>IFERROR(__xludf.DUMMYFUNCTION("""COMPUTED_VALUE"""),4702.55)</f>
        <v>4702.55</v>
      </c>
      <c r="AP95" s="177">
        <f>IFERROR(__xludf.DUMMYFUNCTION("""COMPUTED_VALUE"""),4723.9)</f>
        <v>4723.9</v>
      </c>
      <c r="AQ95" s="177">
        <f>IFERROR(__xludf.DUMMYFUNCTION("""COMPUTED_VALUE"""),1039025.0)</f>
        <v>1039025</v>
      </c>
      <c r="AR95" s="177">
        <f t="shared" si="4"/>
        <v>0.01193614938</v>
      </c>
      <c r="AS95" s="177"/>
      <c r="AT95" s="177"/>
      <c r="AU95" s="189"/>
      <c r="AV95" s="140"/>
      <c r="AW95" s="140"/>
      <c r="AX95" s="176">
        <f>IFERROR(__xludf.DUMMYFUNCTION("""COMPUTED_VALUE"""),45513.64583333333)</f>
        <v>45513.64583</v>
      </c>
      <c r="AY95" s="177">
        <f>IFERROR(__xludf.DUMMYFUNCTION("""COMPUTED_VALUE"""),498.0)</f>
        <v>498</v>
      </c>
      <c r="AZ95" s="177">
        <f>IFERROR(__xludf.DUMMYFUNCTION("""COMPUTED_VALUE"""),498.0)</f>
        <v>498</v>
      </c>
      <c r="BA95" s="177">
        <f>IFERROR(__xludf.DUMMYFUNCTION("""COMPUTED_VALUE"""),493.1)</f>
        <v>493.1</v>
      </c>
      <c r="BB95" s="177">
        <f>IFERROR(__xludf.DUMMYFUNCTION("""COMPUTED_VALUE"""),495.9)</f>
        <v>495.9</v>
      </c>
      <c r="BC95" s="177">
        <f>IFERROR(__xludf.DUMMYFUNCTION("""COMPUTED_VALUE"""),9201793.0)</f>
        <v>9201793</v>
      </c>
      <c r="BD95" s="177">
        <f t="shared" si="5"/>
        <v>0.002321709012</v>
      </c>
      <c r="BE95" s="177"/>
      <c r="BF95" s="177"/>
      <c r="BG95" s="189"/>
      <c r="BH95" s="140"/>
      <c r="BI95" s="140"/>
      <c r="BJ95" s="140"/>
      <c r="BK95" s="140"/>
      <c r="BL95" s="140"/>
      <c r="BM95" s="140"/>
      <c r="BN95" s="140"/>
      <c r="BO95" s="140"/>
      <c r="BP95" s="140"/>
      <c r="BQ95" s="140"/>
      <c r="BR95" s="140"/>
      <c r="BS95" s="140"/>
      <c r="BT95" s="140"/>
      <c r="BU95" s="140"/>
      <c r="BV95" s="140"/>
      <c r="BW95" s="140"/>
      <c r="BX95" s="140"/>
      <c r="BY95" s="140"/>
    </row>
    <row r="96" ht="15.75" customHeight="1">
      <c r="A96" s="168"/>
      <c r="B96" s="169">
        <v>45516.0</v>
      </c>
      <c r="C96" s="170">
        <v>6561.52</v>
      </c>
      <c r="D96" s="170">
        <v>6674.78</v>
      </c>
      <c r="E96" s="170">
        <v>6540.78</v>
      </c>
      <c r="F96" s="170">
        <v>6664.12</v>
      </c>
      <c r="G96" s="171" t="s">
        <v>238</v>
      </c>
      <c r="H96" s="172">
        <f t="shared" si="1"/>
        <v>0.01562841358</v>
      </c>
      <c r="I96" s="172"/>
      <c r="J96" s="172"/>
      <c r="K96" s="188"/>
      <c r="L96" s="140"/>
      <c r="M96" s="140"/>
      <c r="N96" s="176">
        <f>IFERROR(__xludf.DUMMYFUNCTION("""COMPUTED_VALUE"""),45516.64583333333)</f>
        <v>45516.64583</v>
      </c>
      <c r="O96" s="177">
        <f>IFERROR(__xludf.DUMMYFUNCTION("""COMPUTED_VALUE"""),1171.0)</f>
        <v>1171</v>
      </c>
      <c r="P96" s="177">
        <f>IFERROR(__xludf.DUMMYFUNCTION("""COMPUTED_VALUE"""),1178.25)</f>
        <v>1178.25</v>
      </c>
      <c r="Q96" s="177">
        <f>IFERROR(__xludf.DUMMYFUNCTION("""COMPUTED_VALUE"""),1156.0)</f>
        <v>1156</v>
      </c>
      <c r="R96" s="177">
        <f>IFERROR(__xludf.DUMMYFUNCTION("""COMPUTED_VALUE"""),1172.8)</f>
        <v>1172.8</v>
      </c>
      <c r="S96" s="177">
        <f>IFERROR(__xludf.DUMMYFUNCTION("""COMPUTED_VALUE"""),1.0860455E7)</f>
        <v>10860455</v>
      </c>
      <c r="T96" s="177">
        <f t="shared" si="2"/>
        <v>0.001023716179</v>
      </c>
      <c r="U96" s="178"/>
      <c r="V96" s="177"/>
      <c r="W96" s="189"/>
      <c r="X96" s="140"/>
      <c r="Y96" s="140"/>
      <c r="Z96" s="176">
        <f>IFERROR(__xludf.DUMMYFUNCTION("""COMPUTED_VALUE"""),45516.64583333333)</f>
        <v>45516.64583</v>
      </c>
      <c r="AA96" s="177">
        <f>IFERROR(__xludf.DUMMYFUNCTION("""COMPUTED_VALUE"""),415.0)</f>
        <v>415</v>
      </c>
      <c r="AB96" s="177">
        <f>IFERROR(__xludf.DUMMYFUNCTION("""COMPUTED_VALUE"""),421.0)</f>
        <v>421</v>
      </c>
      <c r="AC96" s="177">
        <f>IFERROR(__xludf.DUMMYFUNCTION("""COMPUTED_VALUE"""),413.7)</f>
        <v>413.7</v>
      </c>
      <c r="AD96" s="177">
        <f>IFERROR(__xludf.DUMMYFUNCTION("""COMPUTED_VALUE"""),415.9)</f>
        <v>415.9</v>
      </c>
      <c r="AE96" s="177">
        <f>IFERROR(__xludf.DUMMYFUNCTION("""COMPUTED_VALUE"""),4743010.0)</f>
        <v>4743010</v>
      </c>
      <c r="AF96" s="177">
        <f t="shared" si="3"/>
        <v>0.002286815704</v>
      </c>
      <c r="AG96" s="177"/>
      <c r="AH96" s="177"/>
      <c r="AI96" s="189"/>
      <c r="AJ96" s="140"/>
      <c r="AK96" s="140"/>
      <c r="AL96" s="176">
        <f>IFERROR(__xludf.DUMMYFUNCTION("""COMPUTED_VALUE"""),45516.64583333333)</f>
        <v>45516.64583</v>
      </c>
      <c r="AM96" s="177">
        <f>IFERROR(__xludf.DUMMYFUNCTION("""COMPUTED_VALUE"""),4690.0)</f>
        <v>4690</v>
      </c>
      <c r="AN96" s="177">
        <f>IFERROR(__xludf.DUMMYFUNCTION("""COMPUTED_VALUE"""),4759.7)</f>
        <v>4759.7</v>
      </c>
      <c r="AO96" s="177">
        <f>IFERROR(__xludf.DUMMYFUNCTION("""COMPUTED_VALUE"""),4682.1)</f>
        <v>4682.1</v>
      </c>
      <c r="AP96" s="177">
        <f>IFERROR(__xludf.DUMMYFUNCTION("""COMPUTED_VALUE"""),4726.55)</f>
        <v>4726.55</v>
      </c>
      <c r="AQ96" s="177">
        <f>IFERROR(__xludf.DUMMYFUNCTION("""COMPUTED_VALUE"""),1030708.0)</f>
        <v>1030708</v>
      </c>
      <c r="AR96" s="177">
        <f t="shared" si="4"/>
        <v>0.0005608198698</v>
      </c>
      <c r="AS96" s="177"/>
      <c r="AT96" s="177"/>
      <c r="AU96" s="189"/>
      <c r="AV96" s="140"/>
      <c r="AW96" s="140"/>
      <c r="AX96" s="176">
        <f>IFERROR(__xludf.DUMMYFUNCTION("""COMPUTED_VALUE"""),45516.64583333333)</f>
        <v>45516.64583</v>
      </c>
      <c r="AY96" s="177">
        <f>IFERROR(__xludf.DUMMYFUNCTION("""COMPUTED_VALUE"""),492.0)</f>
        <v>492</v>
      </c>
      <c r="AZ96" s="177">
        <f>IFERROR(__xludf.DUMMYFUNCTION("""COMPUTED_VALUE"""),500.0)</f>
        <v>500</v>
      </c>
      <c r="BA96" s="177">
        <f>IFERROR(__xludf.DUMMYFUNCTION("""COMPUTED_VALUE"""),492.0)</f>
        <v>492</v>
      </c>
      <c r="BB96" s="177">
        <f>IFERROR(__xludf.DUMMYFUNCTION("""COMPUTED_VALUE"""),494.6)</f>
        <v>494.6</v>
      </c>
      <c r="BC96" s="177">
        <f>IFERROR(__xludf.DUMMYFUNCTION("""COMPUTED_VALUE"""),9076097.0)</f>
        <v>9076097</v>
      </c>
      <c r="BD96" s="177">
        <f t="shared" si="5"/>
        <v>-0.002624938408</v>
      </c>
      <c r="BE96" s="177"/>
      <c r="BF96" s="177"/>
      <c r="BG96" s="189"/>
      <c r="BH96" s="140"/>
      <c r="BI96" s="140"/>
      <c r="BJ96" s="140"/>
      <c r="BK96" s="140"/>
      <c r="BL96" s="140"/>
      <c r="BM96" s="140"/>
      <c r="BN96" s="140"/>
      <c r="BO96" s="140"/>
      <c r="BP96" s="140"/>
      <c r="BQ96" s="140"/>
      <c r="BR96" s="140"/>
      <c r="BS96" s="140"/>
      <c r="BT96" s="140"/>
      <c r="BU96" s="140"/>
      <c r="BV96" s="140"/>
      <c r="BW96" s="140"/>
      <c r="BX96" s="140"/>
      <c r="BY96" s="140"/>
    </row>
    <row r="97" ht="15.75" customHeight="1">
      <c r="A97" s="168"/>
      <c r="B97" s="169">
        <v>45517.0</v>
      </c>
      <c r="C97" s="170">
        <v>6673.12</v>
      </c>
      <c r="D97" s="170">
        <v>6684.78</v>
      </c>
      <c r="E97" s="170">
        <v>6636.12</v>
      </c>
      <c r="F97" s="170">
        <v>6649.52</v>
      </c>
      <c r="G97" s="171" t="s">
        <v>238</v>
      </c>
      <c r="H97" s="172">
        <f t="shared" si="1"/>
        <v>-0.002193240294</v>
      </c>
      <c r="I97" s="172"/>
      <c r="J97" s="172"/>
      <c r="K97" s="188"/>
      <c r="L97" s="140"/>
      <c r="M97" s="140"/>
      <c r="N97" s="176">
        <f>IFERROR(__xludf.DUMMYFUNCTION("""COMPUTED_VALUE"""),45517.64583333333)</f>
        <v>45517.64583</v>
      </c>
      <c r="O97" s="177">
        <f>IFERROR(__xludf.DUMMYFUNCTION("""COMPUTED_VALUE"""),1183.2)</f>
        <v>1183.2</v>
      </c>
      <c r="P97" s="177">
        <f>IFERROR(__xludf.DUMMYFUNCTION("""COMPUTED_VALUE"""),1189.25)</f>
        <v>1189.25</v>
      </c>
      <c r="Q97" s="177">
        <f>IFERROR(__xludf.DUMMYFUNCTION("""COMPUTED_VALUE"""),1163.6)</f>
        <v>1163.6</v>
      </c>
      <c r="R97" s="177">
        <f>IFERROR(__xludf.DUMMYFUNCTION("""COMPUTED_VALUE"""),1168.35)</f>
        <v>1168.35</v>
      </c>
      <c r="S97" s="177">
        <f>IFERROR(__xludf.DUMMYFUNCTION("""COMPUTED_VALUE"""),1.3117927E7)</f>
        <v>13117927</v>
      </c>
      <c r="T97" s="177">
        <f t="shared" si="2"/>
        <v>-0.003801555098</v>
      </c>
      <c r="U97" s="178"/>
      <c r="V97" s="177"/>
      <c r="W97" s="189"/>
      <c r="X97" s="140"/>
      <c r="Y97" s="140"/>
      <c r="Z97" s="176">
        <f>IFERROR(__xludf.DUMMYFUNCTION("""COMPUTED_VALUE"""),45517.64583333333)</f>
        <v>45517.64583</v>
      </c>
      <c r="AA97" s="177">
        <f>IFERROR(__xludf.DUMMYFUNCTION("""COMPUTED_VALUE"""),418.0)</f>
        <v>418</v>
      </c>
      <c r="AB97" s="177">
        <f>IFERROR(__xludf.DUMMYFUNCTION("""COMPUTED_VALUE"""),418.0)</f>
        <v>418</v>
      </c>
      <c r="AC97" s="177">
        <f>IFERROR(__xludf.DUMMYFUNCTION("""COMPUTED_VALUE"""),403.2)</f>
        <v>403.2</v>
      </c>
      <c r="AD97" s="177">
        <f>IFERROR(__xludf.DUMMYFUNCTION("""COMPUTED_VALUE"""),405.3)</f>
        <v>405.3</v>
      </c>
      <c r="AE97" s="177">
        <f>IFERROR(__xludf.DUMMYFUNCTION("""COMPUTED_VALUE"""),7084701.0)</f>
        <v>7084701</v>
      </c>
      <c r="AF97" s="177">
        <f t="shared" si="3"/>
        <v>-0.02581731311</v>
      </c>
      <c r="AG97" s="177"/>
      <c r="AH97" s="177"/>
      <c r="AI97" s="189"/>
      <c r="AJ97" s="140"/>
      <c r="AK97" s="140"/>
      <c r="AL97" s="176">
        <f>IFERROR(__xludf.DUMMYFUNCTION("""COMPUTED_VALUE"""),45517.64583333333)</f>
        <v>45517.64583</v>
      </c>
      <c r="AM97" s="177">
        <f>IFERROR(__xludf.DUMMYFUNCTION("""COMPUTED_VALUE"""),4748.0)</f>
        <v>4748</v>
      </c>
      <c r="AN97" s="177">
        <f>IFERROR(__xludf.DUMMYFUNCTION("""COMPUTED_VALUE"""),4774.1)</f>
        <v>4774.1</v>
      </c>
      <c r="AO97" s="177">
        <f>IFERROR(__xludf.DUMMYFUNCTION("""COMPUTED_VALUE"""),4685.0)</f>
        <v>4685</v>
      </c>
      <c r="AP97" s="177">
        <f>IFERROR(__xludf.DUMMYFUNCTION("""COMPUTED_VALUE"""),4701.35)</f>
        <v>4701.35</v>
      </c>
      <c r="AQ97" s="177">
        <f>IFERROR(__xludf.DUMMYFUNCTION("""COMPUTED_VALUE"""),1465327.0)</f>
        <v>1465327</v>
      </c>
      <c r="AR97" s="177">
        <f t="shared" si="4"/>
        <v>-0.005345847965</v>
      </c>
      <c r="AS97" s="177"/>
      <c r="AT97" s="177"/>
      <c r="AU97" s="189"/>
      <c r="AV97" s="140"/>
      <c r="AW97" s="140"/>
      <c r="AX97" s="176">
        <f>IFERROR(__xludf.DUMMYFUNCTION("""COMPUTED_VALUE"""),45517.64583333333)</f>
        <v>45517.64583</v>
      </c>
      <c r="AY97" s="177">
        <f>IFERROR(__xludf.DUMMYFUNCTION("""COMPUTED_VALUE"""),495.95)</f>
        <v>495.95</v>
      </c>
      <c r="AZ97" s="177">
        <f>IFERROR(__xludf.DUMMYFUNCTION("""COMPUTED_VALUE"""),497.85)</f>
        <v>497.85</v>
      </c>
      <c r="BA97" s="177">
        <f>IFERROR(__xludf.DUMMYFUNCTION("""COMPUTED_VALUE"""),488.25)</f>
        <v>488.25</v>
      </c>
      <c r="BB97" s="177">
        <f>IFERROR(__xludf.DUMMYFUNCTION("""COMPUTED_VALUE"""),490.0)</f>
        <v>490</v>
      </c>
      <c r="BC97" s="177">
        <f>IFERROR(__xludf.DUMMYFUNCTION("""COMPUTED_VALUE"""),7757706.0)</f>
        <v>7757706</v>
      </c>
      <c r="BD97" s="177">
        <f t="shared" si="5"/>
        <v>-0.009343963983</v>
      </c>
      <c r="BE97" s="177"/>
      <c r="BF97" s="177"/>
      <c r="BG97" s="189"/>
      <c r="BH97" s="140"/>
      <c r="BI97" s="140"/>
      <c r="BJ97" s="140"/>
      <c r="BK97" s="140"/>
      <c r="BL97" s="140"/>
      <c r="BM97" s="140"/>
      <c r="BN97" s="140"/>
      <c r="BO97" s="140"/>
      <c r="BP97" s="140"/>
      <c r="BQ97" s="140"/>
      <c r="BR97" s="140"/>
      <c r="BS97" s="140"/>
      <c r="BT97" s="140"/>
      <c r="BU97" s="140"/>
      <c r="BV97" s="140"/>
      <c r="BW97" s="140"/>
      <c r="BX97" s="140"/>
      <c r="BY97" s="140"/>
    </row>
    <row r="98" ht="15.75" customHeight="1">
      <c r="A98" s="168"/>
      <c r="B98" s="169">
        <v>45518.0</v>
      </c>
      <c r="C98" s="170">
        <v>6651.12</v>
      </c>
      <c r="D98" s="170">
        <v>6691.52</v>
      </c>
      <c r="E98" s="170">
        <v>6579.12</v>
      </c>
      <c r="F98" s="170">
        <v>6606.12</v>
      </c>
      <c r="G98" s="171" t="s">
        <v>238</v>
      </c>
      <c r="H98" s="172">
        <f t="shared" si="1"/>
        <v>-0.006548179504</v>
      </c>
      <c r="I98" s="172"/>
      <c r="J98" s="172"/>
      <c r="K98" s="188"/>
      <c r="L98" s="140"/>
      <c r="M98" s="140"/>
      <c r="N98" s="176">
        <f>IFERROR(__xludf.DUMMYFUNCTION("""COMPUTED_VALUE"""),45518.64583333333)</f>
        <v>45518.64583</v>
      </c>
      <c r="O98" s="177">
        <f>IFERROR(__xludf.DUMMYFUNCTION("""COMPUTED_VALUE"""),1167.0)</f>
        <v>1167</v>
      </c>
      <c r="P98" s="177">
        <f>IFERROR(__xludf.DUMMYFUNCTION("""COMPUTED_VALUE"""),1170.05)</f>
        <v>1170.05</v>
      </c>
      <c r="Q98" s="177">
        <f>IFERROR(__xludf.DUMMYFUNCTION("""COMPUTED_VALUE"""),1153.0)</f>
        <v>1153</v>
      </c>
      <c r="R98" s="177">
        <f>IFERROR(__xludf.DUMMYFUNCTION("""COMPUTED_VALUE"""),1161.65)</f>
        <v>1161.65</v>
      </c>
      <c r="S98" s="177">
        <f>IFERROR(__xludf.DUMMYFUNCTION("""COMPUTED_VALUE"""),1.3431801E7)</f>
        <v>13431801</v>
      </c>
      <c r="T98" s="177">
        <f t="shared" si="2"/>
        <v>-0.005751088813</v>
      </c>
      <c r="U98" s="178"/>
      <c r="V98" s="177"/>
      <c r="W98" s="189"/>
      <c r="X98" s="140"/>
      <c r="Y98" s="140"/>
      <c r="Z98" s="176">
        <f>IFERROR(__xludf.DUMMYFUNCTION("""COMPUTED_VALUE"""),45518.64583333333)</f>
        <v>45518.64583</v>
      </c>
      <c r="AA98" s="177">
        <f>IFERROR(__xludf.DUMMYFUNCTION("""COMPUTED_VALUE"""),408.0)</f>
        <v>408</v>
      </c>
      <c r="AB98" s="177">
        <f>IFERROR(__xludf.DUMMYFUNCTION("""COMPUTED_VALUE"""),408.9)</f>
        <v>408.9</v>
      </c>
      <c r="AC98" s="177">
        <f>IFERROR(__xludf.DUMMYFUNCTION("""COMPUTED_VALUE"""),400.65)</f>
        <v>400.65</v>
      </c>
      <c r="AD98" s="177">
        <f>IFERROR(__xludf.DUMMYFUNCTION("""COMPUTED_VALUE"""),403.05)</f>
        <v>403.05</v>
      </c>
      <c r="AE98" s="177">
        <f>IFERROR(__xludf.DUMMYFUNCTION("""COMPUTED_VALUE"""),6900595.0)</f>
        <v>6900595</v>
      </c>
      <c r="AF98" s="177">
        <f t="shared" si="3"/>
        <v>-0.005566909905</v>
      </c>
      <c r="AG98" s="177"/>
      <c r="AH98" s="177"/>
      <c r="AI98" s="189"/>
      <c r="AJ98" s="140"/>
      <c r="AK98" s="140"/>
      <c r="AL98" s="176">
        <f>IFERROR(__xludf.DUMMYFUNCTION("""COMPUTED_VALUE"""),45518.64583333333)</f>
        <v>45518.64583</v>
      </c>
      <c r="AM98" s="177">
        <f>IFERROR(__xludf.DUMMYFUNCTION("""COMPUTED_VALUE"""),4704.8)</f>
        <v>4704.8</v>
      </c>
      <c r="AN98" s="177">
        <f>IFERROR(__xludf.DUMMYFUNCTION("""COMPUTED_VALUE"""),4811.5)</f>
        <v>4811.5</v>
      </c>
      <c r="AO98" s="177">
        <f>IFERROR(__xludf.DUMMYFUNCTION("""COMPUTED_VALUE"""),4593.75)</f>
        <v>4593.75</v>
      </c>
      <c r="AP98" s="177">
        <f>IFERROR(__xludf.DUMMYFUNCTION("""COMPUTED_VALUE"""),4661.7)</f>
        <v>4661.7</v>
      </c>
      <c r="AQ98" s="177">
        <f>IFERROR(__xludf.DUMMYFUNCTION("""COMPUTED_VALUE"""),3928422.0)</f>
        <v>3928422</v>
      </c>
      <c r="AR98" s="177">
        <f t="shared" si="4"/>
        <v>-0.008469513036</v>
      </c>
      <c r="AS98" s="177"/>
      <c r="AT98" s="177"/>
      <c r="AU98" s="189"/>
      <c r="AV98" s="140"/>
      <c r="AW98" s="140"/>
      <c r="AX98" s="176">
        <f>IFERROR(__xludf.DUMMYFUNCTION("""COMPUTED_VALUE"""),45518.64583333333)</f>
        <v>45518.64583</v>
      </c>
      <c r="AY98" s="177">
        <f>IFERROR(__xludf.DUMMYFUNCTION("""COMPUTED_VALUE"""),491.95)</f>
        <v>491.95</v>
      </c>
      <c r="AZ98" s="177">
        <f>IFERROR(__xludf.DUMMYFUNCTION("""COMPUTED_VALUE"""),499.0)</f>
        <v>499</v>
      </c>
      <c r="BA98" s="177">
        <f>IFERROR(__xludf.DUMMYFUNCTION("""COMPUTED_VALUE"""),489.9)</f>
        <v>489.9</v>
      </c>
      <c r="BB98" s="177">
        <f>IFERROR(__xludf.DUMMYFUNCTION("""COMPUTED_VALUE"""),492.2)</f>
        <v>492.2</v>
      </c>
      <c r="BC98" s="177">
        <f>IFERROR(__xludf.DUMMYFUNCTION("""COMPUTED_VALUE"""),9253598.0)</f>
        <v>9253598</v>
      </c>
      <c r="BD98" s="177">
        <f t="shared" si="5"/>
        <v>0.004479746852</v>
      </c>
      <c r="BE98" s="177"/>
      <c r="BF98" s="177"/>
      <c r="BG98" s="189"/>
      <c r="BH98" s="140"/>
      <c r="BI98" s="140"/>
      <c r="BJ98" s="140"/>
      <c r="BK98" s="140"/>
      <c r="BL98" s="140"/>
      <c r="BM98" s="140"/>
      <c r="BN98" s="140"/>
      <c r="BO98" s="140"/>
      <c r="BP98" s="140"/>
      <c r="BQ98" s="140"/>
      <c r="BR98" s="140"/>
      <c r="BS98" s="140"/>
      <c r="BT98" s="140"/>
      <c r="BU98" s="140"/>
      <c r="BV98" s="140"/>
      <c r="BW98" s="140"/>
      <c r="BX98" s="140"/>
      <c r="BY98" s="140"/>
    </row>
    <row r="99" ht="15.75" customHeight="1">
      <c r="A99" s="168"/>
      <c r="B99" s="169">
        <v>45520.0</v>
      </c>
      <c r="C99" s="170">
        <v>6631.52</v>
      </c>
      <c r="D99" s="170">
        <v>6768.78</v>
      </c>
      <c r="E99" s="170">
        <v>6613.52</v>
      </c>
      <c r="F99" s="170">
        <v>6761.52</v>
      </c>
      <c r="G99" s="171" t="s">
        <v>238</v>
      </c>
      <c r="H99" s="172">
        <f t="shared" si="1"/>
        <v>0.02325122474</v>
      </c>
      <c r="I99" s="172"/>
      <c r="J99" s="172"/>
      <c r="K99" s="188"/>
      <c r="L99" s="140"/>
      <c r="M99" s="140"/>
      <c r="N99" s="176">
        <f>IFERROR(__xludf.DUMMYFUNCTION("""COMPUTED_VALUE"""),45520.64583333333)</f>
        <v>45520.64583</v>
      </c>
      <c r="O99" s="177">
        <f>IFERROR(__xludf.DUMMYFUNCTION("""COMPUTED_VALUE"""),1170.0)</f>
        <v>1170</v>
      </c>
      <c r="P99" s="177">
        <f>IFERROR(__xludf.DUMMYFUNCTION("""COMPUTED_VALUE"""),1193.0)</f>
        <v>1193</v>
      </c>
      <c r="Q99" s="177">
        <f>IFERROR(__xludf.DUMMYFUNCTION("""COMPUTED_VALUE"""),1165.65)</f>
        <v>1165.65</v>
      </c>
      <c r="R99" s="177">
        <f>IFERROR(__xludf.DUMMYFUNCTION("""COMPUTED_VALUE"""),1187.25)</f>
        <v>1187.25</v>
      </c>
      <c r="S99" s="177">
        <f>IFERROR(__xludf.DUMMYFUNCTION("""COMPUTED_VALUE"""),1.096137E7)</f>
        <v>10961370</v>
      </c>
      <c r="T99" s="177">
        <f t="shared" si="2"/>
        <v>0.02179830021</v>
      </c>
      <c r="U99" s="178"/>
      <c r="V99" s="177"/>
      <c r="W99" s="189"/>
      <c r="X99" s="140"/>
      <c r="Y99" s="140"/>
      <c r="Z99" s="176">
        <f>IFERROR(__xludf.DUMMYFUNCTION("""COMPUTED_VALUE"""),45520.64583333333)</f>
        <v>45520.64583</v>
      </c>
      <c r="AA99" s="177">
        <f>IFERROR(__xludf.DUMMYFUNCTION("""COMPUTED_VALUE"""),406.45)</f>
        <v>406.45</v>
      </c>
      <c r="AB99" s="177">
        <f>IFERROR(__xludf.DUMMYFUNCTION("""COMPUTED_VALUE"""),413.2)</f>
        <v>413.2</v>
      </c>
      <c r="AC99" s="177">
        <f>IFERROR(__xludf.DUMMYFUNCTION("""COMPUTED_VALUE"""),405.45)</f>
        <v>405.45</v>
      </c>
      <c r="AD99" s="177">
        <f>IFERROR(__xludf.DUMMYFUNCTION("""COMPUTED_VALUE"""),411.8)</f>
        <v>411.8</v>
      </c>
      <c r="AE99" s="177">
        <f>IFERROR(__xludf.DUMMYFUNCTION("""COMPUTED_VALUE"""),4001648.0)</f>
        <v>4001648</v>
      </c>
      <c r="AF99" s="177">
        <f t="shared" si="3"/>
        <v>0.02147717086</v>
      </c>
      <c r="AG99" s="177"/>
      <c r="AH99" s="177"/>
      <c r="AI99" s="189"/>
      <c r="AJ99" s="140"/>
      <c r="AK99" s="140"/>
      <c r="AL99" s="176">
        <f>IFERROR(__xludf.DUMMYFUNCTION("""COMPUTED_VALUE"""),45520.64583333333)</f>
        <v>45520.64583</v>
      </c>
      <c r="AM99" s="177">
        <f>IFERROR(__xludf.DUMMYFUNCTION("""COMPUTED_VALUE"""),4769.5)</f>
        <v>4769.5</v>
      </c>
      <c r="AN99" s="177">
        <f>IFERROR(__xludf.DUMMYFUNCTION("""COMPUTED_VALUE"""),4794.6)</f>
        <v>4794.6</v>
      </c>
      <c r="AO99" s="177">
        <f>IFERROR(__xludf.DUMMYFUNCTION("""COMPUTED_VALUE"""),4660.0)</f>
        <v>4660</v>
      </c>
      <c r="AP99" s="177">
        <f>IFERROR(__xludf.DUMMYFUNCTION("""COMPUTED_VALUE"""),4769.8)</f>
        <v>4769.8</v>
      </c>
      <c r="AQ99" s="177">
        <f>IFERROR(__xludf.DUMMYFUNCTION("""COMPUTED_VALUE"""),2878549.0)</f>
        <v>2878549</v>
      </c>
      <c r="AR99" s="177">
        <f t="shared" si="4"/>
        <v>0.02292418682</v>
      </c>
      <c r="AS99" s="177"/>
      <c r="AT99" s="177"/>
      <c r="AU99" s="189"/>
      <c r="AV99" s="140"/>
      <c r="AW99" s="140"/>
      <c r="AX99" s="176">
        <f>IFERROR(__xludf.DUMMYFUNCTION("""COMPUTED_VALUE"""),45520.64583333333)</f>
        <v>45520.64583</v>
      </c>
      <c r="AY99" s="177">
        <f>IFERROR(__xludf.DUMMYFUNCTION("""COMPUTED_VALUE"""),494.5)</f>
        <v>494.5</v>
      </c>
      <c r="AZ99" s="177">
        <f>IFERROR(__xludf.DUMMYFUNCTION("""COMPUTED_VALUE"""),504.2)</f>
        <v>504.2</v>
      </c>
      <c r="BA99" s="177">
        <f>IFERROR(__xludf.DUMMYFUNCTION("""COMPUTED_VALUE"""),492.65)</f>
        <v>492.65</v>
      </c>
      <c r="BB99" s="177">
        <f>IFERROR(__xludf.DUMMYFUNCTION("""COMPUTED_VALUE"""),502.65)</f>
        <v>502.65</v>
      </c>
      <c r="BC99" s="177">
        <f>IFERROR(__xludf.DUMMYFUNCTION("""COMPUTED_VALUE"""),1.3137392E7)</f>
        <v>13137392</v>
      </c>
      <c r="BD99" s="177">
        <f t="shared" si="5"/>
        <v>0.02100896489</v>
      </c>
      <c r="BE99" s="177"/>
      <c r="BF99" s="177"/>
      <c r="BG99" s="189"/>
      <c r="BH99" s="140"/>
      <c r="BI99" s="140"/>
      <c r="BJ99" s="140"/>
      <c r="BK99" s="140"/>
      <c r="BL99" s="140"/>
      <c r="BM99" s="140"/>
      <c r="BN99" s="140"/>
      <c r="BO99" s="140"/>
      <c r="BP99" s="140"/>
      <c r="BQ99" s="140"/>
      <c r="BR99" s="140"/>
      <c r="BS99" s="140"/>
      <c r="BT99" s="140"/>
      <c r="BU99" s="140"/>
      <c r="BV99" s="140"/>
      <c r="BW99" s="140"/>
      <c r="BX99" s="140"/>
      <c r="BY99" s="140"/>
    </row>
    <row r="100" ht="15.75" customHeight="1">
      <c r="A100" s="168"/>
      <c r="B100" s="169">
        <v>45523.0</v>
      </c>
      <c r="C100" s="170">
        <v>6764.78</v>
      </c>
      <c r="D100" s="170">
        <v>6770.12</v>
      </c>
      <c r="E100" s="170">
        <v>6705.12</v>
      </c>
      <c r="F100" s="170">
        <v>6750.78</v>
      </c>
      <c r="G100" s="171" t="s">
        <v>238</v>
      </c>
      <c r="H100" s="172">
        <f t="shared" si="1"/>
        <v>-0.001589663086</v>
      </c>
      <c r="I100" s="172"/>
      <c r="J100" s="172"/>
      <c r="K100" s="188"/>
      <c r="L100" s="140"/>
      <c r="M100" s="140"/>
      <c r="N100" s="176">
        <f>IFERROR(__xludf.DUMMYFUNCTION("""COMPUTED_VALUE"""),45523.64583333333)</f>
        <v>45523.64583</v>
      </c>
      <c r="O100" s="177">
        <f>IFERROR(__xludf.DUMMYFUNCTION("""COMPUTED_VALUE"""),1191.0)</f>
        <v>1191</v>
      </c>
      <c r="P100" s="177">
        <f>IFERROR(__xludf.DUMMYFUNCTION("""COMPUTED_VALUE"""),1195.75)</f>
        <v>1195.75</v>
      </c>
      <c r="Q100" s="177">
        <f>IFERROR(__xludf.DUMMYFUNCTION("""COMPUTED_VALUE"""),1173.3)</f>
        <v>1173.3</v>
      </c>
      <c r="R100" s="177">
        <f>IFERROR(__xludf.DUMMYFUNCTION("""COMPUTED_VALUE"""),1175.9)</f>
        <v>1175.9</v>
      </c>
      <c r="S100" s="177">
        <f>IFERROR(__xludf.DUMMYFUNCTION("""COMPUTED_VALUE"""),6686394.0)</f>
        <v>6686394</v>
      </c>
      <c r="T100" s="177">
        <f t="shared" si="2"/>
        <v>-0.0096058966</v>
      </c>
      <c r="U100" s="178"/>
      <c r="V100" s="177"/>
      <c r="W100" s="189"/>
      <c r="X100" s="140"/>
      <c r="Y100" s="140"/>
      <c r="Z100" s="176">
        <f>IFERROR(__xludf.DUMMYFUNCTION("""COMPUTED_VALUE"""),45523.64583333333)</f>
        <v>45523.64583</v>
      </c>
      <c r="AA100" s="177">
        <f>IFERROR(__xludf.DUMMYFUNCTION("""COMPUTED_VALUE"""),413.7)</f>
        <v>413.7</v>
      </c>
      <c r="AB100" s="177">
        <f>IFERROR(__xludf.DUMMYFUNCTION("""COMPUTED_VALUE"""),422.0)</f>
        <v>422</v>
      </c>
      <c r="AC100" s="177">
        <f>IFERROR(__xludf.DUMMYFUNCTION("""COMPUTED_VALUE"""),412.1)</f>
        <v>412.1</v>
      </c>
      <c r="AD100" s="177">
        <f>IFERROR(__xludf.DUMMYFUNCTION("""COMPUTED_VALUE"""),418.65)</f>
        <v>418.65</v>
      </c>
      <c r="AE100" s="177">
        <f>IFERROR(__xludf.DUMMYFUNCTION("""COMPUTED_VALUE"""),6217589.0)</f>
        <v>6217589</v>
      </c>
      <c r="AF100" s="177">
        <f t="shared" si="3"/>
        <v>0.01649745406</v>
      </c>
      <c r="AG100" s="177"/>
      <c r="AH100" s="177"/>
      <c r="AI100" s="189"/>
      <c r="AJ100" s="140"/>
      <c r="AK100" s="140"/>
      <c r="AL100" s="176">
        <f>IFERROR(__xludf.DUMMYFUNCTION("""COMPUTED_VALUE"""),45523.64583333333)</f>
        <v>45523.64583</v>
      </c>
      <c r="AM100" s="177">
        <f>IFERROR(__xludf.DUMMYFUNCTION("""COMPUTED_VALUE"""),4810.0)</f>
        <v>4810</v>
      </c>
      <c r="AN100" s="177">
        <f>IFERROR(__xludf.DUMMYFUNCTION("""COMPUTED_VALUE"""),4858.0)</f>
        <v>4858</v>
      </c>
      <c r="AO100" s="177">
        <f>IFERROR(__xludf.DUMMYFUNCTION("""COMPUTED_VALUE"""),4774.45)</f>
        <v>4774.45</v>
      </c>
      <c r="AP100" s="177">
        <f>IFERROR(__xludf.DUMMYFUNCTION("""COMPUTED_VALUE"""),4792.25)</f>
        <v>4792.25</v>
      </c>
      <c r="AQ100" s="177">
        <f>IFERROR(__xludf.DUMMYFUNCTION("""COMPUTED_VALUE"""),2362884.0)</f>
        <v>2362884</v>
      </c>
      <c r="AR100" s="177">
        <f t="shared" si="4"/>
        <v>0.004695654436</v>
      </c>
      <c r="AS100" s="177"/>
      <c r="AT100" s="177"/>
      <c r="AU100" s="189"/>
      <c r="AV100" s="140"/>
      <c r="AW100" s="140"/>
      <c r="AX100" s="176">
        <f>IFERROR(__xludf.DUMMYFUNCTION("""COMPUTED_VALUE"""),45523.64583333333)</f>
        <v>45523.64583</v>
      </c>
      <c r="AY100" s="177">
        <f>IFERROR(__xludf.DUMMYFUNCTION("""COMPUTED_VALUE"""),504.75)</f>
        <v>504.75</v>
      </c>
      <c r="AZ100" s="177">
        <f>IFERROR(__xludf.DUMMYFUNCTION("""COMPUTED_VALUE"""),509.3)</f>
        <v>509.3</v>
      </c>
      <c r="BA100" s="177">
        <f>IFERROR(__xludf.DUMMYFUNCTION("""COMPUTED_VALUE"""),499.6)</f>
        <v>499.6</v>
      </c>
      <c r="BB100" s="177">
        <f>IFERROR(__xludf.DUMMYFUNCTION("""COMPUTED_VALUE"""),501.45)</f>
        <v>501.45</v>
      </c>
      <c r="BC100" s="177">
        <f>IFERROR(__xludf.DUMMYFUNCTION("""COMPUTED_VALUE"""),1.0198725E7)</f>
        <v>10198725</v>
      </c>
      <c r="BD100" s="177">
        <f t="shared" si="5"/>
        <v>-0.002390201317</v>
      </c>
      <c r="BE100" s="177"/>
      <c r="BF100" s="177"/>
      <c r="BG100" s="189"/>
      <c r="BH100" s="140"/>
      <c r="BI100" s="140"/>
      <c r="BJ100" s="140"/>
      <c r="BK100" s="140"/>
      <c r="BL100" s="140"/>
      <c r="BM100" s="140"/>
      <c r="BN100" s="140"/>
      <c r="BO100" s="140"/>
      <c r="BP100" s="140"/>
      <c r="BQ100" s="140"/>
      <c r="BR100" s="140"/>
      <c r="BS100" s="140"/>
      <c r="BT100" s="140"/>
      <c r="BU100" s="140"/>
      <c r="BV100" s="140"/>
      <c r="BW100" s="140"/>
      <c r="BX100" s="140"/>
      <c r="BY100" s="140"/>
    </row>
    <row r="101" ht="15.75" customHeight="1">
      <c r="A101" s="168"/>
      <c r="B101" s="169">
        <v>45524.0</v>
      </c>
      <c r="C101" s="170">
        <v>6747.52</v>
      </c>
      <c r="D101" s="170">
        <v>6819.12</v>
      </c>
      <c r="E101" s="170">
        <v>6728.78</v>
      </c>
      <c r="F101" s="170">
        <v>6765.12</v>
      </c>
      <c r="G101" s="171" t="s">
        <v>238</v>
      </c>
      <c r="H101" s="172">
        <f t="shared" si="1"/>
        <v>0.002121946061</v>
      </c>
      <c r="I101" s="172"/>
      <c r="J101" s="172"/>
      <c r="K101" s="188"/>
      <c r="L101" s="140"/>
      <c r="M101" s="140"/>
      <c r="N101" s="176">
        <f>IFERROR(__xludf.DUMMYFUNCTION("""COMPUTED_VALUE"""),45524.64583333333)</f>
        <v>45524.64583</v>
      </c>
      <c r="O101" s="177">
        <f>IFERROR(__xludf.DUMMYFUNCTION("""COMPUTED_VALUE"""),1174.2)</f>
        <v>1174.2</v>
      </c>
      <c r="P101" s="177">
        <f>IFERROR(__xludf.DUMMYFUNCTION("""COMPUTED_VALUE"""),1189.8)</f>
        <v>1189.8</v>
      </c>
      <c r="Q101" s="177">
        <f>IFERROR(__xludf.DUMMYFUNCTION("""COMPUTED_VALUE"""),1170.0)</f>
        <v>1170</v>
      </c>
      <c r="R101" s="177">
        <f>IFERROR(__xludf.DUMMYFUNCTION("""COMPUTED_VALUE"""),1179.45)</f>
        <v>1179.45</v>
      </c>
      <c r="S101" s="177">
        <f>IFERROR(__xludf.DUMMYFUNCTION("""COMPUTED_VALUE"""),1.0427061E7)</f>
        <v>10427061</v>
      </c>
      <c r="T101" s="177">
        <f t="shared" si="2"/>
        <v>0.003014416276</v>
      </c>
      <c r="U101" s="178"/>
      <c r="V101" s="177"/>
      <c r="W101" s="189"/>
      <c r="X101" s="140"/>
      <c r="Y101" s="140"/>
      <c r="Z101" s="176">
        <f>IFERROR(__xludf.DUMMYFUNCTION("""COMPUTED_VALUE"""),45524.64583333333)</f>
        <v>45524.64583</v>
      </c>
      <c r="AA101" s="177">
        <f>IFERROR(__xludf.DUMMYFUNCTION("""COMPUTED_VALUE"""),421.0)</f>
        <v>421</v>
      </c>
      <c r="AB101" s="177">
        <f>IFERROR(__xludf.DUMMYFUNCTION("""COMPUTED_VALUE"""),430.35)</f>
        <v>430.35</v>
      </c>
      <c r="AC101" s="177">
        <f>IFERROR(__xludf.DUMMYFUNCTION("""COMPUTED_VALUE"""),419.6)</f>
        <v>419.6</v>
      </c>
      <c r="AD101" s="177">
        <f>IFERROR(__xludf.DUMMYFUNCTION("""COMPUTED_VALUE"""),428.3)</f>
        <v>428.3</v>
      </c>
      <c r="AE101" s="177">
        <f>IFERROR(__xludf.DUMMYFUNCTION("""COMPUTED_VALUE"""),9343091.0)</f>
        <v>9343091</v>
      </c>
      <c r="AF101" s="177">
        <f t="shared" si="3"/>
        <v>0.02278863597</v>
      </c>
      <c r="AG101" s="177"/>
      <c r="AH101" s="177"/>
      <c r="AI101" s="189"/>
      <c r="AJ101" s="140"/>
      <c r="AK101" s="140"/>
      <c r="AL101" s="176">
        <f>IFERROR(__xludf.DUMMYFUNCTION("""COMPUTED_VALUE"""),45524.64583333333)</f>
        <v>45524.64583</v>
      </c>
      <c r="AM101" s="177">
        <f>IFERROR(__xludf.DUMMYFUNCTION("""COMPUTED_VALUE"""),4797.0)</f>
        <v>4797</v>
      </c>
      <c r="AN101" s="177">
        <f>IFERROR(__xludf.DUMMYFUNCTION("""COMPUTED_VALUE"""),4809.95)</f>
        <v>4809.95</v>
      </c>
      <c r="AO101" s="177">
        <f>IFERROR(__xludf.DUMMYFUNCTION("""COMPUTED_VALUE"""),4683.6)</f>
        <v>4683.6</v>
      </c>
      <c r="AP101" s="177">
        <f>IFERROR(__xludf.DUMMYFUNCTION("""COMPUTED_VALUE"""),4736.05)</f>
        <v>4736.05</v>
      </c>
      <c r="AQ101" s="177">
        <f>IFERROR(__xludf.DUMMYFUNCTION("""COMPUTED_VALUE"""),1472860.0)</f>
        <v>1472860</v>
      </c>
      <c r="AR101" s="177">
        <f t="shared" si="4"/>
        <v>-0.01179657478</v>
      </c>
      <c r="AS101" s="177"/>
      <c r="AT101" s="177"/>
      <c r="AU101" s="189"/>
      <c r="AV101" s="140"/>
      <c r="AW101" s="140"/>
      <c r="AX101" s="176">
        <f>IFERROR(__xludf.DUMMYFUNCTION("""COMPUTED_VALUE"""),45524.64583333333)</f>
        <v>45524.64583</v>
      </c>
      <c r="AY101" s="177">
        <f>IFERROR(__xludf.DUMMYFUNCTION("""COMPUTED_VALUE"""),501.0)</f>
        <v>501</v>
      </c>
      <c r="AZ101" s="177">
        <f>IFERROR(__xludf.DUMMYFUNCTION("""COMPUTED_VALUE"""),503.4)</f>
        <v>503.4</v>
      </c>
      <c r="BA101" s="177">
        <f>IFERROR(__xludf.DUMMYFUNCTION("""COMPUTED_VALUE"""),497.7)</f>
        <v>497.7</v>
      </c>
      <c r="BB101" s="177">
        <f>IFERROR(__xludf.DUMMYFUNCTION("""COMPUTED_VALUE"""),498.8)</f>
        <v>498.8</v>
      </c>
      <c r="BC101" s="177">
        <f>IFERROR(__xludf.DUMMYFUNCTION("""COMPUTED_VALUE"""),6633171.0)</f>
        <v>6633171</v>
      </c>
      <c r="BD101" s="177">
        <f t="shared" si="5"/>
        <v>-0.005298687728</v>
      </c>
      <c r="BE101" s="177"/>
      <c r="BF101" s="177"/>
      <c r="BG101" s="189"/>
      <c r="BH101" s="140"/>
      <c r="BI101" s="140"/>
      <c r="BJ101" s="140"/>
      <c r="BK101" s="140"/>
      <c r="BL101" s="140"/>
      <c r="BM101" s="140"/>
      <c r="BN101" s="140"/>
      <c r="BO101" s="140"/>
      <c r="BP101" s="140"/>
      <c r="BQ101" s="140"/>
      <c r="BR101" s="140"/>
      <c r="BS101" s="140"/>
      <c r="BT101" s="140"/>
      <c r="BU101" s="140"/>
      <c r="BV101" s="140"/>
      <c r="BW101" s="140"/>
      <c r="BX101" s="140"/>
      <c r="BY101" s="140"/>
    </row>
    <row r="102" ht="15.75" customHeight="1">
      <c r="A102" s="168"/>
      <c r="B102" s="169">
        <v>45525.0</v>
      </c>
      <c r="C102" s="170">
        <v>6773.12</v>
      </c>
      <c r="D102" s="170">
        <v>6798.78</v>
      </c>
      <c r="E102" s="170">
        <v>6728.78</v>
      </c>
      <c r="F102" s="170">
        <v>6769.52</v>
      </c>
      <c r="G102" s="171" t="s">
        <v>238</v>
      </c>
      <c r="H102" s="172">
        <f t="shared" si="1"/>
        <v>0.000650183552</v>
      </c>
      <c r="I102" s="172"/>
      <c r="J102" s="172"/>
      <c r="K102" s="188"/>
      <c r="L102" s="140"/>
      <c r="M102" s="140"/>
      <c r="N102" s="176">
        <f>IFERROR(__xludf.DUMMYFUNCTION("""COMPUTED_VALUE"""),45525.64583333333)</f>
        <v>45525.64583</v>
      </c>
      <c r="O102" s="177">
        <f>IFERROR(__xludf.DUMMYFUNCTION("""COMPUTED_VALUE"""),1177.0)</f>
        <v>1177</v>
      </c>
      <c r="P102" s="177">
        <f>IFERROR(__xludf.DUMMYFUNCTION("""COMPUTED_VALUE"""),1178.65)</f>
        <v>1178.65</v>
      </c>
      <c r="Q102" s="177">
        <f>IFERROR(__xludf.DUMMYFUNCTION("""COMPUTED_VALUE"""),1165.1)</f>
        <v>1165.1</v>
      </c>
      <c r="R102" s="177">
        <f>IFERROR(__xludf.DUMMYFUNCTION("""COMPUTED_VALUE"""),1174.85)</f>
        <v>1174.85</v>
      </c>
      <c r="S102" s="177">
        <f>IFERROR(__xludf.DUMMYFUNCTION("""COMPUTED_VALUE"""),1.7234142E7)</f>
        <v>17234142</v>
      </c>
      <c r="T102" s="177">
        <f t="shared" si="2"/>
        <v>-0.003907748251</v>
      </c>
      <c r="U102" s="178"/>
      <c r="V102" s="177"/>
      <c r="W102" s="189"/>
      <c r="X102" s="140"/>
      <c r="Y102" s="140"/>
      <c r="Z102" s="176">
        <f>IFERROR(__xludf.DUMMYFUNCTION("""COMPUTED_VALUE"""),45525.64583333333)</f>
        <v>45525.64583</v>
      </c>
      <c r="AA102" s="177">
        <f>IFERROR(__xludf.DUMMYFUNCTION("""COMPUTED_VALUE"""),429.5)</f>
        <v>429.5</v>
      </c>
      <c r="AB102" s="177">
        <f>IFERROR(__xludf.DUMMYFUNCTION("""COMPUTED_VALUE"""),431.45)</f>
        <v>431.45</v>
      </c>
      <c r="AC102" s="177">
        <f>IFERROR(__xludf.DUMMYFUNCTION("""COMPUTED_VALUE"""),423.5)</f>
        <v>423.5</v>
      </c>
      <c r="AD102" s="177">
        <f>IFERROR(__xludf.DUMMYFUNCTION("""COMPUTED_VALUE"""),424.9)</f>
        <v>424.9</v>
      </c>
      <c r="AE102" s="177">
        <f>IFERROR(__xludf.DUMMYFUNCTION("""COMPUTED_VALUE"""),6930168.0)</f>
        <v>6930168</v>
      </c>
      <c r="AF102" s="177">
        <f t="shared" si="3"/>
        <v>-0.007970037501</v>
      </c>
      <c r="AG102" s="177"/>
      <c r="AH102" s="177"/>
      <c r="AI102" s="189"/>
      <c r="AJ102" s="140"/>
      <c r="AK102" s="140"/>
      <c r="AL102" s="176">
        <f>IFERROR(__xludf.DUMMYFUNCTION("""COMPUTED_VALUE"""),45525.64583333333)</f>
        <v>45525.64583</v>
      </c>
      <c r="AM102" s="177">
        <f>IFERROR(__xludf.DUMMYFUNCTION("""COMPUTED_VALUE"""),4710.0)</f>
        <v>4710</v>
      </c>
      <c r="AN102" s="177">
        <f>IFERROR(__xludf.DUMMYFUNCTION("""COMPUTED_VALUE"""),4772.6)</f>
        <v>4772.6</v>
      </c>
      <c r="AO102" s="177">
        <f>IFERROR(__xludf.DUMMYFUNCTION("""COMPUTED_VALUE"""),4702.3)</f>
        <v>4702.3</v>
      </c>
      <c r="AP102" s="177">
        <f>IFERROR(__xludf.DUMMYFUNCTION("""COMPUTED_VALUE"""),4731.15)</f>
        <v>4731.15</v>
      </c>
      <c r="AQ102" s="177">
        <f>IFERROR(__xludf.DUMMYFUNCTION("""COMPUTED_VALUE"""),949203.0)</f>
        <v>949203</v>
      </c>
      <c r="AR102" s="177">
        <f t="shared" si="4"/>
        <v>-0.001035153042</v>
      </c>
      <c r="AS102" s="177"/>
      <c r="AT102" s="177"/>
      <c r="AU102" s="189"/>
      <c r="AV102" s="140"/>
      <c r="AW102" s="140"/>
      <c r="AX102" s="176">
        <f>IFERROR(__xludf.DUMMYFUNCTION("""COMPUTED_VALUE"""),45525.64583333333)</f>
        <v>45525.64583</v>
      </c>
      <c r="AY102" s="177">
        <f>IFERROR(__xludf.DUMMYFUNCTION("""COMPUTED_VALUE"""),500.0)</f>
        <v>500</v>
      </c>
      <c r="AZ102" s="177">
        <f>IFERROR(__xludf.DUMMYFUNCTION("""COMPUTED_VALUE"""),509.0)</f>
        <v>509</v>
      </c>
      <c r="BA102" s="177">
        <f>IFERROR(__xludf.DUMMYFUNCTION("""COMPUTED_VALUE"""),499.05)</f>
        <v>499.05</v>
      </c>
      <c r="BB102" s="177">
        <f>IFERROR(__xludf.DUMMYFUNCTION("""COMPUTED_VALUE"""),505.4)</f>
        <v>505.4</v>
      </c>
      <c r="BC102" s="177">
        <f>IFERROR(__xludf.DUMMYFUNCTION("""COMPUTED_VALUE"""),8474830.0)</f>
        <v>8474830</v>
      </c>
      <c r="BD102" s="177">
        <f t="shared" si="5"/>
        <v>0.01314498115</v>
      </c>
      <c r="BE102" s="177"/>
      <c r="BF102" s="177"/>
      <c r="BG102" s="189"/>
      <c r="BH102" s="140"/>
      <c r="BI102" s="140"/>
      <c r="BJ102" s="140"/>
      <c r="BK102" s="140"/>
      <c r="BL102" s="140"/>
      <c r="BM102" s="140"/>
      <c r="BN102" s="140"/>
      <c r="BO102" s="140"/>
      <c r="BP102" s="140"/>
      <c r="BQ102" s="140"/>
      <c r="BR102" s="140"/>
      <c r="BS102" s="140"/>
      <c r="BT102" s="140"/>
      <c r="BU102" s="140"/>
      <c r="BV102" s="140"/>
      <c r="BW102" s="140"/>
      <c r="BX102" s="140"/>
      <c r="BY102" s="140"/>
    </row>
    <row r="103" ht="15.75" customHeight="1">
      <c r="A103" s="168"/>
      <c r="B103" s="169">
        <v>45526.0</v>
      </c>
      <c r="C103" s="170">
        <v>6774.78</v>
      </c>
      <c r="D103" s="170">
        <v>6784.12</v>
      </c>
      <c r="E103" s="170">
        <v>6669.12</v>
      </c>
      <c r="F103" s="170">
        <v>6701.12</v>
      </c>
      <c r="G103" s="171" t="s">
        <v>238</v>
      </c>
      <c r="H103" s="172">
        <f t="shared" si="1"/>
        <v>-0.01015550677</v>
      </c>
      <c r="I103" s="172"/>
      <c r="J103" s="172"/>
      <c r="K103" s="188"/>
      <c r="L103" s="140"/>
      <c r="M103" s="140"/>
      <c r="N103" s="176">
        <f>IFERROR(__xludf.DUMMYFUNCTION("""COMPUTED_VALUE"""),45526.64583333333)</f>
        <v>45526.64583</v>
      </c>
      <c r="O103" s="177">
        <f>IFERROR(__xludf.DUMMYFUNCTION("""COMPUTED_VALUE"""),1182.0)</f>
        <v>1182</v>
      </c>
      <c r="P103" s="177">
        <f>IFERROR(__xludf.DUMMYFUNCTION("""COMPUTED_VALUE"""),1192.6)</f>
        <v>1192.6</v>
      </c>
      <c r="Q103" s="177">
        <f>IFERROR(__xludf.DUMMYFUNCTION("""COMPUTED_VALUE"""),1176.6)</f>
        <v>1176.6</v>
      </c>
      <c r="R103" s="177">
        <f>IFERROR(__xludf.DUMMYFUNCTION("""COMPUTED_VALUE"""),1191.1)</f>
        <v>1191.1</v>
      </c>
      <c r="S103" s="177">
        <f>IFERROR(__xludf.DUMMYFUNCTION("""COMPUTED_VALUE"""),8564142.0)</f>
        <v>8564142</v>
      </c>
      <c r="T103" s="177">
        <f t="shared" si="2"/>
        <v>0.01373677003</v>
      </c>
      <c r="U103" s="178"/>
      <c r="V103" s="177"/>
      <c r="W103" s="189"/>
      <c r="X103" s="140"/>
      <c r="Y103" s="140"/>
      <c r="Z103" s="176">
        <f>IFERROR(__xludf.DUMMYFUNCTION("""COMPUTED_VALUE"""),45526.64583333333)</f>
        <v>45526.64583</v>
      </c>
      <c r="AA103" s="177">
        <f>IFERROR(__xludf.DUMMYFUNCTION("""COMPUTED_VALUE"""),426.5)</f>
        <v>426.5</v>
      </c>
      <c r="AB103" s="177">
        <f>IFERROR(__xludf.DUMMYFUNCTION("""COMPUTED_VALUE"""),439.2)</f>
        <v>439.2</v>
      </c>
      <c r="AC103" s="177">
        <f>IFERROR(__xludf.DUMMYFUNCTION("""COMPUTED_VALUE"""),426.0)</f>
        <v>426</v>
      </c>
      <c r="AD103" s="177">
        <f>IFERROR(__xludf.DUMMYFUNCTION("""COMPUTED_VALUE"""),434.9)</f>
        <v>434.9</v>
      </c>
      <c r="AE103" s="177">
        <f>IFERROR(__xludf.DUMMYFUNCTION("""COMPUTED_VALUE"""),1.0947918E7)</f>
        <v>10947918</v>
      </c>
      <c r="AF103" s="177">
        <f t="shared" si="3"/>
        <v>0.02326227248</v>
      </c>
      <c r="AG103" s="177"/>
      <c r="AH103" s="177"/>
      <c r="AI103" s="189"/>
      <c r="AJ103" s="140"/>
      <c r="AK103" s="140"/>
      <c r="AL103" s="176">
        <f>IFERROR(__xludf.DUMMYFUNCTION("""COMPUTED_VALUE"""),45526.64583333333)</f>
        <v>45526.64583</v>
      </c>
      <c r="AM103" s="177">
        <f>IFERROR(__xludf.DUMMYFUNCTION("""COMPUTED_VALUE"""),4740.0)</f>
        <v>4740</v>
      </c>
      <c r="AN103" s="177">
        <f>IFERROR(__xludf.DUMMYFUNCTION("""COMPUTED_VALUE"""),4814.0)</f>
        <v>4814</v>
      </c>
      <c r="AO103" s="177">
        <f>IFERROR(__xludf.DUMMYFUNCTION("""COMPUTED_VALUE"""),4722.0)</f>
        <v>4722</v>
      </c>
      <c r="AP103" s="177">
        <f>IFERROR(__xludf.DUMMYFUNCTION("""COMPUTED_VALUE"""),4768.1)</f>
        <v>4768.1</v>
      </c>
      <c r="AQ103" s="177">
        <f>IFERROR(__xludf.DUMMYFUNCTION("""COMPUTED_VALUE"""),1218312.0)</f>
        <v>1218312</v>
      </c>
      <c r="AR103" s="177">
        <f t="shared" si="4"/>
        <v>0.007779600781</v>
      </c>
      <c r="AS103" s="177"/>
      <c r="AT103" s="177"/>
      <c r="AU103" s="189"/>
      <c r="AV103" s="140"/>
      <c r="AW103" s="140"/>
      <c r="AX103" s="176">
        <f>IFERROR(__xludf.DUMMYFUNCTION("""COMPUTED_VALUE"""),45526.64583333333)</f>
        <v>45526.64583</v>
      </c>
      <c r="AY103" s="177">
        <f>IFERROR(__xludf.DUMMYFUNCTION("""COMPUTED_VALUE"""),507.85)</f>
        <v>507.85</v>
      </c>
      <c r="AZ103" s="177">
        <f>IFERROR(__xludf.DUMMYFUNCTION("""COMPUTED_VALUE"""),508.5)</f>
        <v>508.5</v>
      </c>
      <c r="BA103" s="177">
        <f>IFERROR(__xludf.DUMMYFUNCTION("""COMPUTED_VALUE"""),501.45)</f>
        <v>501.45</v>
      </c>
      <c r="BB103" s="177">
        <f>IFERROR(__xludf.DUMMYFUNCTION("""COMPUTED_VALUE"""),504.55)</f>
        <v>504.55</v>
      </c>
      <c r="BC103" s="177">
        <f>IFERROR(__xludf.DUMMYFUNCTION("""COMPUTED_VALUE"""),8364290.0)</f>
        <v>8364290</v>
      </c>
      <c r="BD103" s="177">
        <f t="shared" si="5"/>
        <v>-0.001683252044</v>
      </c>
      <c r="BE103" s="177"/>
      <c r="BF103" s="177"/>
      <c r="BG103" s="189"/>
      <c r="BH103" s="140"/>
      <c r="BI103" s="140"/>
      <c r="BJ103" s="140"/>
      <c r="BK103" s="140"/>
      <c r="BL103" s="140"/>
      <c r="BM103" s="140"/>
      <c r="BN103" s="140"/>
      <c r="BO103" s="140"/>
      <c r="BP103" s="140"/>
      <c r="BQ103" s="140"/>
      <c r="BR103" s="140"/>
      <c r="BS103" s="140"/>
      <c r="BT103" s="140"/>
      <c r="BU103" s="140"/>
      <c r="BV103" s="140"/>
      <c r="BW103" s="140"/>
      <c r="BX103" s="140"/>
      <c r="BY103" s="140"/>
    </row>
    <row r="104" ht="15.75" customHeight="1">
      <c r="A104" s="168"/>
      <c r="B104" s="169">
        <v>45527.0</v>
      </c>
      <c r="C104" s="170">
        <v>6704.12</v>
      </c>
      <c r="D104" s="170">
        <v>6787.12</v>
      </c>
      <c r="E104" s="170">
        <v>6694.12</v>
      </c>
      <c r="F104" s="170">
        <v>6767.52</v>
      </c>
      <c r="G104" s="171" t="s">
        <v>238</v>
      </c>
      <c r="H104" s="172">
        <f t="shared" si="1"/>
        <v>0.009860021197</v>
      </c>
      <c r="I104" s="172"/>
      <c r="J104" s="172"/>
      <c r="K104" s="188"/>
      <c r="L104" s="140"/>
      <c r="M104" s="140"/>
      <c r="N104" s="176">
        <f>IFERROR(__xludf.DUMMYFUNCTION("""COMPUTED_VALUE"""),45527.64583333333)</f>
        <v>45527.64583</v>
      </c>
      <c r="O104" s="177">
        <f>IFERROR(__xludf.DUMMYFUNCTION("""COMPUTED_VALUE"""),1193.0)</f>
        <v>1193</v>
      </c>
      <c r="P104" s="177">
        <f>IFERROR(__xludf.DUMMYFUNCTION("""COMPUTED_VALUE"""),1205.0)</f>
        <v>1205</v>
      </c>
      <c r="Q104" s="177">
        <f>IFERROR(__xludf.DUMMYFUNCTION("""COMPUTED_VALUE"""),1188.55)</f>
        <v>1188.55</v>
      </c>
      <c r="R104" s="177">
        <f>IFERROR(__xludf.DUMMYFUNCTION("""COMPUTED_VALUE"""),1203.5)</f>
        <v>1203.5</v>
      </c>
      <c r="S104" s="177">
        <f>IFERROR(__xludf.DUMMYFUNCTION("""COMPUTED_VALUE"""),7518309.0)</f>
        <v>7518309</v>
      </c>
      <c r="T104" s="177">
        <f t="shared" si="2"/>
        <v>0.01035672834</v>
      </c>
      <c r="U104" s="178"/>
      <c r="V104" s="177"/>
      <c r="W104" s="189"/>
      <c r="X104" s="140"/>
      <c r="Y104" s="140"/>
      <c r="Z104" s="176">
        <f>IFERROR(__xludf.DUMMYFUNCTION("""COMPUTED_VALUE"""),45527.64583333333)</f>
        <v>45527.64583</v>
      </c>
      <c r="AA104" s="177">
        <f>IFERROR(__xludf.DUMMYFUNCTION("""COMPUTED_VALUE"""),436.45)</f>
        <v>436.45</v>
      </c>
      <c r="AB104" s="177">
        <f>IFERROR(__xludf.DUMMYFUNCTION("""COMPUTED_VALUE"""),438.5)</f>
        <v>438.5</v>
      </c>
      <c r="AC104" s="177">
        <f>IFERROR(__xludf.DUMMYFUNCTION("""COMPUTED_VALUE"""),432.45)</f>
        <v>432.45</v>
      </c>
      <c r="AD104" s="177">
        <f>IFERROR(__xludf.DUMMYFUNCTION("""COMPUTED_VALUE"""),434.35)</f>
        <v>434.35</v>
      </c>
      <c r="AE104" s="177">
        <f>IFERROR(__xludf.DUMMYFUNCTION("""COMPUTED_VALUE"""),5262529.0)</f>
        <v>5262529</v>
      </c>
      <c r="AF104" s="177">
        <f t="shared" si="3"/>
        <v>-0.001265458898</v>
      </c>
      <c r="AG104" s="177"/>
      <c r="AH104" s="177"/>
      <c r="AI104" s="189"/>
      <c r="AJ104" s="140"/>
      <c r="AK104" s="140"/>
      <c r="AL104" s="176">
        <f>IFERROR(__xludf.DUMMYFUNCTION("""COMPUTED_VALUE"""),45527.64583333333)</f>
        <v>45527.64583</v>
      </c>
      <c r="AM104" s="177">
        <f>IFERROR(__xludf.DUMMYFUNCTION("""COMPUTED_VALUE"""),4807.0)</f>
        <v>4807</v>
      </c>
      <c r="AN104" s="177">
        <f>IFERROR(__xludf.DUMMYFUNCTION("""COMPUTED_VALUE"""),4864.0)</f>
        <v>4864</v>
      </c>
      <c r="AO104" s="177">
        <f>IFERROR(__xludf.DUMMYFUNCTION("""COMPUTED_VALUE"""),4777.6)</f>
        <v>4777.6</v>
      </c>
      <c r="AP104" s="177">
        <f>IFERROR(__xludf.DUMMYFUNCTION("""COMPUTED_VALUE"""),4822.75)</f>
        <v>4822.75</v>
      </c>
      <c r="AQ104" s="177">
        <f>IFERROR(__xludf.DUMMYFUNCTION("""COMPUTED_VALUE"""),1857673.0)</f>
        <v>1857673</v>
      </c>
      <c r="AR104" s="177">
        <f t="shared" si="4"/>
        <v>0.01139640209</v>
      </c>
      <c r="AS104" s="177"/>
      <c r="AT104" s="177"/>
      <c r="AU104" s="189"/>
      <c r="AV104" s="140"/>
      <c r="AW104" s="140"/>
      <c r="AX104" s="176">
        <f>IFERROR(__xludf.DUMMYFUNCTION("""COMPUTED_VALUE"""),45527.64583333333)</f>
        <v>45527.64583</v>
      </c>
      <c r="AY104" s="177">
        <f>IFERROR(__xludf.DUMMYFUNCTION("""COMPUTED_VALUE"""),505.05)</f>
        <v>505.05</v>
      </c>
      <c r="AZ104" s="177">
        <f>IFERROR(__xludf.DUMMYFUNCTION("""COMPUTED_VALUE"""),506.95)</f>
        <v>506.95</v>
      </c>
      <c r="BA104" s="177">
        <f>IFERROR(__xludf.DUMMYFUNCTION("""COMPUTED_VALUE"""),499.95)</f>
        <v>499.95</v>
      </c>
      <c r="BB104" s="177">
        <f>IFERROR(__xludf.DUMMYFUNCTION("""COMPUTED_VALUE"""),505.8)</f>
        <v>505.8</v>
      </c>
      <c r="BC104" s="177">
        <f>IFERROR(__xludf.DUMMYFUNCTION("""COMPUTED_VALUE"""),7891446.0)</f>
        <v>7891446</v>
      </c>
      <c r="BD104" s="177">
        <f t="shared" si="5"/>
        <v>0.002474391325</v>
      </c>
      <c r="BE104" s="177"/>
      <c r="BF104" s="177"/>
      <c r="BG104" s="189"/>
      <c r="BH104" s="140"/>
      <c r="BI104" s="140"/>
      <c r="BJ104" s="140"/>
      <c r="BK104" s="140"/>
      <c r="BL104" s="140"/>
      <c r="BM104" s="140"/>
      <c r="BN104" s="140"/>
      <c r="BO104" s="140"/>
      <c r="BP104" s="140"/>
      <c r="BQ104" s="140"/>
      <c r="BR104" s="140"/>
      <c r="BS104" s="140"/>
      <c r="BT104" s="140"/>
      <c r="BU104" s="140"/>
      <c r="BV104" s="140"/>
      <c r="BW104" s="140"/>
      <c r="BX104" s="140"/>
      <c r="BY104" s="140"/>
    </row>
    <row r="105" ht="15.75" customHeight="1">
      <c r="A105" s="168"/>
      <c r="B105" s="169">
        <v>45530.0</v>
      </c>
      <c r="C105" s="170">
        <v>6766.78</v>
      </c>
      <c r="D105" s="170">
        <v>6818.12</v>
      </c>
      <c r="E105" s="170">
        <v>6761.52</v>
      </c>
      <c r="F105" s="170">
        <v>6787.12</v>
      </c>
      <c r="G105" s="171" t="s">
        <v>238</v>
      </c>
      <c r="H105" s="172">
        <f t="shared" si="1"/>
        <v>0.002892000623</v>
      </c>
      <c r="I105" s="172"/>
      <c r="J105" s="172"/>
      <c r="K105" s="188"/>
      <c r="L105" s="140"/>
      <c r="M105" s="140"/>
      <c r="N105" s="176">
        <f>IFERROR(__xludf.DUMMYFUNCTION("""COMPUTED_VALUE"""),45530.64583333333)</f>
        <v>45530.64583</v>
      </c>
      <c r="O105" s="177">
        <f>IFERROR(__xludf.DUMMYFUNCTION("""COMPUTED_VALUE"""),1205.55)</f>
        <v>1205.55</v>
      </c>
      <c r="P105" s="177">
        <f>IFERROR(__xludf.DUMMYFUNCTION("""COMPUTED_VALUE"""),1214.95)</f>
        <v>1214.95</v>
      </c>
      <c r="Q105" s="177">
        <f>IFERROR(__xludf.DUMMYFUNCTION("""COMPUTED_VALUE"""),1201.05)</f>
        <v>1201.05</v>
      </c>
      <c r="R105" s="177">
        <f>IFERROR(__xludf.DUMMYFUNCTION("""COMPUTED_VALUE"""),1213.3)</f>
        <v>1213.3</v>
      </c>
      <c r="S105" s="177">
        <f>IFERROR(__xludf.DUMMYFUNCTION("""COMPUTED_VALUE"""),1.0920226E7)</f>
        <v>10920226</v>
      </c>
      <c r="T105" s="177">
        <f t="shared" si="2"/>
        <v>0.008109941835</v>
      </c>
      <c r="U105" s="178"/>
      <c r="V105" s="177"/>
      <c r="W105" s="189"/>
      <c r="X105" s="140"/>
      <c r="Y105" s="140"/>
      <c r="Z105" s="176">
        <f>IFERROR(__xludf.DUMMYFUNCTION("""COMPUTED_VALUE"""),45530.64583333333)</f>
        <v>45530.64583</v>
      </c>
      <c r="AA105" s="177">
        <f>IFERROR(__xludf.DUMMYFUNCTION("""COMPUTED_VALUE"""),435.45)</f>
        <v>435.45</v>
      </c>
      <c r="AB105" s="177">
        <f>IFERROR(__xludf.DUMMYFUNCTION("""COMPUTED_VALUE"""),439.3)</f>
        <v>439.3</v>
      </c>
      <c r="AC105" s="177">
        <f>IFERROR(__xludf.DUMMYFUNCTION("""COMPUTED_VALUE"""),428.55)</f>
        <v>428.55</v>
      </c>
      <c r="AD105" s="177">
        <f>IFERROR(__xludf.DUMMYFUNCTION("""COMPUTED_VALUE"""),433.25)</f>
        <v>433.25</v>
      </c>
      <c r="AE105" s="177">
        <f>IFERROR(__xludf.DUMMYFUNCTION("""COMPUTED_VALUE"""),6148376.0)</f>
        <v>6148376</v>
      </c>
      <c r="AF105" s="177">
        <f t="shared" si="3"/>
        <v>-0.00253573211</v>
      </c>
      <c r="AG105" s="177"/>
      <c r="AH105" s="177"/>
      <c r="AI105" s="189"/>
      <c r="AJ105" s="140"/>
      <c r="AK105" s="140"/>
      <c r="AL105" s="176">
        <f>IFERROR(__xludf.DUMMYFUNCTION("""COMPUTED_VALUE"""),45530.64583333333)</f>
        <v>45530.64583</v>
      </c>
      <c r="AM105" s="177">
        <f>IFERROR(__xludf.DUMMYFUNCTION("""COMPUTED_VALUE"""),4850.0)</f>
        <v>4850</v>
      </c>
      <c r="AN105" s="177">
        <f>IFERROR(__xludf.DUMMYFUNCTION("""COMPUTED_VALUE"""),4850.0)</f>
        <v>4850</v>
      </c>
      <c r="AO105" s="177">
        <f>IFERROR(__xludf.DUMMYFUNCTION("""COMPUTED_VALUE"""),4770.0)</f>
        <v>4770</v>
      </c>
      <c r="AP105" s="177">
        <f>IFERROR(__xludf.DUMMYFUNCTION("""COMPUTED_VALUE"""),4802.0)</f>
        <v>4802</v>
      </c>
      <c r="AQ105" s="177">
        <f>IFERROR(__xludf.DUMMYFUNCTION("""COMPUTED_VALUE"""),1390960.0)</f>
        <v>1390960</v>
      </c>
      <c r="AR105" s="177">
        <f t="shared" si="4"/>
        <v>-0.004311806987</v>
      </c>
      <c r="AS105" s="177"/>
      <c r="AT105" s="177"/>
      <c r="AU105" s="189"/>
      <c r="AV105" s="140"/>
      <c r="AW105" s="140"/>
      <c r="AX105" s="176">
        <f>IFERROR(__xludf.DUMMYFUNCTION("""COMPUTED_VALUE"""),45530.64583333333)</f>
        <v>45530.64583</v>
      </c>
      <c r="AY105" s="177">
        <f>IFERROR(__xludf.DUMMYFUNCTION("""COMPUTED_VALUE"""),506.0)</f>
        <v>506</v>
      </c>
      <c r="AZ105" s="177">
        <f>IFERROR(__xludf.DUMMYFUNCTION("""COMPUTED_VALUE"""),508.0)</f>
        <v>508</v>
      </c>
      <c r="BA105" s="177">
        <f>IFERROR(__xludf.DUMMYFUNCTION("""COMPUTED_VALUE"""),502.0)</f>
        <v>502</v>
      </c>
      <c r="BB105" s="177">
        <f>IFERROR(__xludf.DUMMYFUNCTION("""COMPUTED_VALUE"""),505.7)</f>
        <v>505.7</v>
      </c>
      <c r="BC105" s="177">
        <f>IFERROR(__xludf.DUMMYFUNCTION("""COMPUTED_VALUE"""),7825037.0)</f>
        <v>7825037</v>
      </c>
      <c r="BD105" s="177">
        <f t="shared" si="5"/>
        <v>-0.0001977261499</v>
      </c>
      <c r="BE105" s="177"/>
      <c r="BF105" s="177"/>
      <c r="BG105" s="189"/>
      <c r="BH105" s="140"/>
      <c r="BI105" s="140"/>
      <c r="BJ105" s="140"/>
      <c r="BK105" s="140"/>
      <c r="BL105" s="140"/>
      <c r="BM105" s="140"/>
      <c r="BN105" s="140"/>
      <c r="BO105" s="140"/>
      <c r="BP105" s="140"/>
      <c r="BQ105" s="140"/>
      <c r="BR105" s="140"/>
      <c r="BS105" s="140"/>
      <c r="BT105" s="140"/>
      <c r="BU105" s="140"/>
      <c r="BV105" s="140"/>
      <c r="BW105" s="140"/>
      <c r="BX105" s="140"/>
      <c r="BY105" s="140"/>
    </row>
    <row r="106" ht="15.75" customHeight="1">
      <c r="A106" s="168"/>
      <c r="B106" s="169">
        <v>45531.0</v>
      </c>
      <c r="C106" s="170">
        <v>6790.78</v>
      </c>
      <c r="D106" s="170">
        <v>6815.52</v>
      </c>
      <c r="E106" s="170">
        <v>6754.12</v>
      </c>
      <c r="F106" s="170">
        <v>6807.52</v>
      </c>
      <c r="G106" s="171" t="s">
        <v>238</v>
      </c>
      <c r="H106" s="172">
        <f t="shared" si="1"/>
        <v>0.003001185072</v>
      </c>
      <c r="I106" s="172"/>
      <c r="J106" s="172"/>
      <c r="K106" s="188"/>
      <c r="L106" s="140"/>
      <c r="M106" s="140"/>
      <c r="N106" s="176">
        <f>IFERROR(__xludf.DUMMYFUNCTION("""COMPUTED_VALUE"""),45531.64583333333)</f>
        <v>45531.64583</v>
      </c>
      <c r="O106" s="177">
        <f>IFERROR(__xludf.DUMMYFUNCTION("""COMPUTED_VALUE"""),1213.3)</f>
        <v>1213.3</v>
      </c>
      <c r="P106" s="177">
        <f>IFERROR(__xludf.DUMMYFUNCTION("""COMPUTED_VALUE"""),1232.5)</f>
        <v>1232.5</v>
      </c>
      <c r="Q106" s="177">
        <f>IFERROR(__xludf.DUMMYFUNCTION("""COMPUTED_VALUE"""),1208.9)</f>
        <v>1208.9</v>
      </c>
      <c r="R106" s="177">
        <f>IFERROR(__xludf.DUMMYFUNCTION("""COMPUTED_VALUE"""),1226.35)</f>
        <v>1226.35</v>
      </c>
      <c r="S106" s="177">
        <f>IFERROR(__xludf.DUMMYFUNCTION("""COMPUTED_VALUE"""),1.6295325E7)</f>
        <v>16295325</v>
      </c>
      <c r="T106" s="177">
        <f t="shared" si="2"/>
        <v>0.01069835794</v>
      </c>
      <c r="U106" s="178"/>
      <c r="V106" s="177"/>
      <c r="W106" s="189"/>
      <c r="X106" s="140"/>
      <c r="Y106" s="140"/>
      <c r="Z106" s="176">
        <f>IFERROR(__xludf.DUMMYFUNCTION("""COMPUTED_VALUE"""),45531.64583333333)</f>
        <v>45531.64583</v>
      </c>
      <c r="AA106" s="177">
        <f>IFERROR(__xludf.DUMMYFUNCTION("""COMPUTED_VALUE"""),434.7)</f>
        <v>434.7</v>
      </c>
      <c r="AB106" s="177">
        <f>IFERROR(__xludf.DUMMYFUNCTION("""COMPUTED_VALUE"""),439.8)</f>
        <v>439.8</v>
      </c>
      <c r="AC106" s="177">
        <f>IFERROR(__xludf.DUMMYFUNCTION("""COMPUTED_VALUE"""),431.2)</f>
        <v>431.2</v>
      </c>
      <c r="AD106" s="177">
        <f>IFERROR(__xludf.DUMMYFUNCTION("""COMPUTED_VALUE"""),437.95)</f>
        <v>437.95</v>
      </c>
      <c r="AE106" s="177">
        <f>IFERROR(__xludf.DUMMYFUNCTION("""COMPUTED_VALUE"""),6392653.0)</f>
        <v>6392653</v>
      </c>
      <c r="AF106" s="177">
        <f t="shared" si="3"/>
        <v>0.01078982001</v>
      </c>
      <c r="AG106" s="177"/>
      <c r="AH106" s="177"/>
      <c r="AI106" s="189"/>
      <c r="AJ106" s="140"/>
      <c r="AK106" s="140"/>
      <c r="AL106" s="176">
        <f>IFERROR(__xludf.DUMMYFUNCTION("""COMPUTED_VALUE"""),45531.64583333333)</f>
        <v>45531.64583</v>
      </c>
      <c r="AM106" s="177">
        <f>IFERROR(__xludf.DUMMYFUNCTION("""COMPUTED_VALUE"""),4795.0)</f>
        <v>4795</v>
      </c>
      <c r="AN106" s="177">
        <f>IFERROR(__xludf.DUMMYFUNCTION("""COMPUTED_VALUE"""),4798.6)</f>
        <v>4798.6</v>
      </c>
      <c r="AO106" s="177">
        <f>IFERROR(__xludf.DUMMYFUNCTION("""COMPUTED_VALUE"""),4715.0)</f>
        <v>4715</v>
      </c>
      <c r="AP106" s="177">
        <f>IFERROR(__xludf.DUMMYFUNCTION("""COMPUTED_VALUE"""),4721.45)</f>
        <v>4721.45</v>
      </c>
      <c r="AQ106" s="177">
        <f>IFERROR(__xludf.DUMMYFUNCTION("""COMPUTED_VALUE"""),1074033.0)</f>
        <v>1074033</v>
      </c>
      <c r="AR106" s="177">
        <f t="shared" si="4"/>
        <v>-0.01691654199</v>
      </c>
      <c r="AS106" s="177"/>
      <c r="AT106" s="177"/>
      <c r="AU106" s="189"/>
      <c r="AV106" s="140"/>
      <c r="AW106" s="140"/>
      <c r="AX106" s="176">
        <f>IFERROR(__xludf.DUMMYFUNCTION("""COMPUTED_VALUE"""),45531.64583333333)</f>
        <v>45531.64583</v>
      </c>
      <c r="AY106" s="177">
        <f>IFERROR(__xludf.DUMMYFUNCTION("""COMPUTED_VALUE"""),507.55)</f>
        <v>507.55</v>
      </c>
      <c r="AZ106" s="177">
        <f>IFERROR(__xludf.DUMMYFUNCTION("""COMPUTED_VALUE"""),507.6)</f>
        <v>507.6</v>
      </c>
      <c r="BA106" s="177">
        <f>IFERROR(__xludf.DUMMYFUNCTION("""COMPUTED_VALUE"""),500.0)</f>
        <v>500</v>
      </c>
      <c r="BB106" s="177">
        <f>IFERROR(__xludf.DUMMYFUNCTION("""COMPUTED_VALUE"""),500.6)</f>
        <v>500.6</v>
      </c>
      <c r="BC106" s="177">
        <f>IFERROR(__xludf.DUMMYFUNCTION("""COMPUTED_VALUE"""),7954114.0)</f>
        <v>7954114</v>
      </c>
      <c r="BD106" s="177">
        <f t="shared" si="5"/>
        <v>-0.01013622909</v>
      </c>
      <c r="BE106" s="177"/>
      <c r="BF106" s="177"/>
      <c r="BG106" s="189"/>
      <c r="BH106" s="140"/>
      <c r="BI106" s="140"/>
      <c r="BJ106" s="140"/>
      <c r="BK106" s="140"/>
      <c r="BL106" s="140"/>
      <c r="BM106" s="140"/>
      <c r="BN106" s="140"/>
      <c r="BO106" s="140"/>
      <c r="BP106" s="140"/>
      <c r="BQ106" s="140"/>
      <c r="BR106" s="140"/>
      <c r="BS106" s="140"/>
      <c r="BT106" s="140"/>
      <c r="BU106" s="140"/>
      <c r="BV106" s="140"/>
      <c r="BW106" s="140"/>
      <c r="BX106" s="140"/>
      <c r="BY106" s="140"/>
    </row>
    <row r="107" ht="15.75" customHeight="1">
      <c r="A107" s="168"/>
      <c r="B107" s="169">
        <v>45532.0</v>
      </c>
      <c r="C107" s="170">
        <v>6814.78</v>
      </c>
      <c r="D107" s="170">
        <v>6823.12</v>
      </c>
      <c r="E107" s="170">
        <v>6731.52</v>
      </c>
      <c r="F107" s="170">
        <v>6754.78</v>
      </c>
      <c r="G107" s="171" t="s">
        <v>238</v>
      </c>
      <c r="H107" s="172">
        <f t="shared" si="1"/>
        <v>-0.007777481084</v>
      </c>
      <c r="I107" s="172"/>
      <c r="J107" s="172"/>
      <c r="K107" s="188"/>
      <c r="L107" s="140"/>
      <c r="M107" s="140"/>
      <c r="N107" s="176">
        <f>IFERROR(__xludf.DUMMYFUNCTION("""COMPUTED_VALUE"""),45532.64583333333)</f>
        <v>45532.64583</v>
      </c>
      <c r="O107" s="177">
        <f>IFERROR(__xludf.DUMMYFUNCTION("""COMPUTED_VALUE"""),1222.65)</f>
        <v>1222.65</v>
      </c>
      <c r="P107" s="177">
        <f>IFERROR(__xludf.DUMMYFUNCTION("""COMPUTED_VALUE"""),1226.4)</f>
        <v>1226.4</v>
      </c>
      <c r="Q107" s="177">
        <f>IFERROR(__xludf.DUMMYFUNCTION("""COMPUTED_VALUE"""),1217.3)</f>
        <v>1217.3</v>
      </c>
      <c r="R107" s="177">
        <f>IFERROR(__xludf.DUMMYFUNCTION("""COMPUTED_VALUE"""),1223.85)</f>
        <v>1223.85</v>
      </c>
      <c r="S107" s="177">
        <f>IFERROR(__xludf.DUMMYFUNCTION("""COMPUTED_VALUE"""),1.2291305E7)</f>
        <v>12291305</v>
      </c>
      <c r="T107" s="177">
        <f t="shared" si="2"/>
        <v>-0.002040650451</v>
      </c>
      <c r="U107" s="178"/>
      <c r="V107" s="177"/>
      <c r="W107" s="189"/>
      <c r="X107" s="140"/>
      <c r="Y107" s="140"/>
      <c r="Z107" s="176">
        <f>IFERROR(__xludf.DUMMYFUNCTION("""COMPUTED_VALUE"""),45532.64583333333)</f>
        <v>45532.64583</v>
      </c>
      <c r="AA107" s="177">
        <f>IFERROR(__xludf.DUMMYFUNCTION("""COMPUTED_VALUE"""),442.0)</f>
        <v>442</v>
      </c>
      <c r="AB107" s="177">
        <f>IFERROR(__xludf.DUMMYFUNCTION("""COMPUTED_VALUE"""),448.6)</f>
        <v>448.6</v>
      </c>
      <c r="AC107" s="177">
        <f>IFERROR(__xludf.DUMMYFUNCTION("""COMPUTED_VALUE"""),440.75)</f>
        <v>440.75</v>
      </c>
      <c r="AD107" s="177">
        <f>IFERROR(__xludf.DUMMYFUNCTION("""COMPUTED_VALUE"""),444.45)</f>
        <v>444.45</v>
      </c>
      <c r="AE107" s="177">
        <f>IFERROR(__xludf.DUMMYFUNCTION("""COMPUTED_VALUE"""),1.5433839E7)</f>
        <v>15433839</v>
      </c>
      <c r="AF107" s="177">
        <f t="shared" si="3"/>
        <v>0.01473281408</v>
      </c>
      <c r="AG107" s="177"/>
      <c r="AH107" s="177"/>
      <c r="AI107" s="189"/>
      <c r="AJ107" s="140"/>
      <c r="AK107" s="140"/>
      <c r="AL107" s="176">
        <f>IFERROR(__xludf.DUMMYFUNCTION("""COMPUTED_VALUE"""),45532.64583333333)</f>
        <v>45532.64583</v>
      </c>
      <c r="AM107" s="177">
        <f>IFERROR(__xludf.DUMMYFUNCTION("""COMPUTED_VALUE"""),4724.0)</f>
        <v>4724</v>
      </c>
      <c r="AN107" s="177">
        <f>IFERROR(__xludf.DUMMYFUNCTION("""COMPUTED_VALUE"""),4763.0)</f>
        <v>4763</v>
      </c>
      <c r="AO107" s="177">
        <f>IFERROR(__xludf.DUMMYFUNCTION("""COMPUTED_VALUE"""),4670.0)</f>
        <v>4670</v>
      </c>
      <c r="AP107" s="177">
        <f>IFERROR(__xludf.DUMMYFUNCTION("""COMPUTED_VALUE"""),4685.15)</f>
        <v>4685.15</v>
      </c>
      <c r="AQ107" s="177">
        <f>IFERROR(__xludf.DUMMYFUNCTION("""COMPUTED_VALUE"""),798611.0)</f>
        <v>798611</v>
      </c>
      <c r="AR107" s="177">
        <f t="shared" si="4"/>
        <v>-0.007718023556</v>
      </c>
      <c r="AS107" s="177"/>
      <c r="AT107" s="177"/>
      <c r="AU107" s="189"/>
      <c r="AV107" s="140"/>
      <c r="AW107" s="140"/>
      <c r="AX107" s="176">
        <f>IFERROR(__xludf.DUMMYFUNCTION("""COMPUTED_VALUE"""),45532.64583333333)</f>
        <v>45532.64583</v>
      </c>
      <c r="AY107" s="177">
        <f>IFERROR(__xludf.DUMMYFUNCTION("""COMPUTED_VALUE"""),500.4)</f>
        <v>500.4</v>
      </c>
      <c r="AZ107" s="177">
        <f>IFERROR(__xludf.DUMMYFUNCTION("""COMPUTED_VALUE"""),502.3)</f>
        <v>502.3</v>
      </c>
      <c r="BA107" s="177">
        <f>IFERROR(__xludf.DUMMYFUNCTION("""COMPUTED_VALUE"""),496.5)</f>
        <v>496.5</v>
      </c>
      <c r="BB107" s="177">
        <f>IFERROR(__xludf.DUMMYFUNCTION("""COMPUTED_VALUE"""),497.3)</f>
        <v>497.3</v>
      </c>
      <c r="BC107" s="177">
        <f>IFERROR(__xludf.DUMMYFUNCTION("""COMPUTED_VALUE"""),7782216.0)</f>
        <v>7782216</v>
      </c>
      <c r="BD107" s="177">
        <f t="shared" si="5"/>
        <v>-0.006613913277</v>
      </c>
      <c r="BE107" s="177"/>
      <c r="BF107" s="177"/>
      <c r="BG107" s="189"/>
      <c r="BH107" s="140"/>
      <c r="BI107" s="140"/>
      <c r="BJ107" s="140"/>
      <c r="BK107" s="140"/>
      <c r="BL107" s="140"/>
      <c r="BM107" s="140"/>
      <c r="BN107" s="140"/>
      <c r="BO107" s="140"/>
      <c r="BP107" s="140"/>
      <c r="BQ107" s="140"/>
      <c r="BR107" s="140"/>
      <c r="BS107" s="140"/>
      <c r="BT107" s="140"/>
      <c r="BU107" s="140"/>
      <c r="BV107" s="140"/>
      <c r="BW107" s="140"/>
      <c r="BX107" s="140"/>
      <c r="BY107" s="140"/>
    </row>
    <row r="108" ht="15.75" customHeight="1">
      <c r="A108" s="168"/>
      <c r="B108" s="169">
        <v>45533.0</v>
      </c>
      <c r="C108" s="170">
        <v>6751.52</v>
      </c>
      <c r="D108" s="170">
        <v>6818.78</v>
      </c>
      <c r="E108" s="170">
        <v>6750.78</v>
      </c>
      <c r="F108" s="170">
        <v>6799.12</v>
      </c>
      <c r="G108" s="171" t="s">
        <v>238</v>
      </c>
      <c r="H108" s="172">
        <f t="shared" si="1"/>
        <v>0.006542789629</v>
      </c>
      <c r="I108" s="172"/>
      <c r="J108" s="172"/>
      <c r="K108" s="188"/>
      <c r="L108" s="140"/>
      <c r="M108" s="140"/>
      <c r="N108" s="176">
        <f>IFERROR(__xludf.DUMMYFUNCTION("""COMPUTED_VALUE"""),45533.64583333333)</f>
        <v>45533.64583</v>
      </c>
      <c r="O108" s="177">
        <f>IFERROR(__xludf.DUMMYFUNCTION("""COMPUTED_VALUE"""),1218.95)</f>
        <v>1218.95</v>
      </c>
      <c r="P108" s="177">
        <f>IFERROR(__xludf.DUMMYFUNCTION("""COMPUTED_VALUE"""),1235.0)</f>
        <v>1235</v>
      </c>
      <c r="Q108" s="177">
        <f>IFERROR(__xludf.DUMMYFUNCTION("""COMPUTED_VALUE"""),1217.0)</f>
        <v>1217</v>
      </c>
      <c r="R108" s="177">
        <f>IFERROR(__xludf.DUMMYFUNCTION("""COMPUTED_VALUE"""),1221.9)</f>
        <v>1221.9</v>
      </c>
      <c r="S108" s="177">
        <f>IFERROR(__xludf.DUMMYFUNCTION("""COMPUTED_VALUE"""),1.0806748E7)</f>
        <v>10806748</v>
      </c>
      <c r="T108" s="177">
        <f t="shared" si="2"/>
        <v>-0.00159460322</v>
      </c>
      <c r="U108" s="178"/>
      <c r="V108" s="177"/>
      <c r="W108" s="189"/>
      <c r="X108" s="140"/>
      <c r="Y108" s="140"/>
      <c r="Z108" s="176">
        <f>IFERROR(__xludf.DUMMYFUNCTION("""COMPUTED_VALUE"""),45533.64583333333)</f>
        <v>45533.64583</v>
      </c>
      <c r="AA108" s="177">
        <f>IFERROR(__xludf.DUMMYFUNCTION("""COMPUTED_VALUE"""),442.1)</f>
        <v>442.1</v>
      </c>
      <c r="AB108" s="177">
        <f>IFERROR(__xludf.DUMMYFUNCTION("""COMPUTED_VALUE"""),450.35)</f>
        <v>450.35</v>
      </c>
      <c r="AC108" s="177">
        <f>IFERROR(__xludf.DUMMYFUNCTION("""COMPUTED_VALUE"""),438.85)</f>
        <v>438.85</v>
      </c>
      <c r="AD108" s="177">
        <f>IFERROR(__xludf.DUMMYFUNCTION("""COMPUTED_VALUE"""),446.55)</f>
        <v>446.55</v>
      </c>
      <c r="AE108" s="177">
        <f>IFERROR(__xludf.DUMMYFUNCTION("""COMPUTED_VALUE"""),1.5663444E7)</f>
        <v>15663444</v>
      </c>
      <c r="AF108" s="177">
        <f t="shared" si="3"/>
        <v>0.004713813442</v>
      </c>
      <c r="AG108" s="177"/>
      <c r="AH108" s="177"/>
      <c r="AI108" s="189"/>
      <c r="AJ108" s="140"/>
      <c r="AK108" s="140"/>
      <c r="AL108" s="176">
        <f>IFERROR(__xludf.DUMMYFUNCTION("""COMPUTED_VALUE"""),45533.64583333333)</f>
        <v>45533.64583</v>
      </c>
      <c r="AM108" s="177">
        <f>IFERROR(__xludf.DUMMYFUNCTION("""COMPUTED_VALUE"""),4660.0)</f>
        <v>4660</v>
      </c>
      <c r="AN108" s="177">
        <f>IFERROR(__xludf.DUMMYFUNCTION("""COMPUTED_VALUE"""),4683.45)</f>
        <v>4683.45</v>
      </c>
      <c r="AO108" s="177">
        <f>IFERROR(__xludf.DUMMYFUNCTION("""COMPUTED_VALUE"""),4540.45)</f>
        <v>4540.45</v>
      </c>
      <c r="AP108" s="177">
        <f>IFERROR(__xludf.DUMMYFUNCTION("""COMPUTED_VALUE"""),4601.95)</f>
        <v>4601.95</v>
      </c>
      <c r="AQ108" s="177">
        <f>IFERROR(__xludf.DUMMYFUNCTION("""COMPUTED_VALUE"""),1715519.0)</f>
        <v>1715519</v>
      </c>
      <c r="AR108" s="177">
        <f t="shared" si="4"/>
        <v>-0.01791780554</v>
      </c>
      <c r="AS108" s="177"/>
      <c r="AT108" s="177"/>
      <c r="AU108" s="189"/>
      <c r="AV108" s="140"/>
      <c r="AW108" s="140"/>
      <c r="AX108" s="176">
        <f>IFERROR(__xludf.DUMMYFUNCTION("""COMPUTED_VALUE"""),45533.64583333333)</f>
        <v>45533.64583</v>
      </c>
      <c r="AY108" s="177">
        <f>IFERROR(__xludf.DUMMYFUNCTION("""COMPUTED_VALUE"""),498.0)</f>
        <v>498</v>
      </c>
      <c r="AZ108" s="177">
        <f>IFERROR(__xludf.DUMMYFUNCTION("""COMPUTED_VALUE"""),507.7)</f>
        <v>507.7</v>
      </c>
      <c r="BA108" s="177">
        <f>IFERROR(__xludf.DUMMYFUNCTION("""COMPUTED_VALUE"""),497.35)</f>
        <v>497.35</v>
      </c>
      <c r="BB108" s="177">
        <f>IFERROR(__xludf.DUMMYFUNCTION("""COMPUTED_VALUE"""),505.1)</f>
        <v>505.1</v>
      </c>
      <c r="BC108" s="177">
        <f>IFERROR(__xludf.DUMMYFUNCTION("""COMPUTED_VALUE"""),1.8670632E7)</f>
        <v>18670632</v>
      </c>
      <c r="BD108" s="177">
        <f t="shared" si="5"/>
        <v>0.01556296375</v>
      </c>
      <c r="BE108" s="177"/>
      <c r="BF108" s="177"/>
      <c r="BG108" s="189"/>
      <c r="BH108" s="140"/>
      <c r="BI108" s="140"/>
      <c r="BJ108" s="140"/>
      <c r="BK108" s="140"/>
      <c r="BL108" s="140"/>
      <c r="BM108" s="140"/>
      <c r="BN108" s="140"/>
      <c r="BO108" s="140"/>
      <c r="BP108" s="140"/>
      <c r="BQ108" s="140"/>
      <c r="BR108" s="140"/>
      <c r="BS108" s="140"/>
      <c r="BT108" s="140"/>
      <c r="BU108" s="140"/>
      <c r="BV108" s="140"/>
      <c r="BW108" s="140"/>
      <c r="BX108" s="140"/>
      <c r="BY108" s="140"/>
    </row>
    <row r="109" ht="15.75" customHeight="1">
      <c r="A109" s="168"/>
      <c r="B109" s="169">
        <v>45534.0</v>
      </c>
      <c r="C109" s="170">
        <v>6800.12</v>
      </c>
      <c r="D109" s="170">
        <v>6813.52</v>
      </c>
      <c r="E109" s="170">
        <v>6724.78</v>
      </c>
      <c r="F109" s="170">
        <v>6748.78</v>
      </c>
      <c r="G109" s="171" t="s">
        <v>238</v>
      </c>
      <c r="H109" s="172">
        <f t="shared" si="1"/>
        <v>-0.007431444235</v>
      </c>
      <c r="I109" s="172"/>
      <c r="J109" s="172"/>
      <c r="K109" s="188"/>
      <c r="L109" s="140"/>
      <c r="M109" s="140"/>
      <c r="N109" s="176">
        <f>IFERROR(__xludf.DUMMYFUNCTION("""COMPUTED_VALUE"""),45534.64583333333)</f>
        <v>45534.64583</v>
      </c>
      <c r="O109" s="177">
        <f>IFERROR(__xludf.DUMMYFUNCTION("""COMPUTED_VALUE"""),1230.0)</f>
        <v>1230</v>
      </c>
      <c r="P109" s="177">
        <f>IFERROR(__xludf.DUMMYFUNCTION("""COMPUTED_VALUE"""),1235.55)</f>
        <v>1235.55</v>
      </c>
      <c r="Q109" s="177">
        <f>IFERROR(__xludf.DUMMYFUNCTION("""COMPUTED_VALUE"""),1218.9)</f>
        <v>1218.9</v>
      </c>
      <c r="R109" s="177">
        <f>IFERROR(__xludf.DUMMYFUNCTION("""COMPUTED_VALUE"""),1229.2)</f>
        <v>1229.2</v>
      </c>
      <c r="S109" s="177">
        <f>IFERROR(__xludf.DUMMYFUNCTION("""COMPUTED_VALUE"""),2.1211148E7)</f>
        <v>21211148</v>
      </c>
      <c r="T109" s="177">
        <f t="shared" si="2"/>
        <v>0.005956526934</v>
      </c>
      <c r="U109" s="178"/>
      <c r="V109" s="177"/>
      <c r="W109" s="189"/>
      <c r="X109" s="140"/>
      <c r="Y109" s="140"/>
      <c r="Z109" s="176">
        <f>IFERROR(__xludf.DUMMYFUNCTION("""COMPUTED_VALUE"""),45534.64583333333)</f>
        <v>45534.64583</v>
      </c>
      <c r="AA109" s="177">
        <f>IFERROR(__xludf.DUMMYFUNCTION("""COMPUTED_VALUE"""),447.95)</f>
        <v>447.95</v>
      </c>
      <c r="AB109" s="177">
        <f>IFERROR(__xludf.DUMMYFUNCTION("""COMPUTED_VALUE"""),460.35)</f>
        <v>460.35</v>
      </c>
      <c r="AC109" s="177">
        <f>IFERROR(__xludf.DUMMYFUNCTION("""COMPUTED_VALUE"""),445.25)</f>
        <v>445.25</v>
      </c>
      <c r="AD109" s="177">
        <f>IFERROR(__xludf.DUMMYFUNCTION("""COMPUTED_VALUE"""),458.5)</f>
        <v>458.5</v>
      </c>
      <c r="AE109" s="177">
        <f>IFERROR(__xludf.DUMMYFUNCTION("""COMPUTED_VALUE"""),1.7888531E7)</f>
        <v>17888531</v>
      </c>
      <c r="AF109" s="177">
        <f t="shared" si="3"/>
        <v>0.02640891557</v>
      </c>
      <c r="AG109" s="177"/>
      <c r="AH109" s="177"/>
      <c r="AI109" s="189"/>
      <c r="AJ109" s="140"/>
      <c r="AK109" s="140"/>
      <c r="AL109" s="176">
        <f>IFERROR(__xludf.DUMMYFUNCTION("""COMPUTED_VALUE"""),45534.64583333333)</f>
        <v>45534.64583</v>
      </c>
      <c r="AM109" s="177">
        <f>IFERROR(__xludf.DUMMYFUNCTION("""COMPUTED_VALUE"""),4614.0)</f>
        <v>4614</v>
      </c>
      <c r="AN109" s="177">
        <f>IFERROR(__xludf.DUMMYFUNCTION("""COMPUTED_VALUE"""),4702.45)</f>
        <v>4702.45</v>
      </c>
      <c r="AO109" s="177">
        <f>IFERROR(__xludf.DUMMYFUNCTION("""COMPUTED_VALUE"""),4602.8)</f>
        <v>4602.8</v>
      </c>
      <c r="AP109" s="177">
        <f>IFERROR(__xludf.DUMMYFUNCTION("""COMPUTED_VALUE"""),4679.95)</f>
        <v>4679.95</v>
      </c>
      <c r="AQ109" s="177">
        <f>IFERROR(__xludf.DUMMYFUNCTION("""COMPUTED_VALUE"""),1630572.0)</f>
        <v>1630572</v>
      </c>
      <c r="AR109" s="177">
        <f t="shared" si="4"/>
        <v>0.0168072994</v>
      </c>
      <c r="AS109" s="177"/>
      <c r="AT109" s="177"/>
      <c r="AU109" s="189"/>
      <c r="AV109" s="140"/>
      <c r="AW109" s="140"/>
      <c r="AX109" s="176">
        <f>IFERROR(__xludf.DUMMYFUNCTION("""COMPUTED_VALUE"""),45534.64583333333)</f>
        <v>45534.64583</v>
      </c>
      <c r="AY109" s="177">
        <f>IFERROR(__xludf.DUMMYFUNCTION("""COMPUTED_VALUE"""),501.95)</f>
        <v>501.95</v>
      </c>
      <c r="AZ109" s="177">
        <f>IFERROR(__xludf.DUMMYFUNCTION("""COMPUTED_VALUE"""),509.15)</f>
        <v>509.15</v>
      </c>
      <c r="BA109" s="177">
        <f>IFERROR(__xludf.DUMMYFUNCTION("""COMPUTED_VALUE"""),500.2)</f>
        <v>500.2</v>
      </c>
      <c r="BB109" s="177">
        <f>IFERROR(__xludf.DUMMYFUNCTION("""COMPUTED_VALUE"""),501.9)</f>
        <v>501.9</v>
      </c>
      <c r="BC109" s="177">
        <f>IFERROR(__xludf.DUMMYFUNCTION("""COMPUTED_VALUE"""),1.494767E7)</f>
        <v>14947670</v>
      </c>
      <c r="BD109" s="177">
        <f t="shared" si="5"/>
        <v>-0.006355532813</v>
      </c>
      <c r="BE109" s="177"/>
      <c r="BF109" s="177"/>
      <c r="BG109" s="189"/>
      <c r="BH109" s="140"/>
      <c r="BI109" s="140"/>
      <c r="BJ109" s="140"/>
      <c r="BK109" s="140"/>
      <c r="BL109" s="140"/>
      <c r="BM109" s="140"/>
      <c r="BN109" s="140"/>
      <c r="BO109" s="140"/>
      <c r="BP109" s="140"/>
      <c r="BQ109" s="140"/>
      <c r="BR109" s="140"/>
      <c r="BS109" s="140"/>
      <c r="BT109" s="140"/>
      <c r="BU109" s="140"/>
      <c r="BV109" s="140"/>
      <c r="BW109" s="140"/>
      <c r="BX109" s="140"/>
      <c r="BY109" s="140"/>
    </row>
    <row r="110" ht="15.75" customHeight="1">
      <c r="A110" s="168"/>
      <c r="B110" s="169">
        <v>45537.0</v>
      </c>
      <c r="C110" s="170">
        <v>6748.78</v>
      </c>
      <c r="D110" s="170">
        <v>6766.12</v>
      </c>
      <c r="E110" s="170">
        <v>6716.12</v>
      </c>
      <c r="F110" s="170">
        <v>6739.52</v>
      </c>
      <c r="G110" s="171" t="s">
        <v>238</v>
      </c>
      <c r="H110" s="172">
        <f t="shared" si="1"/>
        <v>-0.001373042037</v>
      </c>
      <c r="I110" s="172"/>
      <c r="J110" s="172"/>
      <c r="K110" s="188"/>
      <c r="L110" s="140"/>
      <c r="M110" s="140"/>
      <c r="N110" s="176">
        <f>IFERROR(__xludf.DUMMYFUNCTION("""COMPUTED_VALUE"""),45537.64583333333)</f>
        <v>45537.64583</v>
      </c>
      <c r="O110" s="177">
        <f>IFERROR(__xludf.DUMMYFUNCTION("""COMPUTED_VALUE"""),1239.0)</f>
        <v>1239</v>
      </c>
      <c r="P110" s="177">
        <f>IFERROR(__xludf.DUMMYFUNCTION("""COMPUTED_VALUE"""),1239.2)</f>
        <v>1239.2</v>
      </c>
      <c r="Q110" s="177">
        <f>IFERROR(__xludf.DUMMYFUNCTION("""COMPUTED_VALUE"""),1222.5)</f>
        <v>1222.5</v>
      </c>
      <c r="R110" s="177">
        <f>IFERROR(__xludf.DUMMYFUNCTION("""COMPUTED_VALUE"""),1229.95)</f>
        <v>1229.95</v>
      </c>
      <c r="S110" s="177">
        <f>IFERROR(__xludf.DUMMYFUNCTION("""COMPUTED_VALUE"""),1.2516759E7)</f>
        <v>12516759</v>
      </c>
      <c r="T110" s="177">
        <f t="shared" si="2"/>
        <v>0.0006099668774</v>
      </c>
      <c r="U110" s="178"/>
      <c r="V110" s="177"/>
      <c r="W110" s="189"/>
      <c r="X110" s="140"/>
      <c r="Y110" s="140"/>
      <c r="Z110" s="176">
        <f>IFERROR(__xludf.DUMMYFUNCTION("""COMPUTED_VALUE"""),45537.64583333333)</f>
        <v>45537.64583</v>
      </c>
      <c r="AA110" s="177">
        <f>IFERROR(__xludf.DUMMYFUNCTION("""COMPUTED_VALUE"""),460.0)</f>
        <v>460</v>
      </c>
      <c r="AB110" s="177">
        <f>IFERROR(__xludf.DUMMYFUNCTION("""COMPUTED_VALUE"""),460.0)</f>
        <v>460</v>
      </c>
      <c r="AC110" s="177">
        <f>IFERROR(__xludf.DUMMYFUNCTION("""COMPUTED_VALUE"""),433.55)</f>
        <v>433.55</v>
      </c>
      <c r="AD110" s="177">
        <f>IFERROR(__xludf.DUMMYFUNCTION("""COMPUTED_VALUE"""),438.95)</f>
        <v>438.95</v>
      </c>
      <c r="AE110" s="177">
        <f>IFERROR(__xludf.DUMMYFUNCTION("""COMPUTED_VALUE"""),1.5612684E7)</f>
        <v>15612684</v>
      </c>
      <c r="AF110" s="177">
        <f t="shared" si="3"/>
        <v>-0.04357478032</v>
      </c>
      <c r="AG110" s="177"/>
      <c r="AH110" s="177"/>
      <c r="AI110" s="189"/>
      <c r="AJ110" s="140"/>
      <c r="AK110" s="140"/>
      <c r="AL110" s="176">
        <f>IFERROR(__xludf.DUMMYFUNCTION("""COMPUTED_VALUE"""),45537.64583333333)</f>
        <v>45537.64583</v>
      </c>
      <c r="AM110" s="177">
        <f>IFERROR(__xludf.DUMMYFUNCTION("""COMPUTED_VALUE"""),4699.0)</f>
        <v>4699</v>
      </c>
      <c r="AN110" s="177">
        <f>IFERROR(__xludf.DUMMYFUNCTION("""COMPUTED_VALUE"""),4715.0)</f>
        <v>4715</v>
      </c>
      <c r="AO110" s="177">
        <f>IFERROR(__xludf.DUMMYFUNCTION("""COMPUTED_VALUE"""),4662.8)</f>
        <v>4662.8</v>
      </c>
      <c r="AP110" s="177">
        <f>IFERROR(__xludf.DUMMYFUNCTION("""COMPUTED_VALUE"""),4688.0)</f>
        <v>4688</v>
      </c>
      <c r="AQ110" s="177">
        <f>IFERROR(__xludf.DUMMYFUNCTION("""COMPUTED_VALUE"""),1121937.0)</f>
        <v>1121937</v>
      </c>
      <c r="AR110" s="177">
        <f t="shared" si="4"/>
        <v>0.001718626163</v>
      </c>
      <c r="AS110" s="177"/>
      <c r="AT110" s="177"/>
      <c r="AU110" s="189"/>
      <c r="AV110" s="140"/>
      <c r="AW110" s="140"/>
      <c r="AX110" s="176">
        <f>IFERROR(__xludf.DUMMYFUNCTION("""COMPUTED_VALUE"""),45537.64583333333)</f>
        <v>45537.64583</v>
      </c>
      <c r="AY110" s="177">
        <f>IFERROR(__xludf.DUMMYFUNCTION("""COMPUTED_VALUE"""),504.0)</f>
        <v>504</v>
      </c>
      <c r="AZ110" s="177">
        <f>IFERROR(__xludf.DUMMYFUNCTION("""COMPUTED_VALUE"""),512.9)</f>
        <v>512.9</v>
      </c>
      <c r="BA110" s="177">
        <f>IFERROR(__xludf.DUMMYFUNCTION("""COMPUTED_VALUE"""),503.3)</f>
        <v>503.3</v>
      </c>
      <c r="BB110" s="177">
        <f>IFERROR(__xludf.DUMMYFUNCTION("""COMPUTED_VALUE"""),510.05)</f>
        <v>510.05</v>
      </c>
      <c r="BC110" s="177">
        <f>IFERROR(__xludf.DUMMYFUNCTION("""COMPUTED_VALUE"""),1.5885469E7)</f>
        <v>15885469</v>
      </c>
      <c r="BD110" s="177">
        <f t="shared" si="5"/>
        <v>0.01610786347</v>
      </c>
      <c r="BE110" s="177"/>
      <c r="BF110" s="177"/>
      <c r="BG110" s="189"/>
      <c r="BH110" s="140"/>
      <c r="BI110" s="140"/>
      <c r="BJ110" s="140"/>
      <c r="BK110" s="140"/>
      <c r="BL110" s="140"/>
      <c r="BM110" s="140"/>
      <c r="BN110" s="140"/>
      <c r="BO110" s="140"/>
      <c r="BP110" s="140"/>
      <c r="BQ110" s="140"/>
      <c r="BR110" s="140"/>
      <c r="BS110" s="140"/>
      <c r="BT110" s="140"/>
      <c r="BU110" s="140"/>
      <c r="BV110" s="140"/>
      <c r="BW110" s="140"/>
      <c r="BX110" s="140"/>
      <c r="BY110" s="140"/>
    </row>
    <row r="111" ht="15.75" customHeight="1">
      <c r="A111" s="168"/>
      <c r="B111" s="169">
        <v>45538.0</v>
      </c>
      <c r="C111" s="170">
        <v>6745.52</v>
      </c>
      <c r="D111" s="170">
        <v>6766.12</v>
      </c>
      <c r="E111" s="170">
        <v>6678.12</v>
      </c>
      <c r="F111" s="170">
        <v>6725.52</v>
      </c>
      <c r="G111" s="171" t="s">
        <v>238</v>
      </c>
      <c r="H111" s="172">
        <f t="shared" si="1"/>
        <v>-0.002079459852</v>
      </c>
      <c r="I111" s="172"/>
      <c r="J111" s="172"/>
      <c r="K111" s="188"/>
      <c r="L111" s="140"/>
      <c r="M111" s="140"/>
      <c r="N111" s="176">
        <f>IFERROR(__xludf.DUMMYFUNCTION("""COMPUTED_VALUE"""),45538.64583333333)</f>
        <v>45538.64583</v>
      </c>
      <c r="O111" s="177">
        <f>IFERROR(__xludf.DUMMYFUNCTION("""COMPUTED_VALUE"""),1227.2)</f>
        <v>1227.2</v>
      </c>
      <c r="P111" s="177">
        <f>IFERROR(__xludf.DUMMYFUNCTION("""COMPUTED_VALUE"""),1250.95)</f>
        <v>1250.95</v>
      </c>
      <c r="Q111" s="177">
        <f>IFERROR(__xludf.DUMMYFUNCTION("""COMPUTED_VALUE"""),1220.4)</f>
        <v>1220.4</v>
      </c>
      <c r="R111" s="177">
        <f>IFERROR(__xludf.DUMMYFUNCTION("""COMPUTED_VALUE"""),1247.7)</f>
        <v>1247.7</v>
      </c>
      <c r="S111" s="177">
        <f>IFERROR(__xludf.DUMMYFUNCTION("""COMPUTED_VALUE"""),1.9114907E7)</f>
        <v>19114907</v>
      </c>
      <c r="T111" s="177">
        <f t="shared" si="2"/>
        <v>0.01432833828</v>
      </c>
      <c r="U111" s="178"/>
      <c r="V111" s="177"/>
      <c r="W111" s="189"/>
      <c r="X111" s="140"/>
      <c r="Y111" s="140"/>
      <c r="Z111" s="176">
        <f>IFERROR(__xludf.DUMMYFUNCTION("""COMPUTED_VALUE"""),45538.64583333333)</f>
        <v>45538.64583</v>
      </c>
      <c r="AA111" s="177">
        <f>IFERROR(__xludf.DUMMYFUNCTION("""COMPUTED_VALUE"""),439.75)</f>
        <v>439.75</v>
      </c>
      <c r="AB111" s="177">
        <f>IFERROR(__xludf.DUMMYFUNCTION("""COMPUTED_VALUE"""),444.3)</f>
        <v>444.3</v>
      </c>
      <c r="AC111" s="177">
        <f>IFERROR(__xludf.DUMMYFUNCTION("""COMPUTED_VALUE"""),438.85)</f>
        <v>438.85</v>
      </c>
      <c r="AD111" s="177">
        <f>IFERROR(__xludf.DUMMYFUNCTION("""COMPUTED_VALUE"""),441.4)</f>
        <v>441.4</v>
      </c>
      <c r="AE111" s="177">
        <f>IFERROR(__xludf.DUMMYFUNCTION("""COMPUTED_VALUE"""),5978801.0)</f>
        <v>5978801</v>
      </c>
      <c r="AF111" s="177">
        <f t="shared" si="3"/>
        <v>0.00556598245</v>
      </c>
      <c r="AG111" s="177"/>
      <c r="AH111" s="177"/>
      <c r="AI111" s="189"/>
      <c r="AJ111" s="140"/>
      <c r="AK111" s="140"/>
      <c r="AL111" s="176">
        <f>IFERROR(__xludf.DUMMYFUNCTION("""COMPUTED_VALUE"""),45538.64583333333)</f>
        <v>45538.64583</v>
      </c>
      <c r="AM111" s="177">
        <f>IFERROR(__xludf.DUMMYFUNCTION("""COMPUTED_VALUE"""),4922.65)</f>
        <v>4922.65</v>
      </c>
      <c r="AN111" s="177">
        <f>IFERROR(__xludf.DUMMYFUNCTION("""COMPUTED_VALUE"""),4925.0)</f>
        <v>4925</v>
      </c>
      <c r="AO111" s="177">
        <f>IFERROR(__xludf.DUMMYFUNCTION("""COMPUTED_VALUE"""),4801.65)</f>
        <v>4801.65</v>
      </c>
      <c r="AP111" s="177">
        <f>IFERROR(__xludf.DUMMYFUNCTION("""COMPUTED_VALUE"""),4832.35)</f>
        <v>4832.35</v>
      </c>
      <c r="AQ111" s="177">
        <f>IFERROR(__xludf.DUMMYFUNCTION("""COMPUTED_VALUE"""),3960603.0)</f>
        <v>3960603</v>
      </c>
      <c r="AR111" s="177">
        <f t="shared" si="4"/>
        <v>0.03032683951</v>
      </c>
      <c r="AS111" s="177"/>
      <c r="AT111" s="177"/>
      <c r="AU111" s="189"/>
      <c r="AV111" s="140"/>
      <c r="AW111" s="140"/>
      <c r="AX111" s="176">
        <f>IFERROR(__xludf.DUMMYFUNCTION("""COMPUTED_VALUE"""),45538.64583333333)</f>
        <v>45538.64583</v>
      </c>
      <c r="AY111" s="177">
        <f>IFERROR(__xludf.DUMMYFUNCTION("""COMPUTED_VALUE"""),510.05)</f>
        <v>510.05</v>
      </c>
      <c r="AZ111" s="177">
        <f>IFERROR(__xludf.DUMMYFUNCTION("""COMPUTED_VALUE"""),515.95)</f>
        <v>515.95</v>
      </c>
      <c r="BA111" s="177">
        <f>IFERROR(__xludf.DUMMYFUNCTION("""COMPUTED_VALUE"""),507.9)</f>
        <v>507.9</v>
      </c>
      <c r="BB111" s="177">
        <f>IFERROR(__xludf.DUMMYFUNCTION("""COMPUTED_VALUE"""),509.4)</f>
        <v>509.4</v>
      </c>
      <c r="BC111" s="177">
        <f>IFERROR(__xludf.DUMMYFUNCTION("""COMPUTED_VALUE"""),1.2018677E7)</f>
        <v>12018677</v>
      </c>
      <c r="BD111" s="177">
        <f t="shared" si="5"/>
        <v>-0.001275197583</v>
      </c>
      <c r="BE111" s="177"/>
      <c r="BF111" s="177"/>
      <c r="BG111" s="189"/>
      <c r="BH111" s="140"/>
      <c r="BI111" s="140"/>
      <c r="BJ111" s="140"/>
      <c r="BK111" s="140"/>
      <c r="BL111" s="140"/>
      <c r="BM111" s="140"/>
      <c r="BN111" s="140"/>
      <c r="BO111" s="140"/>
      <c r="BP111" s="140"/>
      <c r="BQ111" s="140"/>
      <c r="BR111" s="140"/>
      <c r="BS111" s="140"/>
      <c r="BT111" s="140"/>
      <c r="BU111" s="140"/>
      <c r="BV111" s="140"/>
      <c r="BW111" s="140"/>
      <c r="BX111" s="140"/>
      <c r="BY111" s="140"/>
    </row>
    <row r="112" ht="15.75" customHeight="1">
      <c r="A112" s="168"/>
      <c r="B112" s="169">
        <v>45539.0</v>
      </c>
      <c r="C112" s="170">
        <v>6732.12</v>
      </c>
      <c r="D112" s="170">
        <v>6749.52</v>
      </c>
      <c r="E112" s="170">
        <v>6671.52</v>
      </c>
      <c r="F112" s="170">
        <v>6734.78</v>
      </c>
      <c r="G112" s="171" t="s">
        <v>238</v>
      </c>
      <c r="H112" s="172">
        <f t="shared" si="1"/>
        <v>0.001375898228</v>
      </c>
      <c r="I112" s="172"/>
      <c r="J112" s="172"/>
      <c r="K112" s="188"/>
      <c r="L112" s="140"/>
      <c r="M112" s="140"/>
      <c r="N112" s="176">
        <f>IFERROR(__xludf.DUMMYFUNCTION("""COMPUTED_VALUE"""),45539.64583333333)</f>
        <v>45539.64583</v>
      </c>
      <c r="O112" s="177">
        <f>IFERROR(__xludf.DUMMYFUNCTION("""COMPUTED_VALUE"""),1239.85)</f>
        <v>1239.85</v>
      </c>
      <c r="P112" s="177">
        <f>IFERROR(__xludf.DUMMYFUNCTION("""COMPUTED_VALUE"""),1243.7)</f>
        <v>1243.7</v>
      </c>
      <c r="Q112" s="177">
        <f>IFERROR(__xludf.DUMMYFUNCTION("""COMPUTED_VALUE"""),1232.8)</f>
        <v>1232.8</v>
      </c>
      <c r="R112" s="177">
        <f>IFERROR(__xludf.DUMMYFUNCTION("""COMPUTED_VALUE"""),1236.35)</f>
        <v>1236.35</v>
      </c>
      <c r="S112" s="177">
        <f>IFERROR(__xludf.DUMMYFUNCTION("""COMPUTED_VALUE"""),1.3505843E7)</f>
        <v>13505843</v>
      </c>
      <c r="T112" s="177">
        <f t="shared" si="2"/>
        <v>-0.009138365964</v>
      </c>
      <c r="U112" s="178"/>
      <c r="V112" s="177"/>
      <c r="W112" s="189"/>
      <c r="X112" s="140"/>
      <c r="Y112" s="140"/>
      <c r="Z112" s="176">
        <f>IFERROR(__xludf.DUMMYFUNCTION("""COMPUTED_VALUE"""),45539.64583333333)</f>
        <v>45539.64583</v>
      </c>
      <c r="AA112" s="177">
        <f>IFERROR(__xludf.DUMMYFUNCTION("""COMPUTED_VALUE"""),434.95)</f>
        <v>434.95</v>
      </c>
      <c r="AB112" s="177">
        <f>IFERROR(__xludf.DUMMYFUNCTION("""COMPUTED_VALUE"""),441.3)</f>
        <v>441.3</v>
      </c>
      <c r="AC112" s="177">
        <f>IFERROR(__xludf.DUMMYFUNCTION("""COMPUTED_VALUE"""),431.35)</f>
        <v>431.35</v>
      </c>
      <c r="AD112" s="177">
        <f>IFERROR(__xludf.DUMMYFUNCTION("""COMPUTED_VALUE"""),434.4)</f>
        <v>434.4</v>
      </c>
      <c r="AE112" s="177">
        <f>IFERROR(__xludf.DUMMYFUNCTION("""COMPUTED_VALUE"""),6147494.0)</f>
        <v>6147494</v>
      </c>
      <c r="AF112" s="177">
        <f t="shared" si="3"/>
        <v>-0.0159857252</v>
      </c>
      <c r="AG112" s="177"/>
      <c r="AH112" s="177"/>
      <c r="AI112" s="189"/>
      <c r="AJ112" s="140"/>
      <c r="AK112" s="140"/>
      <c r="AL112" s="176">
        <f>IFERROR(__xludf.DUMMYFUNCTION("""COMPUTED_VALUE"""),45539.64583333333)</f>
        <v>45539.64583</v>
      </c>
      <c r="AM112" s="177">
        <f>IFERROR(__xludf.DUMMYFUNCTION("""COMPUTED_VALUE"""),4845.0)</f>
        <v>4845</v>
      </c>
      <c r="AN112" s="177">
        <f>IFERROR(__xludf.DUMMYFUNCTION("""COMPUTED_VALUE"""),4950.0)</f>
        <v>4950</v>
      </c>
      <c r="AO112" s="177">
        <f>IFERROR(__xludf.DUMMYFUNCTION("""COMPUTED_VALUE"""),4795.35)</f>
        <v>4795.35</v>
      </c>
      <c r="AP112" s="177">
        <f>IFERROR(__xludf.DUMMYFUNCTION("""COMPUTED_VALUE"""),4861.85)</f>
        <v>4861.85</v>
      </c>
      <c r="AQ112" s="177">
        <f>IFERROR(__xludf.DUMMYFUNCTION("""COMPUTED_VALUE"""),3164300.0)</f>
        <v>3164300</v>
      </c>
      <c r="AR112" s="177">
        <f t="shared" si="4"/>
        <v>0.006086132132</v>
      </c>
      <c r="AS112" s="177"/>
      <c r="AT112" s="177"/>
      <c r="AU112" s="189"/>
      <c r="AV112" s="140"/>
      <c r="AW112" s="140"/>
      <c r="AX112" s="176">
        <f>IFERROR(__xludf.DUMMYFUNCTION("""COMPUTED_VALUE"""),45539.64583333333)</f>
        <v>45539.64583</v>
      </c>
      <c r="AY112" s="177">
        <f>IFERROR(__xludf.DUMMYFUNCTION("""COMPUTED_VALUE"""),500.0)</f>
        <v>500</v>
      </c>
      <c r="AZ112" s="177">
        <f>IFERROR(__xludf.DUMMYFUNCTION("""COMPUTED_VALUE"""),510.05)</f>
        <v>510.05</v>
      </c>
      <c r="BA112" s="177">
        <f>IFERROR(__xludf.DUMMYFUNCTION("""COMPUTED_VALUE"""),499.95)</f>
        <v>499.95</v>
      </c>
      <c r="BB112" s="177">
        <f>IFERROR(__xludf.DUMMYFUNCTION("""COMPUTED_VALUE"""),506.35)</f>
        <v>506.35</v>
      </c>
      <c r="BC112" s="177">
        <f>IFERROR(__xludf.DUMMYFUNCTION("""COMPUTED_VALUE"""),8414967.0)</f>
        <v>8414967</v>
      </c>
      <c r="BD112" s="177">
        <f t="shared" si="5"/>
        <v>-0.006005432767</v>
      </c>
      <c r="BE112" s="177"/>
      <c r="BF112" s="177"/>
      <c r="BG112" s="189"/>
      <c r="BH112" s="140"/>
      <c r="BI112" s="140"/>
      <c r="BJ112" s="140"/>
      <c r="BK112" s="140"/>
      <c r="BL112" s="140"/>
      <c r="BM112" s="140"/>
      <c r="BN112" s="140"/>
      <c r="BO112" s="140"/>
      <c r="BP112" s="140"/>
      <c r="BQ112" s="140"/>
      <c r="BR112" s="140"/>
      <c r="BS112" s="140"/>
      <c r="BT112" s="140"/>
      <c r="BU112" s="140"/>
      <c r="BV112" s="140"/>
      <c r="BW112" s="140"/>
      <c r="BX112" s="140"/>
      <c r="BY112" s="140"/>
    </row>
    <row r="113" ht="15.75" customHeight="1">
      <c r="A113" s="168"/>
      <c r="B113" s="169">
        <v>45540.0</v>
      </c>
      <c r="C113" s="170">
        <v>6736.78</v>
      </c>
      <c r="D113" s="170">
        <v>6813.52</v>
      </c>
      <c r="E113" s="170">
        <v>6732.12</v>
      </c>
      <c r="F113" s="170">
        <v>6793.12</v>
      </c>
      <c r="G113" s="171" t="s">
        <v>238</v>
      </c>
      <c r="H113" s="172">
        <f t="shared" si="1"/>
        <v>0.00862519115</v>
      </c>
      <c r="I113" s="172"/>
      <c r="J113" s="172"/>
      <c r="K113" s="188"/>
      <c r="L113" s="140"/>
      <c r="M113" s="140"/>
      <c r="N113" s="176">
        <f>IFERROR(__xludf.DUMMYFUNCTION("""COMPUTED_VALUE"""),45540.64583333333)</f>
        <v>45540.64583</v>
      </c>
      <c r="O113" s="177">
        <f>IFERROR(__xludf.DUMMYFUNCTION("""COMPUTED_VALUE"""),1238.0)</f>
        <v>1238</v>
      </c>
      <c r="P113" s="177">
        <f>IFERROR(__xludf.DUMMYFUNCTION("""COMPUTED_VALUE"""),1244.85)</f>
        <v>1244.85</v>
      </c>
      <c r="Q113" s="177">
        <f>IFERROR(__xludf.DUMMYFUNCTION("""COMPUTED_VALUE"""),1231.3)</f>
        <v>1231.3</v>
      </c>
      <c r="R113" s="177">
        <f>IFERROR(__xludf.DUMMYFUNCTION("""COMPUTED_VALUE"""),1235.95)</f>
        <v>1235.95</v>
      </c>
      <c r="S113" s="177">
        <f>IFERROR(__xludf.DUMMYFUNCTION("""COMPUTED_VALUE"""),9142811.0)</f>
        <v>9142811</v>
      </c>
      <c r="T113" s="177">
        <f t="shared" si="2"/>
        <v>-0.0003235853282</v>
      </c>
      <c r="U113" s="178"/>
      <c r="V113" s="177"/>
      <c r="W113" s="189"/>
      <c r="X113" s="140"/>
      <c r="Y113" s="140"/>
      <c r="Z113" s="176">
        <f>IFERROR(__xludf.DUMMYFUNCTION("""COMPUTED_VALUE"""),45540.64583333333)</f>
        <v>45540.64583</v>
      </c>
      <c r="AA113" s="177">
        <f>IFERROR(__xludf.DUMMYFUNCTION("""COMPUTED_VALUE"""),440.45)</f>
        <v>440.45</v>
      </c>
      <c r="AB113" s="177">
        <f>IFERROR(__xludf.DUMMYFUNCTION("""COMPUTED_VALUE"""),444.55)</f>
        <v>444.55</v>
      </c>
      <c r="AC113" s="177">
        <f>IFERROR(__xludf.DUMMYFUNCTION("""COMPUTED_VALUE"""),436.2)</f>
        <v>436.2</v>
      </c>
      <c r="AD113" s="177">
        <f>IFERROR(__xludf.DUMMYFUNCTION("""COMPUTED_VALUE"""),443.1)</f>
        <v>443.1</v>
      </c>
      <c r="AE113" s="177">
        <f>IFERROR(__xludf.DUMMYFUNCTION("""COMPUTED_VALUE"""),7834138.0)</f>
        <v>7834138</v>
      </c>
      <c r="AF113" s="177">
        <f t="shared" si="3"/>
        <v>0.01982970959</v>
      </c>
      <c r="AG113" s="177"/>
      <c r="AH113" s="177"/>
      <c r="AI113" s="189"/>
      <c r="AJ113" s="140"/>
      <c r="AK113" s="140"/>
      <c r="AL113" s="176">
        <f>IFERROR(__xludf.DUMMYFUNCTION("""COMPUTED_VALUE"""),45540.64583333333)</f>
        <v>45540.64583</v>
      </c>
      <c r="AM113" s="177">
        <f>IFERROR(__xludf.DUMMYFUNCTION("""COMPUTED_VALUE"""),4871.0)</f>
        <v>4871</v>
      </c>
      <c r="AN113" s="177">
        <f>IFERROR(__xludf.DUMMYFUNCTION("""COMPUTED_VALUE"""),4887.9)</f>
        <v>4887.9</v>
      </c>
      <c r="AO113" s="177">
        <f>IFERROR(__xludf.DUMMYFUNCTION("""COMPUTED_VALUE"""),4776.05)</f>
        <v>4776.05</v>
      </c>
      <c r="AP113" s="177">
        <f>IFERROR(__xludf.DUMMYFUNCTION("""COMPUTED_VALUE"""),4792.45)</f>
        <v>4792.45</v>
      </c>
      <c r="AQ113" s="177">
        <f>IFERROR(__xludf.DUMMYFUNCTION("""COMPUTED_VALUE"""),1801363.0)</f>
        <v>1801363</v>
      </c>
      <c r="AR113" s="177">
        <f t="shared" si="4"/>
        <v>-0.014377261</v>
      </c>
      <c r="AS113" s="177"/>
      <c r="AT113" s="177"/>
      <c r="AU113" s="189"/>
      <c r="AV113" s="140"/>
      <c r="AW113" s="140"/>
      <c r="AX113" s="176">
        <f>IFERROR(__xludf.DUMMYFUNCTION("""COMPUTED_VALUE"""),45540.64583333333)</f>
        <v>45540.64583</v>
      </c>
      <c r="AY113" s="177">
        <f>IFERROR(__xludf.DUMMYFUNCTION("""COMPUTED_VALUE"""),508.35)</f>
        <v>508.35</v>
      </c>
      <c r="AZ113" s="177">
        <f>IFERROR(__xludf.DUMMYFUNCTION("""COMPUTED_VALUE"""),511.9)</f>
        <v>511.9</v>
      </c>
      <c r="BA113" s="177">
        <f>IFERROR(__xludf.DUMMYFUNCTION("""COMPUTED_VALUE"""),507.05)</f>
        <v>507.05</v>
      </c>
      <c r="BB113" s="177">
        <f>IFERROR(__xludf.DUMMYFUNCTION("""COMPUTED_VALUE"""),511.2)</f>
        <v>511.2</v>
      </c>
      <c r="BC113" s="177">
        <f>IFERROR(__xludf.DUMMYFUNCTION("""COMPUTED_VALUE"""),1.0898888E7)</f>
        <v>10898888</v>
      </c>
      <c r="BD113" s="177">
        <f t="shared" si="5"/>
        <v>0.009532773285</v>
      </c>
      <c r="BE113" s="177"/>
      <c r="BF113" s="177"/>
      <c r="BG113" s="189"/>
      <c r="BH113" s="140"/>
      <c r="BI113" s="140"/>
      <c r="BJ113" s="140"/>
      <c r="BK113" s="140"/>
      <c r="BL113" s="140"/>
      <c r="BM113" s="140"/>
      <c r="BN113" s="140"/>
      <c r="BO113" s="140"/>
      <c r="BP113" s="140"/>
      <c r="BQ113" s="140"/>
      <c r="BR113" s="140"/>
      <c r="BS113" s="140"/>
      <c r="BT113" s="140"/>
      <c r="BU113" s="140"/>
      <c r="BV113" s="140"/>
      <c r="BW113" s="140"/>
      <c r="BX113" s="140"/>
      <c r="BY113" s="140"/>
    </row>
    <row r="114" ht="15.75" customHeight="1">
      <c r="A114" s="168"/>
      <c r="B114" s="169">
        <v>45541.0</v>
      </c>
      <c r="C114" s="170">
        <v>6796.12</v>
      </c>
      <c r="D114" s="170">
        <v>6825.12</v>
      </c>
      <c r="E114" s="170">
        <v>6706.12</v>
      </c>
      <c r="F114" s="170">
        <v>6742.12</v>
      </c>
      <c r="G114" s="171" t="s">
        <v>238</v>
      </c>
      <c r="H114" s="172">
        <f t="shared" si="1"/>
        <v>-0.007535919771</v>
      </c>
      <c r="I114" s="172"/>
      <c r="J114" s="172"/>
      <c r="K114" s="188"/>
      <c r="L114" s="140"/>
      <c r="M114" s="140"/>
      <c r="N114" s="176">
        <f>IFERROR(__xludf.DUMMYFUNCTION("""COMPUTED_VALUE"""),45541.64583333333)</f>
        <v>45541.64583</v>
      </c>
      <c r="O114" s="177">
        <f>IFERROR(__xludf.DUMMYFUNCTION("""COMPUTED_VALUE"""),1225.95)</f>
        <v>1225.95</v>
      </c>
      <c r="P114" s="177">
        <f>IFERROR(__xludf.DUMMYFUNCTION("""COMPUTED_VALUE"""),1233.9)</f>
        <v>1233.9</v>
      </c>
      <c r="Q114" s="177">
        <f>IFERROR(__xludf.DUMMYFUNCTION("""COMPUTED_VALUE"""),1205.0)</f>
        <v>1205</v>
      </c>
      <c r="R114" s="177">
        <f>IFERROR(__xludf.DUMMYFUNCTION("""COMPUTED_VALUE"""),1208.15)</f>
        <v>1208.15</v>
      </c>
      <c r="S114" s="177">
        <f>IFERROR(__xludf.DUMMYFUNCTION("""COMPUTED_VALUE"""),1.0170479E7)</f>
        <v>10170479</v>
      </c>
      <c r="T114" s="177">
        <f t="shared" si="2"/>
        <v>-0.02274964115</v>
      </c>
      <c r="U114" s="178"/>
      <c r="V114" s="177"/>
      <c r="W114" s="189"/>
      <c r="X114" s="140"/>
      <c r="Y114" s="140"/>
      <c r="Z114" s="176">
        <f>IFERROR(__xludf.DUMMYFUNCTION("""COMPUTED_VALUE"""),45541.64583333333)</f>
        <v>45541.64583</v>
      </c>
      <c r="AA114" s="177">
        <f>IFERROR(__xludf.DUMMYFUNCTION("""COMPUTED_VALUE"""),443.2)</f>
        <v>443.2</v>
      </c>
      <c r="AB114" s="177">
        <f>IFERROR(__xludf.DUMMYFUNCTION("""COMPUTED_VALUE"""),443.2)</f>
        <v>443.2</v>
      </c>
      <c r="AC114" s="177">
        <f>IFERROR(__xludf.DUMMYFUNCTION("""COMPUTED_VALUE"""),414.0)</f>
        <v>414</v>
      </c>
      <c r="AD114" s="177">
        <f>IFERROR(__xludf.DUMMYFUNCTION("""COMPUTED_VALUE"""),423.1)</f>
        <v>423.1</v>
      </c>
      <c r="AE114" s="177">
        <f>IFERROR(__xludf.DUMMYFUNCTION("""COMPUTED_VALUE"""),2.1421372E7)</f>
        <v>21421372</v>
      </c>
      <c r="AF114" s="177">
        <f t="shared" si="3"/>
        <v>-0.04618692048</v>
      </c>
      <c r="AG114" s="177"/>
      <c r="AH114" s="177"/>
      <c r="AI114" s="189"/>
      <c r="AJ114" s="140"/>
      <c r="AK114" s="140"/>
      <c r="AL114" s="176">
        <f>IFERROR(__xludf.DUMMYFUNCTION("""COMPUTED_VALUE"""),45541.64583333333)</f>
        <v>45541.64583</v>
      </c>
      <c r="AM114" s="177">
        <f>IFERROR(__xludf.DUMMYFUNCTION("""COMPUTED_VALUE"""),4785.0)</f>
        <v>4785</v>
      </c>
      <c r="AN114" s="177">
        <f>IFERROR(__xludf.DUMMYFUNCTION("""COMPUTED_VALUE"""),4797.5)</f>
        <v>4797.5</v>
      </c>
      <c r="AO114" s="177">
        <f>IFERROR(__xludf.DUMMYFUNCTION("""COMPUTED_VALUE"""),4695.0)</f>
        <v>4695</v>
      </c>
      <c r="AP114" s="177">
        <f>IFERROR(__xludf.DUMMYFUNCTION("""COMPUTED_VALUE"""),4703.45)</f>
        <v>4703.45</v>
      </c>
      <c r="AQ114" s="177">
        <f>IFERROR(__xludf.DUMMYFUNCTION("""COMPUTED_VALUE"""),1417853.0)</f>
        <v>1417853</v>
      </c>
      <c r="AR114" s="177">
        <f t="shared" si="4"/>
        <v>-0.01874548092</v>
      </c>
      <c r="AS114" s="177"/>
      <c r="AT114" s="177"/>
      <c r="AU114" s="189"/>
      <c r="AV114" s="140"/>
      <c r="AW114" s="140"/>
      <c r="AX114" s="176">
        <f>IFERROR(__xludf.DUMMYFUNCTION("""COMPUTED_VALUE"""),45541.64583333333)</f>
        <v>45541.64583</v>
      </c>
      <c r="AY114" s="177">
        <f>IFERROR(__xludf.DUMMYFUNCTION("""COMPUTED_VALUE"""),512.0)</f>
        <v>512</v>
      </c>
      <c r="AZ114" s="177">
        <f>IFERROR(__xludf.DUMMYFUNCTION("""COMPUTED_VALUE"""),512.0)</f>
        <v>512</v>
      </c>
      <c r="BA114" s="177">
        <f>IFERROR(__xludf.DUMMYFUNCTION("""COMPUTED_VALUE"""),497.15)</f>
        <v>497.15</v>
      </c>
      <c r="BB114" s="177">
        <f>IFERROR(__xludf.DUMMYFUNCTION("""COMPUTED_VALUE"""),501.7)</f>
        <v>501.7</v>
      </c>
      <c r="BC114" s="177">
        <f>IFERROR(__xludf.DUMMYFUNCTION("""COMPUTED_VALUE"""),1.3716752E7)</f>
        <v>13716752</v>
      </c>
      <c r="BD114" s="177">
        <f t="shared" si="5"/>
        <v>-0.01875857157</v>
      </c>
      <c r="BE114" s="177"/>
      <c r="BF114" s="177"/>
      <c r="BG114" s="189"/>
      <c r="BH114" s="140"/>
      <c r="BI114" s="140"/>
      <c r="BJ114" s="140"/>
      <c r="BK114" s="140"/>
      <c r="BL114" s="140"/>
      <c r="BM114" s="140"/>
      <c r="BN114" s="140"/>
      <c r="BO114" s="140"/>
      <c r="BP114" s="140"/>
      <c r="BQ114" s="140"/>
      <c r="BR114" s="140"/>
      <c r="BS114" s="140"/>
      <c r="BT114" s="140"/>
      <c r="BU114" s="140"/>
      <c r="BV114" s="140"/>
      <c r="BW114" s="140"/>
      <c r="BX114" s="140"/>
      <c r="BY114" s="140"/>
    </row>
    <row r="115" ht="15.75" customHeight="1">
      <c r="A115" s="168"/>
      <c r="B115" s="169">
        <v>45544.0</v>
      </c>
      <c r="C115" s="170">
        <v>6742.78</v>
      </c>
      <c r="D115" s="170">
        <v>6767.12</v>
      </c>
      <c r="E115" s="170">
        <v>6706.78</v>
      </c>
      <c r="F115" s="170">
        <v>6758.78</v>
      </c>
      <c r="G115" s="171" t="s">
        <v>238</v>
      </c>
      <c r="H115" s="172">
        <f t="shared" si="1"/>
        <v>0.002467984869</v>
      </c>
      <c r="I115" s="172"/>
      <c r="J115" s="172"/>
      <c r="K115" s="188"/>
      <c r="L115" s="140"/>
      <c r="M115" s="140"/>
      <c r="N115" s="176">
        <f>IFERROR(__xludf.DUMMYFUNCTION("""COMPUTED_VALUE"""),45544.64583333333)</f>
        <v>45544.64583</v>
      </c>
      <c r="O115" s="177">
        <f>IFERROR(__xludf.DUMMYFUNCTION("""COMPUTED_VALUE"""),1202.9)</f>
        <v>1202.9</v>
      </c>
      <c r="P115" s="177">
        <f>IFERROR(__xludf.DUMMYFUNCTION("""COMPUTED_VALUE"""),1238.3)</f>
        <v>1238.3</v>
      </c>
      <c r="Q115" s="177">
        <f>IFERROR(__xludf.DUMMYFUNCTION("""COMPUTED_VALUE"""),1200.45)</f>
        <v>1200.45</v>
      </c>
      <c r="R115" s="177">
        <f>IFERROR(__xludf.DUMMYFUNCTION("""COMPUTED_VALUE"""),1235.0)</f>
        <v>1235</v>
      </c>
      <c r="S115" s="177">
        <f>IFERROR(__xludf.DUMMYFUNCTION("""COMPUTED_VALUE"""),1.386325E7)</f>
        <v>13863250</v>
      </c>
      <c r="T115" s="177">
        <f t="shared" si="2"/>
        <v>0.02198070609</v>
      </c>
      <c r="U115" s="178"/>
      <c r="V115" s="177"/>
      <c r="W115" s="189"/>
      <c r="X115" s="140"/>
      <c r="Y115" s="140"/>
      <c r="Z115" s="176">
        <f>IFERROR(__xludf.DUMMYFUNCTION("""COMPUTED_VALUE"""),45544.64583333333)</f>
        <v>45544.64583</v>
      </c>
      <c r="AA115" s="177">
        <f>IFERROR(__xludf.DUMMYFUNCTION("""COMPUTED_VALUE"""),420.95)</f>
        <v>420.95</v>
      </c>
      <c r="AB115" s="177">
        <f>IFERROR(__xludf.DUMMYFUNCTION("""COMPUTED_VALUE"""),426.0)</f>
        <v>426</v>
      </c>
      <c r="AC115" s="177">
        <f>IFERROR(__xludf.DUMMYFUNCTION("""COMPUTED_VALUE"""),416.8)</f>
        <v>416.8</v>
      </c>
      <c r="AD115" s="177">
        <f>IFERROR(__xludf.DUMMYFUNCTION("""COMPUTED_VALUE"""),421.5)</f>
        <v>421.5</v>
      </c>
      <c r="AE115" s="177">
        <f>IFERROR(__xludf.DUMMYFUNCTION("""COMPUTED_VALUE"""),7073948.0)</f>
        <v>7073948</v>
      </c>
      <c r="AF115" s="177">
        <f t="shared" si="3"/>
        <v>-0.003788780284</v>
      </c>
      <c r="AG115" s="177"/>
      <c r="AH115" s="177"/>
      <c r="AI115" s="189"/>
      <c r="AJ115" s="140"/>
      <c r="AK115" s="140"/>
      <c r="AL115" s="176">
        <f>IFERROR(__xludf.DUMMYFUNCTION("""COMPUTED_VALUE"""),45544.64583333333)</f>
        <v>45544.64583</v>
      </c>
      <c r="AM115" s="177">
        <f>IFERROR(__xludf.DUMMYFUNCTION("""COMPUTED_VALUE"""),4688.1)</f>
        <v>4688.1</v>
      </c>
      <c r="AN115" s="177">
        <f>IFERROR(__xludf.DUMMYFUNCTION("""COMPUTED_VALUE"""),4692.95)</f>
        <v>4692.95</v>
      </c>
      <c r="AO115" s="177">
        <f>IFERROR(__xludf.DUMMYFUNCTION("""COMPUTED_VALUE"""),4581.2)</f>
        <v>4581.2</v>
      </c>
      <c r="AP115" s="177">
        <f>IFERROR(__xludf.DUMMYFUNCTION("""COMPUTED_VALUE"""),4656.85)</f>
        <v>4656.85</v>
      </c>
      <c r="AQ115" s="177">
        <f>IFERROR(__xludf.DUMMYFUNCTION("""COMPUTED_VALUE"""),1571610.0)</f>
        <v>1571610</v>
      </c>
      <c r="AR115" s="177">
        <f t="shared" si="4"/>
        <v>-0.009957028087</v>
      </c>
      <c r="AS115" s="177"/>
      <c r="AT115" s="177"/>
      <c r="AU115" s="189"/>
      <c r="AV115" s="140"/>
      <c r="AW115" s="140"/>
      <c r="AX115" s="176">
        <f>IFERROR(__xludf.DUMMYFUNCTION("""COMPUTED_VALUE"""),45544.64583333333)</f>
        <v>45544.64583</v>
      </c>
      <c r="AY115" s="177">
        <f>IFERROR(__xludf.DUMMYFUNCTION("""COMPUTED_VALUE"""),502.0)</f>
        <v>502</v>
      </c>
      <c r="AZ115" s="177">
        <f>IFERROR(__xludf.DUMMYFUNCTION("""COMPUTED_VALUE"""),512.65)</f>
        <v>512.65</v>
      </c>
      <c r="BA115" s="177">
        <f>IFERROR(__xludf.DUMMYFUNCTION("""COMPUTED_VALUE"""),500.35)</f>
        <v>500.35</v>
      </c>
      <c r="BB115" s="177">
        <f>IFERROR(__xludf.DUMMYFUNCTION("""COMPUTED_VALUE"""),511.75)</f>
        <v>511.75</v>
      </c>
      <c r="BC115" s="177">
        <f>IFERROR(__xludf.DUMMYFUNCTION("""COMPUTED_VALUE"""),1.3736044E7)</f>
        <v>13736044</v>
      </c>
      <c r="BD115" s="177">
        <f t="shared" si="5"/>
        <v>0.01983389305</v>
      </c>
      <c r="BE115" s="177"/>
      <c r="BF115" s="177"/>
      <c r="BG115" s="189"/>
      <c r="BH115" s="140"/>
      <c r="BI115" s="140"/>
      <c r="BJ115" s="140"/>
      <c r="BK115" s="140"/>
      <c r="BL115" s="140"/>
      <c r="BM115" s="140"/>
      <c r="BN115" s="140"/>
      <c r="BO115" s="140"/>
      <c r="BP115" s="140"/>
      <c r="BQ115" s="140"/>
      <c r="BR115" s="140"/>
      <c r="BS115" s="140"/>
      <c r="BT115" s="140"/>
      <c r="BU115" s="140"/>
      <c r="BV115" s="140"/>
      <c r="BW115" s="140"/>
      <c r="BX115" s="140"/>
      <c r="BY115" s="140"/>
    </row>
    <row r="116" ht="15.75" customHeight="1">
      <c r="A116" s="168"/>
      <c r="B116" s="169">
        <v>45545.0</v>
      </c>
      <c r="C116" s="170">
        <v>6764.12</v>
      </c>
      <c r="D116" s="170">
        <v>6800.12</v>
      </c>
      <c r="E116" s="170">
        <v>6749.52</v>
      </c>
      <c r="F116" s="170">
        <v>6789.52</v>
      </c>
      <c r="G116" s="171" t="s">
        <v>238</v>
      </c>
      <c r="H116" s="172">
        <f t="shared" si="1"/>
        <v>0.004537846483</v>
      </c>
      <c r="I116" s="172"/>
      <c r="J116" s="172"/>
      <c r="K116" s="188"/>
      <c r="L116" s="140"/>
      <c r="M116" s="140"/>
      <c r="N116" s="176">
        <f>IFERROR(__xludf.DUMMYFUNCTION("""COMPUTED_VALUE"""),45545.64583333333)</f>
        <v>45545.64583</v>
      </c>
      <c r="O116" s="177">
        <f>IFERROR(__xludf.DUMMYFUNCTION("""COMPUTED_VALUE"""),1236.95)</f>
        <v>1236.95</v>
      </c>
      <c r="P116" s="177">
        <f>IFERROR(__xludf.DUMMYFUNCTION("""COMPUTED_VALUE"""),1241.35)</f>
        <v>1241.35</v>
      </c>
      <c r="Q116" s="177">
        <f>IFERROR(__xludf.DUMMYFUNCTION("""COMPUTED_VALUE"""),1227.0)</f>
        <v>1227</v>
      </c>
      <c r="R116" s="177">
        <f>IFERROR(__xludf.DUMMYFUNCTION("""COMPUTED_VALUE"""),1237.3)</f>
        <v>1237.3</v>
      </c>
      <c r="S116" s="177">
        <f>IFERROR(__xludf.DUMMYFUNCTION("""COMPUTED_VALUE"""),1.554513E7)</f>
        <v>15545130</v>
      </c>
      <c r="T116" s="177">
        <f t="shared" si="2"/>
        <v>0.001860616158</v>
      </c>
      <c r="U116" s="178"/>
      <c r="V116" s="177"/>
      <c r="W116" s="189"/>
      <c r="X116" s="140"/>
      <c r="Y116" s="140"/>
      <c r="Z116" s="176">
        <f>IFERROR(__xludf.DUMMYFUNCTION("""COMPUTED_VALUE"""),45545.64583333333)</f>
        <v>45545.64583</v>
      </c>
      <c r="AA116" s="177">
        <f>IFERROR(__xludf.DUMMYFUNCTION("""COMPUTED_VALUE"""),423.75)</f>
        <v>423.75</v>
      </c>
      <c r="AB116" s="177">
        <f>IFERROR(__xludf.DUMMYFUNCTION("""COMPUTED_VALUE"""),429.9)</f>
        <v>429.9</v>
      </c>
      <c r="AC116" s="177">
        <f>IFERROR(__xludf.DUMMYFUNCTION("""COMPUTED_VALUE"""),422.4)</f>
        <v>422.4</v>
      </c>
      <c r="AD116" s="177">
        <f>IFERROR(__xludf.DUMMYFUNCTION("""COMPUTED_VALUE"""),425.4)</f>
        <v>425.4</v>
      </c>
      <c r="AE116" s="177">
        <f>IFERROR(__xludf.DUMMYFUNCTION("""COMPUTED_VALUE"""),5089383.0)</f>
        <v>5089383</v>
      </c>
      <c r="AF116" s="177">
        <f t="shared" si="3"/>
        <v>0.009210125324</v>
      </c>
      <c r="AG116" s="177"/>
      <c r="AH116" s="177"/>
      <c r="AI116" s="189"/>
      <c r="AJ116" s="140"/>
      <c r="AK116" s="140"/>
      <c r="AL116" s="176">
        <f>IFERROR(__xludf.DUMMYFUNCTION("""COMPUTED_VALUE"""),45545.64583333333)</f>
        <v>45545.64583</v>
      </c>
      <c r="AM116" s="177">
        <f>IFERROR(__xludf.DUMMYFUNCTION("""COMPUTED_VALUE"""),4680.0)</f>
        <v>4680</v>
      </c>
      <c r="AN116" s="177">
        <f>IFERROR(__xludf.DUMMYFUNCTION("""COMPUTED_VALUE"""),4736.9)</f>
        <v>4736.9</v>
      </c>
      <c r="AO116" s="177">
        <f>IFERROR(__xludf.DUMMYFUNCTION("""COMPUTED_VALUE"""),4676.0)</f>
        <v>4676</v>
      </c>
      <c r="AP116" s="177">
        <f>IFERROR(__xludf.DUMMYFUNCTION("""COMPUTED_VALUE"""),4685.4)</f>
        <v>4685.4</v>
      </c>
      <c r="AQ116" s="177">
        <f>IFERROR(__xludf.DUMMYFUNCTION("""COMPUTED_VALUE"""),1258288.0)</f>
        <v>1258288</v>
      </c>
      <c r="AR116" s="177">
        <f t="shared" si="4"/>
        <v>0.00611203701</v>
      </c>
      <c r="AS116" s="177"/>
      <c r="AT116" s="177"/>
      <c r="AU116" s="189"/>
      <c r="AV116" s="140"/>
      <c r="AW116" s="140"/>
      <c r="AX116" s="176">
        <f>IFERROR(__xludf.DUMMYFUNCTION("""COMPUTED_VALUE"""),45545.64583333333)</f>
        <v>45545.64583</v>
      </c>
      <c r="AY116" s="177">
        <f>IFERROR(__xludf.DUMMYFUNCTION("""COMPUTED_VALUE"""),511.9)</f>
        <v>511.9</v>
      </c>
      <c r="AZ116" s="177">
        <f>IFERROR(__xludf.DUMMYFUNCTION("""COMPUTED_VALUE"""),515.0)</f>
        <v>515</v>
      </c>
      <c r="BA116" s="177">
        <f>IFERROR(__xludf.DUMMYFUNCTION("""COMPUTED_VALUE"""),508.75)</f>
        <v>508.75</v>
      </c>
      <c r="BB116" s="177">
        <f>IFERROR(__xludf.DUMMYFUNCTION("""COMPUTED_VALUE"""),513.6)</f>
        <v>513.6</v>
      </c>
      <c r="BC116" s="177">
        <f>IFERROR(__xludf.DUMMYFUNCTION("""COMPUTED_VALUE"""),1.0911995E7)</f>
        <v>10911995</v>
      </c>
      <c r="BD116" s="177">
        <f t="shared" si="5"/>
        <v>0.003608527834</v>
      </c>
      <c r="BE116" s="177"/>
      <c r="BF116" s="177"/>
      <c r="BG116" s="189"/>
      <c r="BH116" s="140"/>
      <c r="BI116" s="140"/>
      <c r="BJ116" s="140"/>
      <c r="BK116" s="140"/>
      <c r="BL116" s="140"/>
      <c r="BM116" s="140"/>
      <c r="BN116" s="140"/>
      <c r="BO116" s="140"/>
      <c r="BP116" s="140"/>
      <c r="BQ116" s="140"/>
      <c r="BR116" s="140"/>
      <c r="BS116" s="140"/>
      <c r="BT116" s="140"/>
      <c r="BU116" s="140"/>
      <c r="BV116" s="140"/>
      <c r="BW116" s="140"/>
      <c r="BX116" s="140"/>
      <c r="BY116" s="140"/>
    </row>
    <row r="117" ht="15.75" customHeight="1">
      <c r="A117" s="168"/>
      <c r="B117" s="169">
        <v>45546.0</v>
      </c>
      <c r="C117" s="170">
        <v>6794.78</v>
      </c>
      <c r="D117" s="170">
        <v>6827.52</v>
      </c>
      <c r="E117" s="170">
        <v>6751.52</v>
      </c>
      <c r="F117" s="170">
        <v>6779.52</v>
      </c>
      <c r="G117" s="171" t="s">
        <v>238</v>
      </c>
      <c r="H117" s="172">
        <f t="shared" si="1"/>
        <v>-0.001473943891</v>
      </c>
      <c r="I117" s="172"/>
      <c r="J117" s="172"/>
      <c r="K117" s="188"/>
      <c r="L117" s="140"/>
      <c r="M117" s="140"/>
      <c r="N117" s="176">
        <f>IFERROR(__xludf.DUMMYFUNCTION("""COMPUTED_VALUE"""),45546.64583333333)</f>
        <v>45546.64583</v>
      </c>
      <c r="O117" s="177">
        <f>IFERROR(__xludf.DUMMYFUNCTION("""COMPUTED_VALUE"""),1231.5)</f>
        <v>1231.5</v>
      </c>
      <c r="P117" s="177">
        <f>IFERROR(__xludf.DUMMYFUNCTION("""COMPUTED_VALUE"""),1239.3)</f>
        <v>1239.3</v>
      </c>
      <c r="Q117" s="177">
        <f>IFERROR(__xludf.DUMMYFUNCTION("""COMPUTED_VALUE"""),1226.4)</f>
        <v>1226.4</v>
      </c>
      <c r="R117" s="177">
        <f>IFERROR(__xludf.DUMMYFUNCTION("""COMPUTED_VALUE"""),1236.35)</f>
        <v>1236.35</v>
      </c>
      <c r="S117" s="177">
        <f>IFERROR(__xludf.DUMMYFUNCTION("""COMPUTED_VALUE"""),1.1993242E7)</f>
        <v>11993242</v>
      </c>
      <c r="T117" s="177">
        <f t="shared" si="2"/>
        <v>-0.0007680957667</v>
      </c>
      <c r="U117" s="178"/>
      <c r="V117" s="177"/>
      <c r="W117" s="189"/>
      <c r="X117" s="140"/>
      <c r="Y117" s="140"/>
      <c r="Z117" s="176">
        <f>IFERROR(__xludf.DUMMYFUNCTION("""COMPUTED_VALUE"""),45546.64583333333)</f>
        <v>45546.64583</v>
      </c>
      <c r="AA117" s="177">
        <f>IFERROR(__xludf.DUMMYFUNCTION("""COMPUTED_VALUE"""),433.85)</f>
        <v>433.85</v>
      </c>
      <c r="AB117" s="177">
        <f>IFERROR(__xludf.DUMMYFUNCTION("""COMPUTED_VALUE"""),436.2)</f>
        <v>436.2</v>
      </c>
      <c r="AC117" s="177">
        <f>IFERROR(__xludf.DUMMYFUNCTION("""COMPUTED_VALUE"""),423.95)</f>
        <v>423.95</v>
      </c>
      <c r="AD117" s="177">
        <f>IFERROR(__xludf.DUMMYFUNCTION("""COMPUTED_VALUE"""),428.0)</f>
        <v>428</v>
      </c>
      <c r="AE117" s="177">
        <f>IFERROR(__xludf.DUMMYFUNCTION("""COMPUTED_VALUE"""),1.3300174E7)</f>
        <v>13300174</v>
      </c>
      <c r="AF117" s="177">
        <f t="shared" si="3"/>
        <v>0.006093292816</v>
      </c>
      <c r="AG117" s="177"/>
      <c r="AH117" s="177"/>
      <c r="AI117" s="189"/>
      <c r="AJ117" s="140"/>
      <c r="AK117" s="140"/>
      <c r="AL117" s="176">
        <f>IFERROR(__xludf.DUMMYFUNCTION("""COMPUTED_VALUE"""),45546.64583333333)</f>
        <v>45546.64583</v>
      </c>
      <c r="AM117" s="177">
        <f>IFERROR(__xludf.DUMMYFUNCTION("""COMPUTED_VALUE"""),4670.0)</f>
        <v>4670</v>
      </c>
      <c r="AN117" s="177">
        <f>IFERROR(__xludf.DUMMYFUNCTION("""COMPUTED_VALUE"""),4708.4)</f>
        <v>4708.4</v>
      </c>
      <c r="AO117" s="177">
        <f>IFERROR(__xludf.DUMMYFUNCTION("""COMPUTED_VALUE"""),4585.0)</f>
        <v>4585</v>
      </c>
      <c r="AP117" s="177">
        <f>IFERROR(__xludf.DUMMYFUNCTION("""COMPUTED_VALUE"""),4598.75)</f>
        <v>4598.75</v>
      </c>
      <c r="AQ117" s="177">
        <f>IFERROR(__xludf.DUMMYFUNCTION("""COMPUTED_VALUE"""),1173915.0)</f>
        <v>1173915</v>
      </c>
      <c r="AR117" s="177">
        <f t="shared" si="4"/>
        <v>-0.01866676348</v>
      </c>
      <c r="AS117" s="177"/>
      <c r="AT117" s="177"/>
      <c r="AU117" s="189"/>
      <c r="AV117" s="140"/>
      <c r="AW117" s="140"/>
      <c r="AX117" s="176">
        <f>IFERROR(__xludf.DUMMYFUNCTION("""COMPUTED_VALUE"""),45546.64583333333)</f>
        <v>45546.64583</v>
      </c>
      <c r="AY117" s="177">
        <f>IFERROR(__xludf.DUMMYFUNCTION("""COMPUTED_VALUE"""),513.0)</f>
        <v>513</v>
      </c>
      <c r="AZ117" s="177">
        <f>IFERROR(__xludf.DUMMYFUNCTION("""COMPUTED_VALUE"""),519.5)</f>
        <v>519.5</v>
      </c>
      <c r="BA117" s="177">
        <f>IFERROR(__xludf.DUMMYFUNCTION("""COMPUTED_VALUE"""),511.95)</f>
        <v>511.95</v>
      </c>
      <c r="BB117" s="177">
        <f>IFERROR(__xludf.DUMMYFUNCTION("""COMPUTED_VALUE"""),514.35)</f>
        <v>514.35</v>
      </c>
      <c r="BC117" s="177">
        <f>IFERROR(__xludf.DUMMYFUNCTION("""COMPUTED_VALUE"""),1.4922832E7)</f>
        <v>14922832</v>
      </c>
      <c r="BD117" s="177">
        <f t="shared" si="5"/>
        <v>0.001459215201</v>
      </c>
      <c r="BE117" s="177"/>
      <c r="BF117" s="177"/>
      <c r="BG117" s="189"/>
      <c r="BH117" s="140"/>
      <c r="BI117" s="140"/>
      <c r="BJ117" s="140"/>
      <c r="BK117" s="140"/>
      <c r="BL117" s="140"/>
      <c r="BM117" s="140"/>
      <c r="BN117" s="140"/>
      <c r="BO117" s="140"/>
      <c r="BP117" s="140"/>
      <c r="BQ117" s="140"/>
      <c r="BR117" s="140"/>
      <c r="BS117" s="140"/>
      <c r="BT117" s="140"/>
      <c r="BU117" s="140"/>
      <c r="BV117" s="140"/>
      <c r="BW117" s="140"/>
      <c r="BX117" s="140"/>
      <c r="BY117" s="140"/>
    </row>
    <row r="118" ht="15.75" customHeight="1">
      <c r="A118" s="168"/>
      <c r="B118" s="169">
        <v>45547.0</v>
      </c>
      <c r="C118" s="170">
        <v>6780.78</v>
      </c>
      <c r="D118" s="170">
        <v>6907.52</v>
      </c>
      <c r="E118" s="170">
        <v>6778.78</v>
      </c>
      <c r="F118" s="170">
        <v>6902.78</v>
      </c>
      <c r="G118" s="171" t="s">
        <v>238</v>
      </c>
      <c r="H118" s="172">
        <f t="shared" si="1"/>
        <v>0.01801792603</v>
      </c>
      <c r="I118" s="172"/>
      <c r="J118" s="172"/>
      <c r="K118" s="188"/>
      <c r="L118" s="140"/>
      <c r="M118" s="140"/>
      <c r="N118" s="176">
        <f>IFERROR(__xludf.DUMMYFUNCTION("""COMPUTED_VALUE"""),45547.64583333333)</f>
        <v>45547.64583</v>
      </c>
      <c r="O118" s="177">
        <f>IFERROR(__xludf.DUMMYFUNCTION("""COMPUTED_VALUE"""),1238.0)</f>
        <v>1238</v>
      </c>
      <c r="P118" s="177">
        <f>IFERROR(__xludf.DUMMYFUNCTION("""COMPUTED_VALUE"""),1257.0)</f>
        <v>1257</v>
      </c>
      <c r="Q118" s="177">
        <f>IFERROR(__xludf.DUMMYFUNCTION("""COMPUTED_VALUE"""),1226.35)</f>
        <v>1226.35</v>
      </c>
      <c r="R118" s="177">
        <f>IFERROR(__xludf.DUMMYFUNCTION("""COMPUTED_VALUE"""),1252.15)</f>
        <v>1252.15</v>
      </c>
      <c r="S118" s="177">
        <f>IFERROR(__xludf.DUMMYFUNCTION("""COMPUTED_VALUE"""),1.5376442E7)</f>
        <v>15376442</v>
      </c>
      <c r="T118" s="177">
        <f t="shared" si="2"/>
        <v>0.01269858334</v>
      </c>
      <c r="U118" s="178"/>
      <c r="V118" s="177"/>
      <c r="W118" s="189"/>
      <c r="X118" s="140"/>
      <c r="Y118" s="140"/>
      <c r="Z118" s="176">
        <f>IFERROR(__xludf.DUMMYFUNCTION("""COMPUTED_VALUE"""),45547.64583333333)</f>
        <v>45547.64583</v>
      </c>
      <c r="AA118" s="177">
        <f>IFERROR(__xludf.DUMMYFUNCTION("""COMPUTED_VALUE"""),430.9)</f>
        <v>430.9</v>
      </c>
      <c r="AB118" s="177">
        <f>IFERROR(__xludf.DUMMYFUNCTION("""COMPUTED_VALUE"""),437.1)</f>
        <v>437.1</v>
      </c>
      <c r="AC118" s="177">
        <f>IFERROR(__xludf.DUMMYFUNCTION("""COMPUTED_VALUE"""),429.0)</f>
        <v>429</v>
      </c>
      <c r="AD118" s="177">
        <f>IFERROR(__xludf.DUMMYFUNCTION("""COMPUTED_VALUE"""),433.45)</f>
        <v>433.45</v>
      </c>
      <c r="AE118" s="177">
        <f>IFERROR(__xludf.DUMMYFUNCTION("""COMPUTED_VALUE"""),5905816.0)</f>
        <v>5905816</v>
      </c>
      <c r="AF118" s="177">
        <f t="shared" si="3"/>
        <v>0.01265325373</v>
      </c>
      <c r="AG118" s="177"/>
      <c r="AH118" s="177"/>
      <c r="AI118" s="189"/>
      <c r="AJ118" s="140"/>
      <c r="AK118" s="140"/>
      <c r="AL118" s="176">
        <f>IFERROR(__xludf.DUMMYFUNCTION("""COMPUTED_VALUE"""),45547.64583333333)</f>
        <v>45547.64583</v>
      </c>
      <c r="AM118" s="177">
        <f>IFERROR(__xludf.DUMMYFUNCTION("""COMPUTED_VALUE"""),4607.95)</f>
        <v>4607.95</v>
      </c>
      <c r="AN118" s="177">
        <f>IFERROR(__xludf.DUMMYFUNCTION("""COMPUTED_VALUE"""),4653.7)</f>
        <v>4653.7</v>
      </c>
      <c r="AO118" s="177">
        <f>IFERROR(__xludf.DUMMYFUNCTION("""COMPUTED_VALUE"""),4596.15)</f>
        <v>4596.15</v>
      </c>
      <c r="AP118" s="177">
        <f>IFERROR(__xludf.DUMMYFUNCTION("""COMPUTED_VALUE"""),4641.7)</f>
        <v>4641.7</v>
      </c>
      <c r="AQ118" s="177">
        <f>IFERROR(__xludf.DUMMYFUNCTION("""COMPUTED_VALUE"""),933061.0)</f>
        <v>933061</v>
      </c>
      <c r="AR118" s="177">
        <f t="shared" si="4"/>
        <v>0.009296151011</v>
      </c>
      <c r="AS118" s="177"/>
      <c r="AT118" s="177"/>
      <c r="AU118" s="189"/>
      <c r="AV118" s="140"/>
      <c r="AW118" s="140"/>
      <c r="AX118" s="176">
        <f>IFERROR(__xludf.DUMMYFUNCTION("""COMPUTED_VALUE"""),45547.64583333333)</f>
        <v>45547.64583</v>
      </c>
      <c r="AY118" s="177">
        <f>IFERROR(__xludf.DUMMYFUNCTION("""COMPUTED_VALUE"""),515.1)</f>
        <v>515.1</v>
      </c>
      <c r="AZ118" s="177">
        <f>IFERROR(__xludf.DUMMYFUNCTION("""COMPUTED_VALUE"""),520.5)</f>
        <v>520.5</v>
      </c>
      <c r="BA118" s="177">
        <f>IFERROR(__xludf.DUMMYFUNCTION("""COMPUTED_VALUE"""),508.55)</f>
        <v>508.55</v>
      </c>
      <c r="BB118" s="177">
        <f>IFERROR(__xludf.DUMMYFUNCTION("""COMPUTED_VALUE"""),519.5)</f>
        <v>519.5</v>
      </c>
      <c r="BC118" s="177">
        <f>IFERROR(__xludf.DUMMYFUNCTION("""COMPUTED_VALUE"""),1.837755E7)</f>
        <v>18377550</v>
      </c>
      <c r="BD118" s="177">
        <f t="shared" si="5"/>
        <v>0.009962842962</v>
      </c>
      <c r="BE118" s="177"/>
      <c r="BF118" s="177"/>
      <c r="BG118" s="189"/>
      <c r="BH118" s="140"/>
      <c r="BI118" s="140"/>
      <c r="BJ118" s="140"/>
      <c r="BK118" s="140"/>
      <c r="BL118" s="140"/>
      <c r="BM118" s="140"/>
      <c r="BN118" s="140"/>
      <c r="BO118" s="140"/>
      <c r="BP118" s="140"/>
      <c r="BQ118" s="140"/>
      <c r="BR118" s="140"/>
      <c r="BS118" s="140"/>
      <c r="BT118" s="140"/>
      <c r="BU118" s="140"/>
      <c r="BV118" s="140"/>
      <c r="BW118" s="140"/>
      <c r="BX118" s="140"/>
      <c r="BY118" s="140"/>
    </row>
    <row r="119" ht="15.75" customHeight="1">
      <c r="A119" s="168"/>
      <c r="B119" s="169">
        <v>45548.0</v>
      </c>
      <c r="C119" s="170">
        <v>6904.78</v>
      </c>
      <c r="D119" s="170">
        <v>6975.12</v>
      </c>
      <c r="E119" s="170">
        <v>6897.12</v>
      </c>
      <c r="F119" s="170">
        <v>6951.12</v>
      </c>
      <c r="G119" s="171" t="s">
        <v>238</v>
      </c>
      <c r="H119" s="172">
        <f t="shared" si="1"/>
        <v>0.00697856866</v>
      </c>
      <c r="I119" s="172"/>
      <c r="J119" s="172"/>
      <c r="K119" s="188"/>
      <c r="L119" s="140"/>
      <c r="M119" s="140"/>
      <c r="N119" s="176">
        <f>IFERROR(__xludf.DUMMYFUNCTION("""COMPUTED_VALUE"""),45548.64583333333)</f>
        <v>45548.64583</v>
      </c>
      <c r="O119" s="177">
        <f>IFERROR(__xludf.DUMMYFUNCTION("""COMPUTED_VALUE"""),1252.0)</f>
        <v>1252</v>
      </c>
      <c r="P119" s="177">
        <f>IFERROR(__xludf.DUMMYFUNCTION("""COMPUTED_VALUE"""),1255.95)</f>
        <v>1255.95</v>
      </c>
      <c r="Q119" s="177">
        <f>IFERROR(__xludf.DUMMYFUNCTION("""COMPUTED_VALUE"""),1242.05)</f>
        <v>1242.05</v>
      </c>
      <c r="R119" s="177">
        <f>IFERROR(__xludf.DUMMYFUNCTION("""COMPUTED_VALUE"""),1250.35)</f>
        <v>1250.35</v>
      </c>
      <c r="S119" s="177">
        <f>IFERROR(__xludf.DUMMYFUNCTION("""COMPUTED_VALUE"""),9877288.0)</f>
        <v>9877288</v>
      </c>
      <c r="T119" s="177">
        <f t="shared" si="2"/>
        <v>-0.001438561687</v>
      </c>
      <c r="U119" s="178"/>
      <c r="V119" s="177"/>
      <c r="W119" s="189"/>
      <c r="X119" s="140"/>
      <c r="Y119" s="140"/>
      <c r="Z119" s="176">
        <f>IFERROR(__xludf.DUMMYFUNCTION("""COMPUTED_VALUE"""),45548.64583333333)</f>
        <v>45548.64583</v>
      </c>
      <c r="AA119" s="177">
        <f>IFERROR(__xludf.DUMMYFUNCTION("""COMPUTED_VALUE"""),435.6)</f>
        <v>435.6</v>
      </c>
      <c r="AB119" s="177">
        <f>IFERROR(__xludf.DUMMYFUNCTION("""COMPUTED_VALUE"""),438.65)</f>
        <v>438.65</v>
      </c>
      <c r="AC119" s="177">
        <f>IFERROR(__xludf.DUMMYFUNCTION("""COMPUTED_VALUE"""),427.25)</f>
        <v>427.25</v>
      </c>
      <c r="AD119" s="177">
        <f>IFERROR(__xludf.DUMMYFUNCTION("""COMPUTED_VALUE"""),428.45)</f>
        <v>428.45</v>
      </c>
      <c r="AE119" s="177">
        <f>IFERROR(__xludf.DUMMYFUNCTION("""COMPUTED_VALUE"""),6918635.0)</f>
        <v>6918635</v>
      </c>
      <c r="AF119" s="177">
        <f t="shared" si="3"/>
        <v>-0.0116024042</v>
      </c>
      <c r="AG119" s="177"/>
      <c r="AH119" s="177"/>
      <c r="AI119" s="189"/>
      <c r="AJ119" s="140"/>
      <c r="AK119" s="140"/>
      <c r="AL119" s="176">
        <f>IFERROR(__xludf.DUMMYFUNCTION("""COMPUTED_VALUE"""),45548.64583333333)</f>
        <v>45548.64583</v>
      </c>
      <c r="AM119" s="177">
        <f>IFERROR(__xludf.DUMMYFUNCTION("""COMPUTED_VALUE"""),4658.0)</f>
        <v>4658</v>
      </c>
      <c r="AN119" s="177">
        <f>IFERROR(__xludf.DUMMYFUNCTION("""COMPUTED_VALUE"""),4690.0)</f>
        <v>4690</v>
      </c>
      <c r="AO119" s="177">
        <f>IFERROR(__xludf.DUMMYFUNCTION("""COMPUTED_VALUE"""),4632.0)</f>
        <v>4632</v>
      </c>
      <c r="AP119" s="177">
        <f>IFERROR(__xludf.DUMMYFUNCTION("""COMPUTED_VALUE"""),4644.95)</f>
        <v>4644.95</v>
      </c>
      <c r="AQ119" s="177">
        <f>IFERROR(__xludf.DUMMYFUNCTION("""COMPUTED_VALUE"""),867679.0)</f>
        <v>867679</v>
      </c>
      <c r="AR119" s="177">
        <f t="shared" si="4"/>
        <v>0.0006999294972</v>
      </c>
      <c r="AS119" s="177"/>
      <c r="AT119" s="177"/>
      <c r="AU119" s="189"/>
      <c r="AV119" s="140"/>
      <c r="AW119" s="140"/>
      <c r="AX119" s="176">
        <f>IFERROR(__xludf.DUMMYFUNCTION("""COMPUTED_VALUE"""),45548.64583333333)</f>
        <v>45548.64583</v>
      </c>
      <c r="AY119" s="177">
        <f>IFERROR(__xludf.DUMMYFUNCTION("""COMPUTED_VALUE"""),519.5)</f>
        <v>519.5</v>
      </c>
      <c r="AZ119" s="177">
        <f>IFERROR(__xludf.DUMMYFUNCTION("""COMPUTED_VALUE"""),520.0)</f>
        <v>520</v>
      </c>
      <c r="BA119" s="177">
        <f>IFERROR(__xludf.DUMMYFUNCTION("""COMPUTED_VALUE"""),512.0)</f>
        <v>512</v>
      </c>
      <c r="BB119" s="177">
        <f>IFERROR(__xludf.DUMMYFUNCTION("""COMPUTED_VALUE"""),513.85)</f>
        <v>513.85</v>
      </c>
      <c r="BC119" s="177">
        <f>IFERROR(__xludf.DUMMYFUNCTION("""COMPUTED_VALUE"""),8825193.0)</f>
        <v>8825193</v>
      </c>
      <c r="BD119" s="177">
        <f t="shared" si="5"/>
        <v>-0.01093541647</v>
      </c>
      <c r="BE119" s="177"/>
      <c r="BF119" s="177"/>
      <c r="BG119" s="189"/>
      <c r="BH119" s="140"/>
      <c r="BI119" s="140"/>
      <c r="BJ119" s="140"/>
      <c r="BK119" s="140"/>
      <c r="BL119" s="140"/>
      <c r="BM119" s="140"/>
      <c r="BN119" s="140"/>
      <c r="BO119" s="140"/>
      <c r="BP119" s="140"/>
      <c r="BQ119" s="140"/>
      <c r="BR119" s="140"/>
      <c r="BS119" s="140"/>
      <c r="BT119" s="140"/>
      <c r="BU119" s="140"/>
      <c r="BV119" s="140"/>
      <c r="BW119" s="140"/>
      <c r="BX119" s="140"/>
      <c r="BY119" s="140"/>
    </row>
    <row r="120" ht="15.75" customHeight="1">
      <c r="A120" s="168"/>
      <c r="B120" s="169">
        <v>45551.0</v>
      </c>
      <c r="C120" s="170">
        <v>6952.78</v>
      </c>
      <c r="D120" s="170">
        <v>6986.12</v>
      </c>
      <c r="E120" s="170">
        <v>6944.78</v>
      </c>
      <c r="F120" s="170">
        <v>6957.52</v>
      </c>
      <c r="G120" s="171" t="s">
        <v>238</v>
      </c>
      <c r="H120" s="172">
        <f t="shared" si="1"/>
        <v>0.0009202913371</v>
      </c>
      <c r="I120" s="172"/>
      <c r="J120" s="172"/>
      <c r="K120" s="188"/>
      <c r="L120" s="140"/>
      <c r="M120" s="140"/>
      <c r="N120" s="176">
        <f>IFERROR(__xludf.DUMMYFUNCTION("""COMPUTED_VALUE"""),45551.64583333333)</f>
        <v>45551.64583</v>
      </c>
      <c r="O120" s="177">
        <f>IFERROR(__xludf.DUMMYFUNCTION("""COMPUTED_VALUE"""),1251.0)</f>
        <v>1251</v>
      </c>
      <c r="P120" s="177">
        <f>IFERROR(__xludf.DUMMYFUNCTION("""COMPUTED_VALUE"""),1265.6)</f>
        <v>1265.6</v>
      </c>
      <c r="Q120" s="177">
        <f>IFERROR(__xludf.DUMMYFUNCTION("""COMPUTED_VALUE"""),1244.7)</f>
        <v>1244.7</v>
      </c>
      <c r="R120" s="177">
        <f>IFERROR(__xludf.DUMMYFUNCTION("""COMPUTED_VALUE"""),1262.85)</f>
        <v>1262.85</v>
      </c>
      <c r="S120" s="177">
        <f>IFERROR(__xludf.DUMMYFUNCTION("""COMPUTED_VALUE"""),8973335.0)</f>
        <v>8973335</v>
      </c>
      <c r="T120" s="177">
        <f t="shared" si="2"/>
        <v>0.009947559348</v>
      </c>
      <c r="U120" s="178"/>
      <c r="V120" s="177"/>
      <c r="W120" s="189"/>
      <c r="X120" s="140"/>
      <c r="Y120" s="140"/>
      <c r="Z120" s="176">
        <f>IFERROR(__xludf.DUMMYFUNCTION("""COMPUTED_VALUE"""),45551.64583333333)</f>
        <v>45551.64583</v>
      </c>
      <c r="AA120" s="177">
        <f>IFERROR(__xludf.DUMMYFUNCTION("""COMPUTED_VALUE"""),428.45)</f>
        <v>428.45</v>
      </c>
      <c r="AB120" s="177">
        <f>IFERROR(__xludf.DUMMYFUNCTION("""COMPUTED_VALUE"""),431.15)</f>
        <v>431.15</v>
      </c>
      <c r="AC120" s="177">
        <f>IFERROR(__xludf.DUMMYFUNCTION("""COMPUTED_VALUE"""),420.1)</f>
        <v>420.1</v>
      </c>
      <c r="AD120" s="177">
        <f>IFERROR(__xludf.DUMMYFUNCTION("""COMPUTED_VALUE"""),428.7)</f>
        <v>428.7</v>
      </c>
      <c r="AE120" s="177">
        <f>IFERROR(__xludf.DUMMYFUNCTION("""COMPUTED_VALUE"""),5356337.0)</f>
        <v>5356337</v>
      </c>
      <c r="AF120" s="177">
        <f t="shared" si="3"/>
        <v>0.0005833284888</v>
      </c>
      <c r="AG120" s="177"/>
      <c r="AH120" s="177"/>
      <c r="AI120" s="189"/>
      <c r="AJ120" s="140"/>
      <c r="AK120" s="140"/>
      <c r="AL120" s="176">
        <f>IFERROR(__xludf.DUMMYFUNCTION("""COMPUTED_VALUE"""),45551.64583333333)</f>
        <v>45551.64583</v>
      </c>
      <c r="AM120" s="177">
        <f>IFERROR(__xludf.DUMMYFUNCTION("""COMPUTED_VALUE"""),4655.0)</f>
        <v>4655</v>
      </c>
      <c r="AN120" s="177">
        <f>IFERROR(__xludf.DUMMYFUNCTION("""COMPUTED_VALUE"""),4662.9)</f>
        <v>4662.9</v>
      </c>
      <c r="AO120" s="177">
        <f>IFERROR(__xludf.DUMMYFUNCTION("""COMPUTED_VALUE"""),4590.05)</f>
        <v>4590.05</v>
      </c>
      <c r="AP120" s="177">
        <f>IFERROR(__xludf.DUMMYFUNCTION("""COMPUTED_VALUE"""),4597.35)</f>
        <v>4597.35</v>
      </c>
      <c r="AQ120" s="177">
        <f>IFERROR(__xludf.DUMMYFUNCTION("""COMPUTED_VALUE"""),642977.0)</f>
        <v>642977</v>
      </c>
      <c r="AR120" s="177">
        <f t="shared" si="4"/>
        <v>-0.01030055741</v>
      </c>
      <c r="AS120" s="177"/>
      <c r="AT120" s="177"/>
      <c r="AU120" s="189"/>
      <c r="AV120" s="140"/>
      <c r="AW120" s="140"/>
      <c r="AX120" s="176">
        <f>IFERROR(__xludf.DUMMYFUNCTION("""COMPUTED_VALUE"""),45551.64583333333)</f>
        <v>45551.64583</v>
      </c>
      <c r="AY120" s="177">
        <f>IFERROR(__xludf.DUMMYFUNCTION("""COMPUTED_VALUE"""),515.9)</f>
        <v>515.9</v>
      </c>
      <c r="AZ120" s="177">
        <f>IFERROR(__xludf.DUMMYFUNCTION("""COMPUTED_VALUE"""),517.0)</f>
        <v>517</v>
      </c>
      <c r="BA120" s="177">
        <f>IFERROR(__xludf.DUMMYFUNCTION("""COMPUTED_VALUE"""),509.7)</f>
        <v>509.7</v>
      </c>
      <c r="BB120" s="177">
        <f>IFERROR(__xludf.DUMMYFUNCTION("""COMPUTED_VALUE"""),511.1)</f>
        <v>511.1</v>
      </c>
      <c r="BC120" s="177">
        <f>IFERROR(__xludf.DUMMYFUNCTION("""COMPUTED_VALUE"""),7531604.0)</f>
        <v>7531604</v>
      </c>
      <c r="BD120" s="177">
        <f t="shared" si="5"/>
        <v>-0.005366128297</v>
      </c>
      <c r="BE120" s="177"/>
      <c r="BF120" s="177"/>
      <c r="BG120" s="189"/>
      <c r="BH120" s="140"/>
      <c r="BI120" s="140"/>
      <c r="BJ120" s="140"/>
      <c r="BK120" s="140"/>
      <c r="BL120" s="140"/>
      <c r="BM120" s="140"/>
      <c r="BN120" s="140"/>
      <c r="BO120" s="140"/>
      <c r="BP120" s="140"/>
      <c r="BQ120" s="140"/>
      <c r="BR120" s="140"/>
      <c r="BS120" s="140"/>
      <c r="BT120" s="140"/>
      <c r="BU120" s="140"/>
      <c r="BV120" s="140"/>
      <c r="BW120" s="140"/>
      <c r="BX120" s="140"/>
      <c r="BY120" s="140"/>
    </row>
    <row r="121" ht="15.75" customHeight="1">
      <c r="A121" s="168"/>
      <c r="B121" s="169">
        <v>45552.0</v>
      </c>
      <c r="C121" s="170">
        <v>6963.12</v>
      </c>
      <c r="D121" s="170">
        <v>6974.78</v>
      </c>
      <c r="E121" s="170">
        <v>6897.12</v>
      </c>
      <c r="F121" s="170">
        <v>6917.12</v>
      </c>
      <c r="G121" s="171" t="s">
        <v>238</v>
      </c>
      <c r="H121" s="172">
        <f t="shared" si="1"/>
        <v>-0.00582359098</v>
      </c>
      <c r="I121" s="172"/>
      <c r="J121" s="172"/>
      <c r="K121" s="188"/>
      <c r="L121" s="140"/>
      <c r="M121" s="140"/>
      <c r="N121" s="176">
        <f>IFERROR(__xludf.DUMMYFUNCTION("""COMPUTED_VALUE"""),45552.64583333333)</f>
        <v>45552.64583</v>
      </c>
      <c r="O121" s="177">
        <f>IFERROR(__xludf.DUMMYFUNCTION("""COMPUTED_VALUE"""),1259.95)</f>
        <v>1259.95</v>
      </c>
      <c r="P121" s="177">
        <f>IFERROR(__xludf.DUMMYFUNCTION("""COMPUTED_VALUE"""),1272.25)</f>
        <v>1272.25</v>
      </c>
      <c r="Q121" s="177">
        <f>IFERROR(__xludf.DUMMYFUNCTION("""COMPUTED_VALUE"""),1258.4)</f>
        <v>1258.4</v>
      </c>
      <c r="R121" s="177">
        <f>IFERROR(__xludf.DUMMYFUNCTION("""COMPUTED_VALUE"""),1268.1)</f>
        <v>1268.1</v>
      </c>
      <c r="S121" s="177">
        <f>IFERROR(__xludf.DUMMYFUNCTION("""COMPUTED_VALUE"""),1.1513121E7)</f>
        <v>11513121</v>
      </c>
      <c r="T121" s="177">
        <f t="shared" si="2"/>
        <v>0.004148645789</v>
      </c>
      <c r="U121" s="178"/>
      <c r="V121" s="177"/>
      <c r="W121" s="189"/>
      <c r="X121" s="140"/>
      <c r="Y121" s="140"/>
      <c r="Z121" s="176">
        <f>IFERROR(__xludf.DUMMYFUNCTION("""COMPUTED_VALUE"""),45552.64583333333)</f>
        <v>45552.64583</v>
      </c>
      <c r="AA121" s="177">
        <f>IFERROR(__xludf.DUMMYFUNCTION("""COMPUTED_VALUE"""),427.2)</f>
        <v>427.2</v>
      </c>
      <c r="AB121" s="177">
        <f>IFERROR(__xludf.DUMMYFUNCTION("""COMPUTED_VALUE"""),433.6)</f>
        <v>433.6</v>
      </c>
      <c r="AC121" s="177">
        <f>IFERROR(__xludf.DUMMYFUNCTION("""COMPUTED_VALUE"""),426.5)</f>
        <v>426.5</v>
      </c>
      <c r="AD121" s="177">
        <f>IFERROR(__xludf.DUMMYFUNCTION("""COMPUTED_VALUE"""),430.45)</f>
        <v>430.45</v>
      </c>
      <c r="AE121" s="177">
        <f>IFERROR(__xludf.DUMMYFUNCTION("""COMPUTED_VALUE"""),2422065.0)</f>
        <v>2422065</v>
      </c>
      <c r="AF121" s="177">
        <f t="shared" si="3"/>
        <v>0.0040737995</v>
      </c>
      <c r="AG121" s="177"/>
      <c r="AH121" s="177"/>
      <c r="AI121" s="189"/>
      <c r="AJ121" s="140"/>
      <c r="AK121" s="140"/>
      <c r="AL121" s="176">
        <f>IFERROR(__xludf.DUMMYFUNCTION("""COMPUTED_VALUE"""),45552.64583333333)</f>
        <v>45552.64583</v>
      </c>
      <c r="AM121" s="177">
        <f>IFERROR(__xludf.DUMMYFUNCTION("""COMPUTED_VALUE"""),4599.0)</f>
        <v>4599</v>
      </c>
      <c r="AN121" s="177">
        <f>IFERROR(__xludf.DUMMYFUNCTION("""COMPUTED_VALUE"""),4599.9)</f>
        <v>4599.9</v>
      </c>
      <c r="AO121" s="177">
        <f>IFERROR(__xludf.DUMMYFUNCTION("""COMPUTED_VALUE"""),4426.55)</f>
        <v>4426.55</v>
      </c>
      <c r="AP121" s="177">
        <f>IFERROR(__xludf.DUMMYFUNCTION("""COMPUTED_VALUE"""),4458.5)</f>
        <v>4458.5</v>
      </c>
      <c r="AQ121" s="177">
        <f>IFERROR(__xludf.DUMMYFUNCTION("""COMPUTED_VALUE"""),2413098.0)</f>
        <v>2413098</v>
      </c>
      <c r="AR121" s="177">
        <f t="shared" si="4"/>
        <v>-0.03066766394</v>
      </c>
      <c r="AS121" s="177"/>
      <c r="AT121" s="177"/>
      <c r="AU121" s="189"/>
      <c r="AV121" s="140"/>
      <c r="AW121" s="140"/>
      <c r="AX121" s="176">
        <f>IFERROR(__xludf.DUMMYFUNCTION("""COMPUTED_VALUE"""),45552.64583333333)</f>
        <v>45552.64583</v>
      </c>
      <c r="AY121" s="177">
        <f>IFERROR(__xludf.DUMMYFUNCTION("""COMPUTED_VALUE"""),511.05)</f>
        <v>511.05</v>
      </c>
      <c r="AZ121" s="177">
        <f>IFERROR(__xludf.DUMMYFUNCTION("""COMPUTED_VALUE"""),513.55)</f>
        <v>513.55</v>
      </c>
      <c r="BA121" s="177">
        <f>IFERROR(__xludf.DUMMYFUNCTION("""COMPUTED_VALUE"""),506.25)</f>
        <v>506.25</v>
      </c>
      <c r="BB121" s="177">
        <f>IFERROR(__xludf.DUMMYFUNCTION("""COMPUTED_VALUE"""),507.75)</f>
        <v>507.75</v>
      </c>
      <c r="BC121" s="177">
        <f>IFERROR(__xludf.DUMMYFUNCTION("""COMPUTED_VALUE"""),1.0486015E7)</f>
        <v>10486015</v>
      </c>
      <c r="BD121" s="177">
        <f t="shared" si="5"/>
        <v>-0.006576065314</v>
      </c>
      <c r="BE121" s="177"/>
      <c r="BF121" s="177"/>
      <c r="BG121" s="189"/>
      <c r="BH121" s="140"/>
      <c r="BI121" s="140"/>
      <c r="BJ121" s="140"/>
      <c r="BK121" s="140"/>
      <c r="BL121" s="140"/>
      <c r="BM121" s="140"/>
      <c r="BN121" s="140"/>
      <c r="BO121" s="140"/>
      <c r="BP121" s="140"/>
      <c r="BQ121" s="140"/>
      <c r="BR121" s="140"/>
      <c r="BS121" s="140"/>
      <c r="BT121" s="140"/>
      <c r="BU121" s="140"/>
      <c r="BV121" s="140"/>
      <c r="BW121" s="140"/>
      <c r="BX121" s="140"/>
      <c r="BY121" s="140"/>
    </row>
    <row r="122" ht="15.75" customHeight="1">
      <c r="A122" s="168"/>
      <c r="B122" s="169">
        <v>45553.0</v>
      </c>
      <c r="C122" s="170">
        <v>6920.12</v>
      </c>
      <c r="D122" s="170">
        <v>6993.12</v>
      </c>
      <c r="E122" s="170">
        <v>6850.78</v>
      </c>
      <c r="F122" s="170">
        <v>6880.78</v>
      </c>
      <c r="G122" s="171" t="s">
        <v>238</v>
      </c>
      <c r="H122" s="172">
        <f t="shared" si="1"/>
        <v>-0.005267480417</v>
      </c>
      <c r="I122" s="172"/>
      <c r="J122" s="172"/>
      <c r="K122" s="188"/>
      <c r="L122" s="140"/>
      <c r="M122" s="140"/>
      <c r="N122" s="176">
        <f>IFERROR(__xludf.DUMMYFUNCTION("""COMPUTED_VALUE"""),45553.64583333333)</f>
        <v>45553.64583</v>
      </c>
      <c r="O122" s="177">
        <f>IFERROR(__xludf.DUMMYFUNCTION("""COMPUTED_VALUE"""),1262.0)</f>
        <v>1262</v>
      </c>
      <c r="P122" s="177">
        <f>IFERROR(__xludf.DUMMYFUNCTION("""COMPUTED_VALUE"""),1295.35)</f>
        <v>1295.35</v>
      </c>
      <c r="Q122" s="177">
        <f>IFERROR(__xludf.DUMMYFUNCTION("""COMPUTED_VALUE"""),1262.0)</f>
        <v>1262</v>
      </c>
      <c r="R122" s="177">
        <f>IFERROR(__xludf.DUMMYFUNCTION("""COMPUTED_VALUE"""),1288.35)</f>
        <v>1288.35</v>
      </c>
      <c r="S122" s="177">
        <f>IFERROR(__xludf.DUMMYFUNCTION("""COMPUTED_VALUE"""),1.2466597E7)</f>
        <v>12466597</v>
      </c>
      <c r="T122" s="177">
        <f t="shared" si="2"/>
        <v>0.01584261264</v>
      </c>
      <c r="U122" s="178"/>
      <c r="V122" s="177"/>
      <c r="W122" s="189"/>
      <c r="X122" s="140"/>
      <c r="Y122" s="140"/>
      <c r="Z122" s="176">
        <f>IFERROR(__xludf.DUMMYFUNCTION("""COMPUTED_VALUE"""),45553.64583333333)</f>
        <v>45553.64583</v>
      </c>
      <c r="AA122" s="177">
        <f>IFERROR(__xludf.DUMMYFUNCTION("""COMPUTED_VALUE"""),428.0)</f>
        <v>428</v>
      </c>
      <c r="AB122" s="177">
        <f>IFERROR(__xludf.DUMMYFUNCTION("""COMPUTED_VALUE"""),430.7)</f>
        <v>430.7</v>
      </c>
      <c r="AC122" s="177">
        <f>IFERROR(__xludf.DUMMYFUNCTION("""COMPUTED_VALUE"""),421.55)</f>
        <v>421.55</v>
      </c>
      <c r="AD122" s="177">
        <f>IFERROR(__xludf.DUMMYFUNCTION("""COMPUTED_VALUE"""),428.25)</f>
        <v>428.25</v>
      </c>
      <c r="AE122" s="177">
        <f>IFERROR(__xludf.DUMMYFUNCTION("""COMPUTED_VALUE"""),3228858.0)</f>
        <v>3228858</v>
      </c>
      <c r="AF122" s="177">
        <f t="shared" si="3"/>
        <v>-0.0051240359</v>
      </c>
      <c r="AG122" s="177"/>
      <c r="AH122" s="177"/>
      <c r="AI122" s="189"/>
      <c r="AJ122" s="140"/>
      <c r="AK122" s="140"/>
      <c r="AL122" s="176">
        <f>IFERROR(__xludf.DUMMYFUNCTION("""COMPUTED_VALUE"""),45553.64583333333)</f>
        <v>45553.64583</v>
      </c>
      <c r="AM122" s="177">
        <f>IFERROR(__xludf.DUMMYFUNCTION("""COMPUTED_VALUE"""),4453.95)</f>
        <v>4453.95</v>
      </c>
      <c r="AN122" s="177">
        <f>IFERROR(__xludf.DUMMYFUNCTION("""COMPUTED_VALUE"""),4485.0)</f>
        <v>4485</v>
      </c>
      <c r="AO122" s="177">
        <f>IFERROR(__xludf.DUMMYFUNCTION("""COMPUTED_VALUE"""),4421.0)</f>
        <v>4421</v>
      </c>
      <c r="AP122" s="177">
        <f>IFERROR(__xludf.DUMMYFUNCTION("""COMPUTED_VALUE"""),4437.65)</f>
        <v>4437.65</v>
      </c>
      <c r="AQ122" s="177">
        <f>IFERROR(__xludf.DUMMYFUNCTION("""COMPUTED_VALUE"""),1326709.0)</f>
        <v>1326709</v>
      </c>
      <c r="AR122" s="177">
        <f t="shared" si="4"/>
        <v>-0.004687429546</v>
      </c>
      <c r="AS122" s="177"/>
      <c r="AT122" s="177"/>
      <c r="AU122" s="189"/>
      <c r="AV122" s="140"/>
      <c r="AW122" s="140"/>
      <c r="AX122" s="176">
        <f>IFERROR(__xludf.DUMMYFUNCTION("""COMPUTED_VALUE"""),45553.64583333333)</f>
        <v>45553.64583</v>
      </c>
      <c r="AY122" s="177">
        <f>IFERROR(__xludf.DUMMYFUNCTION("""COMPUTED_VALUE"""),507.85)</f>
        <v>507.85</v>
      </c>
      <c r="AZ122" s="177">
        <f>IFERROR(__xludf.DUMMYFUNCTION("""COMPUTED_VALUE"""),512.4)</f>
        <v>512.4</v>
      </c>
      <c r="BA122" s="177">
        <f>IFERROR(__xludf.DUMMYFUNCTION("""COMPUTED_VALUE"""),505.1)</f>
        <v>505.1</v>
      </c>
      <c r="BB122" s="177">
        <f>IFERROR(__xludf.DUMMYFUNCTION("""COMPUTED_VALUE"""),507.35)</f>
        <v>507.35</v>
      </c>
      <c r="BC122" s="177">
        <f>IFERROR(__xludf.DUMMYFUNCTION("""COMPUTED_VALUE"""),5429619.0)</f>
        <v>5429619</v>
      </c>
      <c r="BD122" s="177">
        <f t="shared" si="5"/>
        <v>-0.0007880997354</v>
      </c>
      <c r="BE122" s="177"/>
      <c r="BF122" s="177"/>
      <c r="BG122" s="189"/>
      <c r="BH122" s="140"/>
      <c r="BI122" s="140"/>
      <c r="BJ122" s="140"/>
      <c r="BK122" s="140"/>
      <c r="BL122" s="140"/>
      <c r="BM122" s="140"/>
      <c r="BN122" s="140"/>
      <c r="BO122" s="140"/>
      <c r="BP122" s="140"/>
      <c r="BQ122" s="140"/>
      <c r="BR122" s="140"/>
      <c r="BS122" s="140"/>
      <c r="BT122" s="140"/>
      <c r="BU122" s="140"/>
      <c r="BV122" s="140"/>
      <c r="BW122" s="140"/>
      <c r="BX122" s="140"/>
      <c r="BY122" s="140"/>
    </row>
    <row r="123" ht="15.75" customHeight="1">
      <c r="A123" s="168"/>
      <c r="B123" s="169">
        <v>45554.0</v>
      </c>
      <c r="C123" s="170">
        <v>6883.12</v>
      </c>
      <c r="D123" s="170">
        <v>6980.78</v>
      </c>
      <c r="E123" s="170">
        <v>6869.12</v>
      </c>
      <c r="F123" s="170">
        <v>6953.12</v>
      </c>
      <c r="G123" s="171" t="s">
        <v>238</v>
      </c>
      <c r="H123" s="172">
        <f t="shared" si="1"/>
        <v>0.01045846209</v>
      </c>
      <c r="I123" s="172"/>
      <c r="J123" s="172"/>
      <c r="K123" s="188"/>
      <c r="L123" s="140"/>
      <c r="M123" s="140"/>
      <c r="N123" s="176">
        <f>IFERROR(__xludf.DUMMYFUNCTION("""COMPUTED_VALUE"""),45554.64583333333)</f>
        <v>45554.64583</v>
      </c>
      <c r="O123" s="177">
        <f>IFERROR(__xludf.DUMMYFUNCTION("""COMPUTED_VALUE"""),1288.35)</f>
        <v>1288.35</v>
      </c>
      <c r="P123" s="177">
        <f>IFERROR(__xludf.DUMMYFUNCTION("""COMPUTED_VALUE"""),1300.0)</f>
        <v>1300</v>
      </c>
      <c r="Q123" s="177">
        <f>IFERROR(__xludf.DUMMYFUNCTION("""COMPUTED_VALUE"""),1285.35)</f>
        <v>1285.35</v>
      </c>
      <c r="R123" s="177">
        <f>IFERROR(__xludf.DUMMYFUNCTION("""COMPUTED_VALUE"""),1292.0)</f>
        <v>1292</v>
      </c>
      <c r="S123" s="177">
        <f>IFERROR(__xludf.DUMMYFUNCTION("""COMPUTED_VALUE"""),1.3172268E7)</f>
        <v>13172268</v>
      </c>
      <c r="T123" s="177">
        <f t="shared" si="2"/>
        <v>0.002829075462</v>
      </c>
      <c r="U123" s="178"/>
      <c r="V123" s="177"/>
      <c r="W123" s="189"/>
      <c r="X123" s="140"/>
      <c r="Y123" s="140"/>
      <c r="Z123" s="176">
        <f>IFERROR(__xludf.DUMMYFUNCTION("""COMPUTED_VALUE"""),45554.64583333333)</f>
        <v>45554.64583</v>
      </c>
      <c r="AA123" s="177">
        <f>IFERROR(__xludf.DUMMYFUNCTION("""COMPUTED_VALUE"""),423.0)</f>
        <v>423</v>
      </c>
      <c r="AB123" s="177">
        <f>IFERROR(__xludf.DUMMYFUNCTION("""COMPUTED_VALUE"""),430.9)</f>
        <v>430.9</v>
      </c>
      <c r="AC123" s="177">
        <f>IFERROR(__xludf.DUMMYFUNCTION("""COMPUTED_VALUE"""),366.35)</f>
        <v>366.35</v>
      </c>
      <c r="AD123" s="177">
        <f>IFERROR(__xludf.DUMMYFUNCTION("""COMPUTED_VALUE"""),389.8)</f>
        <v>389.8</v>
      </c>
      <c r="AE123" s="177">
        <f>IFERROR(__xludf.DUMMYFUNCTION("""COMPUTED_VALUE"""),8.388123E7)</f>
        <v>83881230</v>
      </c>
      <c r="AF123" s="177">
        <f t="shared" si="3"/>
        <v>-0.09407335013</v>
      </c>
      <c r="AG123" s="177"/>
      <c r="AH123" s="177"/>
      <c r="AI123" s="189"/>
      <c r="AJ123" s="140"/>
      <c r="AK123" s="140"/>
      <c r="AL123" s="176">
        <f>IFERROR(__xludf.DUMMYFUNCTION("""COMPUTED_VALUE"""),45554.64583333333)</f>
        <v>45554.64583</v>
      </c>
      <c r="AM123" s="177">
        <f>IFERROR(__xludf.DUMMYFUNCTION("""COMPUTED_VALUE"""),4435.0)</f>
        <v>4435</v>
      </c>
      <c r="AN123" s="177">
        <f>IFERROR(__xludf.DUMMYFUNCTION("""COMPUTED_VALUE"""),4464.1)</f>
        <v>4464.1</v>
      </c>
      <c r="AO123" s="177">
        <f>IFERROR(__xludf.DUMMYFUNCTION("""COMPUTED_VALUE"""),4172.0)</f>
        <v>4172</v>
      </c>
      <c r="AP123" s="177">
        <f>IFERROR(__xludf.DUMMYFUNCTION("""COMPUTED_VALUE"""),4231.8)</f>
        <v>4231.8</v>
      </c>
      <c r="AQ123" s="177">
        <f>IFERROR(__xludf.DUMMYFUNCTION("""COMPUTED_VALUE"""),4675647.0)</f>
        <v>4675647</v>
      </c>
      <c r="AR123" s="177">
        <f t="shared" si="4"/>
        <v>-0.04749752259</v>
      </c>
      <c r="AS123" s="177"/>
      <c r="AT123" s="177"/>
      <c r="AU123" s="189"/>
      <c r="AV123" s="140"/>
      <c r="AW123" s="140"/>
      <c r="AX123" s="176">
        <f>IFERROR(__xludf.DUMMYFUNCTION("""COMPUTED_VALUE"""),45554.64583333333)</f>
        <v>45554.64583</v>
      </c>
      <c r="AY123" s="177">
        <f>IFERROR(__xludf.DUMMYFUNCTION("""COMPUTED_VALUE"""),510.0)</f>
        <v>510</v>
      </c>
      <c r="AZ123" s="177">
        <f>IFERROR(__xludf.DUMMYFUNCTION("""COMPUTED_VALUE"""),514.8)</f>
        <v>514.8</v>
      </c>
      <c r="BA123" s="177">
        <f>IFERROR(__xludf.DUMMYFUNCTION("""COMPUTED_VALUE"""),507.5)</f>
        <v>507.5</v>
      </c>
      <c r="BB123" s="177">
        <f>IFERROR(__xludf.DUMMYFUNCTION("""COMPUTED_VALUE"""),508.25)</f>
        <v>508.25</v>
      </c>
      <c r="BC123" s="177">
        <f>IFERROR(__xludf.DUMMYFUNCTION("""COMPUTED_VALUE"""),1.3925311E7)</f>
        <v>13925311</v>
      </c>
      <c r="BD123" s="177">
        <f t="shared" si="5"/>
        <v>0.001772351783</v>
      </c>
      <c r="BE123" s="177"/>
      <c r="BF123" s="177"/>
      <c r="BG123" s="189"/>
      <c r="BH123" s="140"/>
      <c r="BI123" s="140"/>
      <c r="BJ123" s="140"/>
      <c r="BK123" s="140"/>
      <c r="BL123" s="140"/>
      <c r="BM123" s="140"/>
      <c r="BN123" s="140"/>
      <c r="BO123" s="140"/>
      <c r="BP123" s="140"/>
      <c r="BQ123" s="140"/>
      <c r="BR123" s="140"/>
      <c r="BS123" s="140"/>
      <c r="BT123" s="140"/>
      <c r="BU123" s="140"/>
      <c r="BV123" s="140"/>
      <c r="BW123" s="140"/>
      <c r="BX123" s="140"/>
      <c r="BY123" s="140"/>
    </row>
    <row r="124" ht="15.75" customHeight="1">
      <c r="A124" s="168"/>
      <c r="B124" s="169">
        <v>45555.0</v>
      </c>
      <c r="C124" s="170">
        <v>6954.78</v>
      </c>
      <c r="D124" s="170">
        <v>7049.52</v>
      </c>
      <c r="E124" s="170">
        <v>6949.52</v>
      </c>
      <c r="F124" s="170">
        <v>7037.12</v>
      </c>
      <c r="G124" s="171" t="s">
        <v>238</v>
      </c>
      <c r="H124" s="172">
        <f t="shared" si="1"/>
        <v>0.01200851586</v>
      </c>
      <c r="I124" s="172"/>
      <c r="J124" s="172"/>
      <c r="K124" s="188"/>
      <c r="L124" s="140"/>
      <c r="M124" s="140"/>
      <c r="N124" s="176">
        <f>IFERROR(__xludf.DUMMYFUNCTION("""COMPUTED_VALUE"""),45555.64583333333)</f>
        <v>45555.64583</v>
      </c>
      <c r="O124" s="177">
        <f>IFERROR(__xludf.DUMMYFUNCTION("""COMPUTED_VALUE"""),1295.0)</f>
        <v>1295</v>
      </c>
      <c r="P124" s="177">
        <f>IFERROR(__xludf.DUMMYFUNCTION("""COMPUTED_VALUE"""),1362.35)</f>
        <v>1362.35</v>
      </c>
      <c r="Q124" s="177">
        <f>IFERROR(__xludf.DUMMYFUNCTION("""COMPUTED_VALUE"""),1291.55)</f>
        <v>1291.55</v>
      </c>
      <c r="R124" s="177">
        <f>IFERROR(__xludf.DUMMYFUNCTION("""COMPUTED_VALUE"""),1338.45)</f>
        <v>1338.45</v>
      </c>
      <c r="S124" s="177">
        <f>IFERROR(__xludf.DUMMYFUNCTION("""COMPUTED_VALUE"""),7.3257767E7)</f>
        <v>73257767</v>
      </c>
      <c r="T124" s="177">
        <f t="shared" si="2"/>
        <v>0.03532082267</v>
      </c>
      <c r="U124" s="178"/>
      <c r="V124" s="177"/>
      <c r="W124" s="189"/>
      <c r="X124" s="140"/>
      <c r="Y124" s="140"/>
      <c r="Z124" s="176">
        <f>IFERROR(__xludf.DUMMYFUNCTION("""COMPUTED_VALUE"""),45555.64583333333)</f>
        <v>45555.64583</v>
      </c>
      <c r="AA124" s="177">
        <f>IFERROR(__xludf.DUMMYFUNCTION("""COMPUTED_VALUE"""),393.0)</f>
        <v>393</v>
      </c>
      <c r="AB124" s="177">
        <f>IFERROR(__xludf.DUMMYFUNCTION("""COMPUTED_VALUE"""),397.4)</f>
        <v>397.4</v>
      </c>
      <c r="AC124" s="177">
        <f>IFERROR(__xludf.DUMMYFUNCTION("""COMPUTED_VALUE"""),378.75)</f>
        <v>378.75</v>
      </c>
      <c r="AD124" s="177">
        <f>IFERROR(__xludf.DUMMYFUNCTION("""COMPUTED_VALUE"""),388.25)</f>
        <v>388.25</v>
      </c>
      <c r="AE124" s="177">
        <f>IFERROR(__xludf.DUMMYFUNCTION("""COMPUTED_VALUE"""),4.6485982E7)</f>
        <v>46485982</v>
      </c>
      <c r="AF124" s="177">
        <f t="shared" si="3"/>
        <v>-0.003984325045</v>
      </c>
      <c r="AG124" s="177"/>
      <c r="AH124" s="177"/>
      <c r="AI124" s="189"/>
      <c r="AJ124" s="140"/>
      <c r="AK124" s="140"/>
      <c r="AL124" s="176">
        <f>IFERROR(__xludf.DUMMYFUNCTION("""COMPUTED_VALUE"""),45555.64583333333)</f>
        <v>45555.64583</v>
      </c>
      <c r="AM124" s="177">
        <f>IFERROR(__xludf.DUMMYFUNCTION("""COMPUTED_VALUE"""),4229.95)</f>
        <v>4229.95</v>
      </c>
      <c r="AN124" s="177">
        <f>IFERROR(__xludf.DUMMYFUNCTION("""COMPUTED_VALUE"""),4393.45)</f>
        <v>4393.45</v>
      </c>
      <c r="AO124" s="177">
        <f>IFERROR(__xludf.DUMMYFUNCTION("""COMPUTED_VALUE"""),4192.65)</f>
        <v>4192.65</v>
      </c>
      <c r="AP124" s="177">
        <f>IFERROR(__xludf.DUMMYFUNCTION("""COMPUTED_VALUE"""),4333.35)</f>
        <v>4333.35</v>
      </c>
      <c r="AQ124" s="177">
        <f>IFERROR(__xludf.DUMMYFUNCTION("""COMPUTED_VALUE"""),3502389.0)</f>
        <v>3502389</v>
      </c>
      <c r="AR124" s="177">
        <f t="shared" si="4"/>
        <v>0.02371348048</v>
      </c>
      <c r="AS124" s="177"/>
      <c r="AT124" s="177"/>
      <c r="AU124" s="189"/>
      <c r="AV124" s="140"/>
      <c r="AW124" s="140"/>
      <c r="AX124" s="176">
        <f>IFERROR(__xludf.DUMMYFUNCTION("""COMPUTED_VALUE"""),45555.64583333333)</f>
        <v>45555.64583</v>
      </c>
      <c r="AY124" s="177">
        <f>IFERROR(__xludf.DUMMYFUNCTION("""COMPUTED_VALUE"""),512.0)</f>
        <v>512</v>
      </c>
      <c r="AZ124" s="177">
        <f>IFERROR(__xludf.DUMMYFUNCTION("""COMPUTED_VALUE"""),517.35)</f>
        <v>517.35</v>
      </c>
      <c r="BA124" s="177">
        <f>IFERROR(__xludf.DUMMYFUNCTION("""COMPUTED_VALUE"""),508.0)</f>
        <v>508</v>
      </c>
      <c r="BB124" s="177">
        <f>IFERROR(__xludf.DUMMYFUNCTION("""COMPUTED_VALUE"""),514.4)</f>
        <v>514.4</v>
      </c>
      <c r="BC124" s="177">
        <f>IFERROR(__xludf.DUMMYFUNCTION("""COMPUTED_VALUE"""),2.3808194E7)</f>
        <v>23808194</v>
      </c>
      <c r="BD124" s="177">
        <f t="shared" si="5"/>
        <v>0.01202772041</v>
      </c>
      <c r="BE124" s="177"/>
      <c r="BF124" s="177"/>
      <c r="BG124" s="189"/>
      <c r="BH124" s="140"/>
      <c r="BI124" s="140"/>
      <c r="BJ124" s="140"/>
      <c r="BK124" s="140"/>
      <c r="BL124" s="140"/>
      <c r="BM124" s="140"/>
      <c r="BN124" s="140"/>
      <c r="BO124" s="140"/>
      <c r="BP124" s="140"/>
      <c r="BQ124" s="140"/>
      <c r="BR124" s="140"/>
      <c r="BS124" s="140"/>
      <c r="BT124" s="140"/>
      <c r="BU124" s="140"/>
      <c r="BV124" s="140"/>
      <c r="BW124" s="140"/>
      <c r="BX124" s="140"/>
      <c r="BY124" s="140"/>
    </row>
    <row r="125" ht="15.75" customHeight="1">
      <c r="A125" s="168"/>
      <c r="B125" s="169">
        <v>45558.0</v>
      </c>
      <c r="C125" s="170">
        <v>7037.52</v>
      </c>
      <c r="D125" s="170">
        <v>7080.78</v>
      </c>
      <c r="E125" s="170">
        <v>7018.78</v>
      </c>
      <c r="F125" s="170">
        <v>7055.12</v>
      </c>
      <c r="G125" s="171" t="s">
        <v>238</v>
      </c>
      <c r="H125" s="172">
        <f t="shared" si="1"/>
        <v>0.002554598813</v>
      </c>
      <c r="I125" s="172"/>
      <c r="J125" s="172"/>
      <c r="K125" s="188"/>
      <c r="L125" s="140"/>
      <c r="M125" s="140"/>
      <c r="N125" s="176">
        <f>IFERROR(__xludf.DUMMYFUNCTION("""COMPUTED_VALUE"""),45558.64583333333)</f>
        <v>45558.64583</v>
      </c>
      <c r="O125" s="177">
        <f>IFERROR(__xludf.DUMMYFUNCTION("""COMPUTED_VALUE"""),1331.0)</f>
        <v>1331</v>
      </c>
      <c r="P125" s="177">
        <f>IFERROR(__xludf.DUMMYFUNCTION("""COMPUTED_VALUE"""),1331.8)</f>
        <v>1331.8</v>
      </c>
      <c r="Q125" s="177">
        <f>IFERROR(__xludf.DUMMYFUNCTION("""COMPUTED_VALUE"""),1308.5)</f>
        <v>1308.5</v>
      </c>
      <c r="R125" s="177">
        <f>IFERROR(__xludf.DUMMYFUNCTION("""COMPUTED_VALUE"""),1321.9)</f>
        <v>1321.9</v>
      </c>
      <c r="S125" s="177">
        <f>IFERROR(__xludf.DUMMYFUNCTION("""COMPUTED_VALUE"""),1.1380409E7)</f>
        <v>11380409</v>
      </c>
      <c r="T125" s="177">
        <f t="shared" si="2"/>
        <v>-0.01244213243</v>
      </c>
      <c r="U125" s="178"/>
      <c r="V125" s="177"/>
      <c r="W125" s="189"/>
      <c r="X125" s="140"/>
      <c r="Y125" s="140"/>
      <c r="Z125" s="176">
        <f>IFERROR(__xludf.DUMMYFUNCTION("""COMPUTED_VALUE"""),45558.64583333333)</f>
        <v>45558.64583</v>
      </c>
      <c r="AA125" s="177">
        <f>IFERROR(__xludf.DUMMYFUNCTION("""COMPUTED_VALUE"""),399.9)</f>
        <v>399.9</v>
      </c>
      <c r="AB125" s="177">
        <f>IFERROR(__xludf.DUMMYFUNCTION("""COMPUTED_VALUE"""),412.6)</f>
        <v>412.6</v>
      </c>
      <c r="AC125" s="177">
        <f>IFERROR(__xludf.DUMMYFUNCTION("""COMPUTED_VALUE"""),397.1)</f>
        <v>397.1</v>
      </c>
      <c r="AD125" s="177">
        <f>IFERROR(__xludf.DUMMYFUNCTION("""COMPUTED_VALUE"""),403.7)</f>
        <v>403.7</v>
      </c>
      <c r="AE125" s="177">
        <f>IFERROR(__xludf.DUMMYFUNCTION("""COMPUTED_VALUE"""),2.7447906E7)</f>
        <v>27447906</v>
      </c>
      <c r="AF125" s="177">
        <f t="shared" si="3"/>
        <v>0.03902256583</v>
      </c>
      <c r="AG125" s="177"/>
      <c r="AH125" s="177"/>
      <c r="AI125" s="189"/>
      <c r="AJ125" s="140"/>
      <c r="AK125" s="140"/>
      <c r="AL125" s="176">
        <f>IFERROR(__xludf.DUMMYFUNCTION("""COMPUTED_VALUE"""),45558.64583333333)</f>
        <v>45558.64583</v>
      </c>
      <c r="AM125" s="177">
        <f>IFERROR(__xludf.DUMMYFUNCTION("""COMPUTED_VALUE"""),4370.0)</f>
        <v>4370</v>
      </c>
      <c r="AN125" s="177">
        <f>IFERROR(__xludf.DUMMYFUNCTION("""COMPUTED_VALUE"""),4460.8)</f>
        <v>4460.8</v>
      </c>
      <c r="AO125" s="177">
        <f>IFERROR(__xludf.DUMMYFUNCTION("""COMPUTED_VALUE"""),4354.0)</f>
        <v>4354</v>
      </c>
      <c r="AP125" s="177">
        <f>IFERROR(__xludf.DUMMYFUNCTION("""COMPUTED_VALUE"""),4437.95)</f>
        <v>4437.95</v>
      </c>
      <c r="AQ125" s="177">
        <f>IFERROR(__xludf.DUMMYFUNCTION("""COMPUTED_VALUE"""),1698571.0)</f>
        <v>1698571</v>
      </c>
      <c r="AR125" s="177">
        <f t="shared" si="4"/>
        <v>0.02385164317</v>
      </c>
      <c r="AS125" s="177"/>
      <c r="AT125" s="177"/>
      <c r="AU125" s="189"/>
      <c r="AV125" s="140"/>
      <c r="AW125" s="140"/>
      <c r="AX125" s="176">
        <f>IFERROR(__xludf.DUMMYFUNCTION("""COMPUTED_VALUE"""),45558.64583333333)</f>
        <v>45558.64583</v>
      </c>
      <c r="AY125" s="177">
        <f>IFERROR(__xludf.DUMMYFUNCTION("""COMPUTED_VALUE"""),515.45)</f>
        <v>515.45</v>
      </c>
      <c r="AZ125" s="177">
        <f>IFERROR(__xludf.DUMMYFUNCTION("""COMPUTED_VALUE"""),519.45)</f>
        <v>519.45</v>
      </c>
      <c r="BA125" s="177">
        <f>IFERROR(__xludf.DUMMYFUNCTION("""COMPUTED_VALUE"""),513.6)</f>
        <v>513.6</v>
      </c>
      <c r="BB125" s="177">
        <f>IFERROR(__xludf.DUMMYFUNCTION("""COMPUTED_VALUE"""),516.95)</f>
        <v>516.95</v>
      </c>
      <c r="BC125" s="177">
        <f>IFERROR(__xludf.DUMMYFUNCTION("""COMPUTED_VALUE"""),7804918.0)</f>
        <v>7804918</v>
      </c>
      <c r="BD125" s="177">
        <f t="shared" si="5"/>
        <v>0.004944985109</v>
      </c>
      <c r="BE125" s="177"/>
      <c r="BF125" s="177"/>
      <c r="BG125" s="189"/>
      <c r="BH125" s="140"/>
      <c r="BI125" s="140"/>
      <c r="BJ125" s="140"/>
      <c r="BK125" s="140"/>
      <c r="BL125" s="140"/>
      <c r="BM125" s="140"/>
      <c r="BN125" s="140"/>
      <c r="BO125" s="140"/>
      <c r="BP125" s="140"/>
      <c r="BQ125" s="140"/>
      <c r="BR125" s="140"/>
      <c r="BS125" s="140"/>
      <c r="BT125" s="140"/>
      <c r="BU125" s="140"/>
      <c r="BV125" s="140"/>
      <c r="BW125" s="140"/>
      <c r="BX125" s="140"/>
      <c r="BY125" s="140"/>
    </row>
    <row r="126" ht="15.75" customHeight="1">
      <c r="A126" s="168"/>
      <c r="B126" s="169">
        <v>45559.0</v>
      </c>
      <c r="C126" s="170">
        <v>7059.12</v>
      </c>
      <c r="D126" s="170">
        <v>7162.78</v>
      </c>
      <c r="E126" s="170">
        <v>7047.52</v>
      </c>
      <c r="F126" s="170">
        <v>7140.78</v>
      </c>
      <c r="G126" s="171" t="s">
        <v>238</v>
      </c>
      <c r="H126" s="172">
        <f t="shared" si="1"/>
        <v>0.01206841971</v>
      </c>
      <c r="I126" s="172"/>
      <c r="J126" s="172"/>
      <c r="K126" s="188"/>
      <c r="L126" s="140"/>
      <c r="M126" s="140"/>
      <c r="N126" s="176">
        <f>IFERROR(__xludf.DUMMYFUNCTION("""COMPUTED_VALUE"""),45559.64583333333)</f>
        <v>45559.64583</v>
      </c>
      <c r="O126" s="177">
        <f>IFERROR(__xludf.DUMMYFUNCTION("""COMPUTED_VALUE"""),1321.0)</f>
        <v>1321</v>
      </c>
      <c r="P126" s="177">
        <f>IFERROR(__xludf.DUMMYFUNCTION("""COMPUTED_VALUE"""),1331.4)</f>
        <v>1331.4</v>
      </c>
      <c r="Q126" s="177">
        <f>IFERROR(__xludf.DUMMYFUNCTION("""COMPUTED_VALUE"""),1315.45)</f>
        <v>1315.45</v>
      </c>
      <c r="R126" s="177">
        <f>IFERROR(__xludf.DUMMYFUNCTION("""COMPUTED_VALUE"""),1318.6)</f>
        <v>1318.6</v>
      </c>
      <c r="S126" s="177">
        <f>IFERROR(__xludf.DUMMYFUNCTION("""COMPUTED_VALUE"""),1.3886037E7)</f>
        <v>13886037</v>
      </c>
      <c r="T126" s="177">
        <f t="shared" si="2"/>
        <v>-0.002499527906</v>
      </c>
      <c r="U126" s="178"/>
      <c r="V126" s="177"/>
      <c r="W126" s="189"/>
      <c r="X126" s="140"/>
      <c r="Y126" s="140"/>
      <c r="Z126" s="176">
        <f>IFERROR(__xludf.DUMMYFUNCTION("""COMPUTED_VALUE"""),45559.64583333333)</f>
        <v>45559.64583</v>
      </c>
      <c r="AA126" s="177">
        <f>IFERROR(__xludf.DUMMYFUNCTION("""COMPUTED_VALUE"""),403.7)</f>
        <v>403.7</v>
      </c>
      <c r="AB126" s="177">
        <f>IFERROR(__xludf.DUMMYFUNCTION("""COMPUTED_VALUE"""),408.0)</f>
        <v>408</v>
      </c>
      <c r="AC126" s="177">
        <f>IFERROR(__xludf.DUMMYFUNCTION("""COMPUTED_VALUE"""),395.7)</f>
        <v>395.7</v>
      </c>
      <c r="AD126" s="177">
        <f>IFERROR(__xludf.DUMMYFUNCTION("""COMPUTED_VALUE"""),401.3)</f>
        <v>401.3</v>
      </c>
      <c r="AE126" s="177">
        <f>IFERROR(__xludf.DUMMYFUNCTION("""COMPUTED_VALUE"""),8767855.0)</f>
        <v>8767855</v>
      </c>
      <c r="AF126" s="177">
        <f t="shared" si="3"/>
        <v>-0.005962750586</v>
      </c>
      <c r="AG126" s="177"/>
      <c r="AH126" s="177"/>
      <c r="AI126" s="189"/>
      <c r="AJ126" s="140"/>
      <c r="AK126" s="140"/>
      <c r="AL126" s="176">
        <f>IFERROR(__xludf.DUMMYFUNCTION("""COMPUTED_VALUE"""),45559.64583333333)</f>
        <v>45559.64583</v>
      </c>
      <c r="AM126" s="177">
        <f>IFERROR(__xludf.DUMMYFUNCTION("""COMPUTED_VALUE"""),4437.95)</f>
        <v>4437.95</v>
      </c>
      <c r="AN126" s="177">
        <f>IFERROR(__xludf.DUMMYFUNCTION("""COMPUTED_VALUE"""),4444.0)</f>
        <v>4444</v>
      </c>
      <c r="AO126" s="177">
        <f>IFERROR(__xludf.DUMMYFUNCTION("""COMPUTED_VALUE"""),4362.0)</f>
        <v>4362</v>
      </c>
      <c r="AP126" s="177">
        <f>IFERROR(__xludf.DUMMYFUNCTION("""COMPUTED_VALUE"""),4402.45)</f>
        <v>4402.45</v>
      </c>
      <c r="AQ126" s="177">
        <f>IFERROR(__xludf.DUMMYFUNCTION("""COMPUTED_VALUE"""),1374111.0)</f>
        <v>1374111</v>
      </c>
      <c r="AR126" s="177">
        <f t="shared" si="4"/>
        <v>-0.00803135397</v>
      </c>
      <c r="AS126" s="177"/>
      <c r="AT126" s="177"/>
      <c r="AU126" s="189"/>
      <c r="AV126" s="140"/>
      <c r="AW126" s="140"/>
      <c r="AX126" s="176">
        <f>IFERROR(__xludf.DUMMYFUNCTION("""COMPUTED_VALUE"""),45559.64583333333)</f>
        <v>45559.64583</v>
      </c>
      <c r="AY126" s="177">
        <f>IFERROR(__xludf.DUMMYFUNCTION("""COMPUTED_VALUE"""),517.0)</f>
        <v>517</v>
      </c>
      <c r="AZ126" s="177">
        <f>IFERROR(__xludf.DUMMYFUNCTION("""COMPUTED_VALUE"""),517.8)</f>
        <v>517.8</v>
      </c>
      <c r="BA126" s="177">
        <f>IFERROR(__xludf.DUMMYFUNCTION("""COMPUTED_VALUE"""),514.15)</f>
        <v>514.15</v>
      </c>
      <c r="BB126" s="177">
        <f>IFERROR(__xludf.DUMMYFUNCTION("""COMPUTED_VALUE"""),515.25)</f>
        <v>515.25</v>
      </c>
      <c r="BC126" s="177">
        <f>IFERROR(__xludf.DUMMYFUNCTION("""COMPUTED_VALUE"""),6755320.0)</f>
        <v>6755320</v>
      </c>
      <c r="BD126" s="177">
        <f t="shared" si="5"/>
        <v>-0.003293938262</v>
      </c>
      <c r="BE126" s="177"/>
      <c r="BF126" s="177"/>
      <c r="BG126" s="189"/>
      <c r="BH126" s="140"/>
      <c r="BI126" s="140"/>
      <c r="BJ126" s="140"/>
      <c r="BK126" s="140"/>
      <c r="BL126" s="140"/>
      <c r="BM126" s="140"/>
      <c r="BN126" s="140"/>
      <c r="BO126" s="140"/>
      <c r="BP126" s="140"/>
      <c r="BQ126" s="140"/>
      <c r="BR126" s="140"/>
      <c r="BS126" s="140"/>
      <c r="BT126" s="140"/>
      <c r="BU126" s="140"/>
      <c r="BV126" s="140"/>
      <c r="BW126" s="140"/>
      <c r="BX126" s="140"/>
      <c r="BY126" s="140"/>
    </row>
    <row r="127" ht="15.75" customHeight="1">
      <c r="A127" s="168"/>
      <c r="B127" s="169">
        <v>45560.0</v>
      </c>
      <c r="C127" s="170">
        <v>7143.12</v>
      </c>
      <c r="D127" s="170">
        <v>7177.12</v>
      </c>
      <c r="E127" s="170">
        <v>7122.12</v>
      </c>
      <c r="F127" s="170">
        <v>7141.12</v>
      </c>
      <c r="G127" s="171" t="s">
        <v>238</v>
      </c>
      <c r="H127" s="172">
        <f t="shared" si="1"/>
        <v>0.0000476127126</v>
      </c>
      <c r="I127" s="172"/>
      <c r="J127" s="172"/>
      <c r="K127" s="188"/>
      <c r="L127" s="140"/>
      <c r="M127" s="140"/>
      <c r="N127" s="176">
        <f>IFERROR(__xludf.DUMMYFUNCTION("""COMPUTED_VALUE"""),45560.64583333333)</f>
        <v>45560.64583</v>
      </c>
      <c r="O127" s="177">
        <f>IFERROR(__xludf.DUMMYFUNCTION("""COMPUTED_VALUE"""),1310.75)</f>
        <v>1310.75</v>
      </c>
      <c r="P127" s="177">
        <f>IFERROR(__xludf.DUMMYFUNCTION("""COMPUTED_VALUE"""),1327.75)</f>
        <v>1327.75</v>
      </c>
      <c r="Q127" s="177">
        <f>IFERROR(__xludf.DUMMYFUNCTION("""COMPUTED_VALUE"""),1310.1)</f>
        <v>1310.1</v>
      </c>
      <c r="R127" s="177">
        <f>IFERROR(__xludf.DUMMYFUNCTION("""COMPUTED_VALUE"""),1323.85)</f>
        <v>1323.85</v>
      </c>
      <c r="S127" s="177">
        <f>IFERROR(__xludf.DUMMYFUNCTION("""COMPUTED_VALUE"""),8728019.0)</f>
        <v>8728019</v>
      </c>
      <c r="T127" s="177">
        <f t="shared" si="2"/>
        <v>0.003973590348</v>
      </c>
      <c r="U127" s="178"/>
      <c r="V127" s="177"/>
      <c r="W127" s="189"/>
      <c r="X127" s="140"/>
      <c r="Y127" s="140"/>
      <c r="Z127" s="176">
        <f>IFERROR(__xludf.DUMMYFUNCTION("""COMPUTED_VALUE"""),45560.64583333333)</f>
        <v>45560.64583</v>
      </c>
      <c r="AA127" s="177">
        <f>IFERROR(__xludf.DUMMYFUNCTION("""COMPUTED_VALUE"""),401.0)</f>
        <v>401</v>
      </c>
      <c r="AB127" s="177">
        <f>IFERROR(__xludf.DUMMYFUNCTION("""COMPUTED_VALUE"""),401.15)</f>
        <v>401.15</v>
      </c>
      <c r="AC127" s="177">
        <f>IFERROR(__xludf.DUMMYFUNCTION("""COMPUTED_VALUE"""),385.05)</f>
        <v>385.05</v>
      </c>
      <c r="AD127" s="177">
        <f>IFERROR(__xludf.DUMMYFUNCTION("""COMPUTED_VALUE"""),391.15)</f>
        <v>391.15</v>
      </c>
      <c r="AE127" s="177">
        <f>IFERROR(__xludf.DUMMYFUNCTION("""COMPUTED_VALUE"""),1.2185928E7)</f>
        <v>12185928</v>
      </c>
      <c r="AF127" s="177">
        <f t="shared" si="3"/>
        <v>-0.02561815914</v>
      </c>
      <c r="AG127" s="177"/>
      <c r="AH127" s="177"/>
      <c r="AI127" s="189"/>
      <c r="AJ127" s="140"/>
      <c r="AK127" s="140"/>
      <c r="AL127" s="176">
        <f>IFERROR(__xludf.DUMMYFUNCTION("""COMPUTED_VALUE"""),45560.64583333333)</f>
        <v>45560.64583</v>
      </c>
      <c r="AM127" s="177">
        <f>IFERROR(__xludf.DUMMYFUNCTION("""COMPUTED_VALUE"""),4399.95)</f>
        <v>4399.95</v>
      </c>
      <c r="AN127" s="177">
        <f>IFERROR(__xludf.DUMMYFUNCTION("""COMPUTED_VALUE"""),4440.0)</f>
        <v>4440</v>
      </c>
      <c r="AO127" s="177">
        <f>IFERROR(__xludf.DUMMYFUNCTION("""COMPUTED_VALUE"""),4372.55)</f>
        <v>4372.55</v>
      </c>
      <c r="AP127" s="177">
        <f>IFERROR(__xludf.DUMMYFUNCTION("""COMPUTED_VALUE"""),4389.25)</f>
        <v>4389.25</v>
      </c>
      <c r="AQ127" s="177">
        <f>IFERROR(__xludf.DUMMYFUNCTION("""COMPUTED_VALUE"""),1032339.0)</f>
        <v>1032339</v>
      </c>
      <c r="AR127" s="177">
        <f t="shared" si="4"/>
        <v>-0.003002834473</v>
      </c>
      <c r="AS127" s="177"/>
      <c r="AT127" s="177"/>
      <c r="AU127" s="189"/>
      <c r="AV127" s="140"/>
      <c r="AW127" s="140"/>
      <c r="AX127" s="176">
        <f>IFERROR(__xludf.DUMMYFUNCTION("""COMPUTED_VALUE"""),45560.64583333333)</f>
        <v>45560.64583</v>
      </c>
      <c r="AY127" s="177">
        <f>IFERROR(__xludf.DUMMYFUNCTION("""COMPUTED_VALUE"""),515.5)</f>
        <v>515.5</v>
      </c>
      <c r="AZ127" s="177">
        <f>IFERROR(__xludf.DUMMYFUNCTION("""COMPUTED_VALUE"""),519.3)</f>
        <v>519.3</v>
      </c>
      <c r="BA127" s="177">
        <f>IFERROR(__xludf.DUMMYFUNCTION("""COMPUTED_VALUE"""),512.3)</f>
        <v>512.3</v>
      </c>
      <c r="BB127" s="177">
        <f>IFERROR(__xludf.DUMMYFUNCTION("""COMPUTED_VALUE"""),517.55)</f>
        <v>517.55</v>
      </c>
      <c r="BC127" s="177">
        <f>IFERROR(__xludf.DUMMYFUNCTION("""COMPUTED_VALUE"""),8476223.0)</f>
        <v>8476223</v>
      </c>
      <c r="BD127" s="177">
        <f t="shared" si="5"/>
        <v>0.004453919059</v>
      </c>
      <c r="BE127" s="177"/>
      <c r="BF127" s="177"/>
      <c r="BG127" s="189"/>
      <c r="BH127" s="140"/>
      <c r="BI127" s="140"/>
      <c r="BJ127" s="140"/>
      <c r="BK127" s="140"/>
      <c r="BL127" s="140"/>
      <c r="BM127" s="140"/>
      <c r="BN127" s="140"/>
      <c r="BO127" s="140"/>
      <c r="BP127" s="140"/>
      <c r="BQ127" s="140"/>
      <c r="BR127" s="140"/>
      <c r="BS127" s="140"/>
      <c r="BT127" s="140"/>
      <c r="BU127" s="140"/>
      <c r="BV127" s="140"/>
      <c r="BW127" s="140"/>
      <c r="BX127" s="140"/>
      <c r="BY127" s="140"/>
    </row>
    <row r="128" ht="15.75" customHeight="1">
      <c r="A128" s="168"/>
      <c r="B128" s="169">
        <v>45561.0</v>
      </c>
      <c r="C128" s="170">
        <v>7142.78</v>
      </c>
      <c r="D128" s="170">
        <v>7220.12</v>
      </c>
      <c r="E128" s="170">
        <v>7137.52</v>
      </c>
      <c r="F128" s="170">
        <v>7182.12</v>
      </c>
      <c r="G128" s="171" t="s">
        <v>238</v>
      </c>
      <c r="H128" s="172">
        <f t="shared" si="1"/>
        <v>0.005724977307</v>
      </c>
      <c r="I128" s="172"/>
      <c r="J128" s="172"/>
      <c r="K128" s="188"/>
      <c r="L128" s="140"/>
      <c r="M128" s="140"/>
      <c r="N128" s="176">
        <f>IFERROR(__xludf.DUMMYFUNCTION("""COMPUTED_VALUE"""),45561.64583333333)</f>
        <v>45561.64583</v>
      </c>
      <c r="O128" s="177">
        <f>IFERROR(__xludf.DUMMYFUNCTION("""COMPUTED_VALUE"""),1320.0)</f>
        <v>1320</v>
      </c>
      <c r="P128" s="177">
        <f>IFERROR(__xludf.DUMMYFUNCTION("""COMPUTED_VALUE"""),1333.35)</f>
        <v>1333.35</v>
      </c>
      <c r="Q128" s="177">
        <f>IFERROR(__xludf.DUMMYFUNCTION("""COMPUTED_VALUE"""),1316.9)</f>
        <v>1316.9</v>
      </c>
      <c r="R128" s="177">
        <f>IFERROR(__xludf.DUMMYFUNCTION("""COMPUTED_VALUE"""),1329.05)</f>
        <v>1329.05</v>
      </c>
      <c r="S128" s="177">
        <f>IFERROR(__xludf.DUMMYFUNCTION("""COMPUTED_VALUE"""),1.1100869E7)</f>
        <v>11100869</v>
      </c>
      <c r="T128" s="177">
        <f t="shared" si="2"/>
        <v>0.00392024325</v>
      </c>
      <c r="U128" s="178"/>
      <c r="V128" s="177"/>
      <c r="W128" s="189"/>
      <c r="X128" s="140"/>
      <c r="Y128" s="140"/>
      <c r="Z128" s="176">
        <f>IFERROR(__xludf.DUMMYFUNCTION("""COMPUTED_VALUE"""),45561.64583333333)</f>
        <v>45561.64583</v>
      </c>
      <c r="AA128" s="177">
        <f>IFERROR(__xludf.DUMMYFUNCTION("""COMPUTED_VALUE"""),390.55)</f>
        <v>390.55</v>
      </c>
      <c r="AB128" s="177">
        <f>IFERROR(__xludf.DUMMYFUNCTION("""COMPUTED_VALUE"""),395.35)</f>
        <v>395.35</v>
      </c>
      <c r="AC128" s="177">
        <f>IFERROR(__xludf.DUMMYFUNCTION("""COMPUTED_VALUE"""),387.4)</f>
        <v>387.4</v>
      </c>
      <c r="AD128" s="177">
        <f>IFERROR(__xludf.DUMMYFUNCTION("""COMPUTED_VALUE"""),393.75)</f>
        <v>393.75</v>
      </c>
      <c r="AE128" s="177">
        <f>IFERROR(__xludf.DUMMYFUNCTION("""COMPUTED_VALUE"""),1.0843976E7)</f>
        <v>10843976</v>
      </c>
      <c r="AF128" s="177">
        <f t="shared" si="3"/>
        <v>0.006625072009</v>
      </c>
      <c r="AG128" s="177"/>
      <c r="AH128" s="177"/>
      <c r="AI128" s="189"/>
      <c r="AJ128" s="140"/>
      <c r="AK128" s="140"/>
      <c r="AL128" s="176">
        <f>IFERROR(__xludf.DUMMYFUNCTION("""COMPUTED_VALUE"""),45561.64583333333)</f>
        <v>45561.64583</v>
      </c>
      <c r="AM128" s="177">
        <f>IFERROR(__xludf.DUMMYFUNCTION("""COMPUTED_VALUE"""),4390.95)</f>
        <v>4390.95</v>
      </c>
      <c r="AN128" s="177">
        <f>IFERROR(__xludf.DUMMYFUNCTION("""COMPUTED_VALUE"""),4405.0)</f>
        <v>4405</v>
      </c>
      <c r="AO128" s="177">
        <f>IFERROR(__xludf.DUMMYFUNCTION("""COMPUTED_VALUE"""),4318.0)</f>
        <v>4318</v>
      </c>
      <c r="AP128" s="177">
        <f>IFERROR(__xludf.DUMMYFUNCTION("""COMPUTED_VALUE"""),4369.3)</f>
        <v>4369.3</v>
      </c>
      <c r="AQ128" s="177">
        <f>IFERROR(__xludf.DUMMYFUNCTION("""COMPUTED_VALUE"""),995154.0)</f>
        <v>995154</v>
      </c>
      <c r="AR128" s="177">
        <f t="shared" si="4"/>
        <v>-0.004555556457</v>
      </c>
      <c r="AS128" s="177"/>
      <c r="AT128" s="177"/>
      <c r="AU128" s="189"/>
      <c r="AV128" s="140"/>
      <c r="AW128" s="140"/>
      <c r="AX128" s="176">
        <f>IFERROR(__xludf.DUMMYFUNCTION("""COMPUTED_VALUE"""),45561.64583333333)</f>
        <v>45561.64583</v>
      </c>
      <c r="AY128" s="177">
        <f>IFERROR(__xludf.DUMMYFUNCTION("""COMPUTED_VALUE"""),517.65)</f>
        <v>517.65</v>
      </c>
      <c r="AZ128" s="177">
        <f>IFERROR(__xludf.DUMMYFUNCTION("""COMPUTED_VALUE"""),523.75)</f>
        <v>523.75</v>
      </c>
      <c r="BA128" s="177">
        <f>IFERROR(__xludf.DUMMYFUNCTION("""COMPUTED_VALUE"""),517.0)</f>
        <v>517</v>
      </c>
      <c r="BB128" s="177">
        <f>IFERROR(__xludf.DUMMYFUNCTION("""COMPUTED_VALUE"""),522.75)</f>
        <v>522.75</v>
      </c>
      <c r="BC128" s="177">
        <f>IFERROR(__xludf.DUMMYFUNCTION("""COMPUTED_VALUE"""),1.5489991E7)</f>
        <v>15489991</v>
      </c>
      <c r="BD128" s="177">
        <f t="shared" si="5"/>
        <v>0.009997199479</v>
      </c>
      <c r="BE128" s="177"/>
      <c r="BF128" s="177"/>
      <c r="BG128" s="189"/>
      <c r="BH128" s="140"/>
      <c r="BI128" s="140"/>
      <c r="BJ128" s="140"/>
      <c r="BK128" s="140"/>
      <c r="BL128" s="140"/>
      <c r="BM128" s="140"/>
      <c r="BN128" s="140"/>
      <c r="BO128" s="140"/>
      <c r="BP128" s="140"/>
      <c r="BQ128" s="140"/>
      <c r="BR128" s="140"/>
      <c r="BS128" s="140"/>
      <c r="BT128" s="140"/>
      <c r="BU128" s="140"/>
      <c r="BV128" s="140"/>
      <c r="BW128" s="140"/>
      <c r="BX128" s="140"/>
      <c r="BY128" s="140"/>
    </row>
    <row r="129" ht="15.75" customHeight="1">
      <c r="A129" s="168"/>
      <c r="B129" s="169">
        <v>45562.0</v>
      </c>
      <c r="C129" s="170">
        <v>7185.12</v>
      </c>
      <c r="D129" s="170">
        <v>7193.12</v>
      </c>
      <c r="E129" s="170">
        <v>7114.12</v>
      </c>
      <c r="F129" s="170">
        <v>7153.12</v>
      </c>
      <c r="G129" s="171" t="s">
        <v>238</v>
      </c>
      <c r="H129" s="172">
        <f t="shared" si="1"/>
        <v>-0.004045978939</v>
      </c>
      <c r="I129" s="172"/>
      <c r="J129" s="172"/>
      <c r="K129" s="188"/>
      <c r="L129" s="140"/>
      <c r="M129" s="140"/>
      <c r="N129" s="176">
        <f>IFERROR(__xludf.DUMMYFUNCTION("""COMPUTED_VALUE"""),45562.64583333333)</f>
        <v>45562.64583</v>
      </c>
      <c r="O129" s="177">
        <f>IFERROR(__xludf.DUMMYFUNCTION("""COMPUTED_VALUE"""),1333.0)</f>
        <v>1333</v>
      </c>
      <c r="P129" s="177">
        <f>IFERROR(__xludf.DUMMYFUNCTION("""COMPUTED_VALUE"""),1333.0)</f>
        <v>1333</v>
      </c>
      <c r="Q129" s="177">
        <f>IFERROR(__xludf.DUMMYFUNCTION("""COMPUTED_VALUE"""),1303.85)</f>
        <v>1303.85</v>
      </c>
      <c r="R129" s="177">
        <f>IFERROR(__xludf.DUMMYFUNCTION("""COMPUTED_VALUE"""),1306.6)</f>
        <v>1306.6</v>
      </c>
      <c r="S129" s="177">
        <f>IFERROR(__xludf.DUMMYFUNCTION("""COMPUTED_VALUE"""),1.7117379E7)</f>
        <v>17117379</v>
      </c>
      <c r="T129" s="177">
        <f t="shared" si="2"/>
        <v>-0.01703605787</v>
      </c>
      <c r="U129" s="178"/>
      <c r="V129" s="177"/>
      <c r="W129" s="189"/>
      <c r="X129" s="140"/>
      <c r="Y129" s="140"/>
      <c r="Z129" s="176">
        <f>IFERROR(__xludf.DUMMYFUNCTION("""COMPUTED_VALUE"""),45562.64583333333)</f>
        <v>45562.64583</v>
      </c>
      <c r="AA129" s="177">
        <f>IFERROR(__xludf.DUMMYFUNCTION("""COMPUTED_VALUE"""),392.55)</f>
        <v>392.55</v>
      </c>
      <c r="AB129" s="177">
        <f>IFERROR(__xludf.DUMMYFUNCTION("""COMPUTED_VALUE"""),395.65)</f>
        <v>395.65</v>
      </c>
      <c r="AC129" s="177">
        <f>IFERROR(__xludf.DUMMYFUNCTION("""COMPUTED_VALUE"""),389.25)</f>
        <v>389.25</v>
      </c>
      <c r="AD129" s="177">
        <f>IFERROR(__xludf.DUMMYFUNCTION("""COMPUTED_VALUE"""),392.4)</f>
        <v>392.4</v>
      </c>
      <c r="AE129" s="177">
        <f>IFERROR(__xludf.DUMMYFUNCTION("""COMPUTED_VALUE"""),8263851.0)</f>
        <v>8263851</v>
      </c>
      <c r="AF129" s="177">
        <f t="shared" si="3"/>
        <v>-0.003434462449</v>
      </c>
      <c r="AG129" s="177"/>
      <c r="AH129" s="177"/>
      <c r="AI129" s="189"/>
      <c r="AJ129" s="140"/>
      <c r="AK129" s="140"/>
      <c r="AL129" s="176">
        <f>IFERROR(__xludf.DUMMYFUNCTION("""COMPUTED_VALUE"""),45562.64583333333)</f>
        <v>45562.64583</v>
      </c>
      <c r="AM129" s="177">
        <f>IFERROR(__xludf.DUMMYFUNCTION("""COMPUTED_VALUE"""),4391.05)</f>
        <v>4391.05</v>
      </c>
      <c r="AN129" s="177">
        <f>IFERROR(__xludf.DUMMYFUNCTION("""COMPUTED_VALUE"""),4484.35)</f>
        <v>4484.35</v>
      </c>
      <c r="AO129" s="177">
        <f>IFERROR(__xludf.DUMMYFUNCTION("""COMPUTED_VALUE"""),4374.45)</f>
        <v>4374.45</v>
      </c>
      <c r="AP129" s="177">
        <f>IFERROR(__xludf.DUMMYFUNCTION("""COMPUTED_VALUE"""),4474.15)</f>
        <v>4474.15</v>
      </c>
      <c r="AQ129" s="177">
        <f>IFERROR(__xludf.DUMMYFUNCTION("""COMPUTED_VALUE"""),2193012.0)</f>
        <v>2193012</v>
      </c>
      <c r="AR129" s="177">
        <f t="shared" si="4"/>
        <v>0.02371357634</v>
      </c>
      <c r="AS129" s="177"/>
      <c r="AT129" s="177"/>
      <c r="AU129" s="189"/>
      <c r="AV129" s="140"/>
      <c r="AW129" s="140"/>
      <c r="AX129" s="176">
        <f>IFERROR(__xludf.DUMMYFUNCTION("""COMPUTED_VALUE"""),45562.64583333333)</f>
        <v>45562.64583</v>
      </c>
      <c r="AY129" s="177">
        <f>IFERROR(__xludf.DUMMYFUNCTION("""COMPUTED_VALUE"""),520.25)</f>
        <v>520.25</v>
      </c>
      <c r="AZ129" s="177">
        <f>IFERROR(__xludf.DUMMYFUNCTION("""COMPUTED_VALUE"""),528.5)</f>
        <v>528.5</v>
      </c>
      <c r="BA129" s="177">
        <f>IFERROR(__xludf.DUMMYFUNCTION("""COMPUTED_VALUE"""),520.25)</f>
        <v>520.25</v>
      </c>
      <c r="BB129" s="177">
        <f>IFERROR(__xludf.DUMMYFUNCTION("""COMPUTED_VALUE"""),522.7)</f>
        <v>522.7</v>
      </c>
      <c r="BC129" s="177">
        <f>IFERROR(__xludf.DUMMYFUNCTION("""COMPUTED_VALUE"""),1.7251962E7)</f>
        <v>17251962</v>
      </c>
      <c r="BD129" s="177">
        <f t="shared" si="5"/>
        <v>-0.00009565258987</v>
      </c>
      <c r="BE129" s="177"/>
      <c r="BF129" s="177"/>
      <c r="BG129" s="189"/>
      <c r="BH129" s="140"/>
      <c r="BI129" s="140"/>
      <c r="BJ129" s="140"/>
      <c r="BK129" s="140"/>
      <c r="BL129" s="140"/>
      <c r="BM129" s="140"/>
      <c r="BN129" s="140"/>
      <c r="BO129" s="140"/>
      <c r="BP129" s="140"/>
      <c r="BQ129" s="140"/>
      <c r="BR129" s="140"/>
      <c r="BS129" s="140"/>
      <c r="BT129" s="140"/>
      <c r="BU129" s="140"/>
      <c r="BV129" s="140"/>
      <c r="BW129" s="140"/>
      <c r="BX129" s="140"/>
      <c r="BY129" s="140"/>
    </row>
    <row r="130" ht="15.75" customHeight="1">
      <c r="A130" s="168"/>
      <c r="B130" s="169">
        <v>45565.0</v>
      </c>
      <c r="C130" s="170">
        <v>7154.78</v>
      </c>
      <c r="D130" s="170">
        <v>7176.12</v>
      </c>
      <c r="E130" s="170">
        <v>7069.52</v>
      </c>
      <c r="F130" s="170">
        <v>7093.12</v>
      </c>
      <c r="G130" s="171" t="s">
        <v>238</v>
      </c>
      <c r="H130" s="172">
        <f t="shared" si="1"/>
        <v>-0.008423324998</v>
      </c>
      <c r="I130" s="172"/>
      <c r="J130" s="172"/>
      <c r="K130" s="188"/>
      <c r="L130" s="140"/>
      <c r="M130" s="140"/>
      <c r="N130" s="176">
        <f>IFERROR(__xludf.DUMMYFUNCTION("""COMPUTED_VALUE"""),45565.64583333333)</f>
        <v>45565.64583</v>
      </c>
      <c r="O130" s="177">
        <f>IFERROR(__xludf.DUMMYFUNCTION("""COMPUTED_VALUE"""),1292.1)</f>
        <v>1292.1</v>
      </c>
      <c r="P130" s="177">
        <f>IFERROR(__xludf.DUMMYFUNCTION("""COMPUTED_VALUE"""),1296.8)</f>
        <v>1296.8</v>
      </c>
      <c r="Q130" s="177">
        <f>IFERROR(__xludf.DUMMYFUNCTION("""COMPUTED_VALUE"""),1270.9)</f>
        <v>1270.9</v>
      </c>
      <c r="R130" s="177">
        <f>IFERROR(__xludf.DUMMYFUNCTION("""COMPUTED_VALUE"""),1273.0)</f>
        <v>1273</v>
      </c>
      <c r="S130" s="177">
        <f>IFERROR(__xludf.DUMMYFUNCTION("""COMPUTED_VALUE"""),1.2622212E7)</f>
        <v>12622212</v>
      </c>
      <c r="T130" s="177">
        <f t="shared" si="2"/>
        <v>-0.02605202385</v>
      </c>
      <c r="U130" s="178"/>
      <c r="V130" s="177"/>
      <c r="W130" s="189"/>
      <c r="X130" s="140"/>
      <c r="Y130" s="140"/>
      <c r="Z130" s="176">
        <f>IFERROR(__xludf.DUMMYFUNCTION("""COMPUTED_VALUE"""),45565.64583333333)</f>
        <v>45565.64583</v>
      </c>
      <c r="AA130" s="177">
        <f>IFERROR(__xludf.DUMMYFUNCTION("""COMPUTED_VALUE"""),391.65)</f>
        <v>391.65</v>
      </c>
      <c r="AB130" s="177">
        <f>IFERROR(__xludf.DUMMYFUNCTION("""COMPUTED_VALUE"""),393.4)</f>
        <v>393.4</v>
      </c>
      <c r="AC130" s="177">
        <f>IFERROR(__xludf.DUMMYFUNCTION("""COMPUTED_VALUE"""),385.4)</f>
        <v>385.4</v>
      </c>
      <c r="AD130" s="177">
        <f>IFERROR(__xludf.DUMMYFUNCTION("""COMPUTED_VALUE"""),392.55)</f>
        <v>392.55</v>
      </c>
      <c r="AE130" s="177">
        <f>IFERROR(__xludf.DUMMYFUNCTION("""COMPUTED_VALUE"""),9678928.0)</f>
        <v>9678928</v>
      </c>
      <c r="AF130" s="177">
        <f t="shared" si="3"/>
        <v>0.0003821899531</v>
      </c>
      <c r="AG130" s="177"/>
      <c r="AH130" s="177"/>
      <c r="AI130" s="189"/>
      <c r="AJ130" s="140"/>
      <c r="AK130" s="140"/>
      <c r="AL130" s="176">
        <f>IFERROR(__xludf.DUMMYFUNCTION("""COMPUTED_VALUE"""),45565.64583333333)</f>
        <v>45565.64583</v>
      </c>
      <c r="AM130" s="177">
        <f>IFERROR(__xludf.DUMMYFUNCTION("""COMPUTED_VALUE"""),4460.0)</f>
        <v>4460</v>
      </c>
      <c r="AN130" s="177">
        <f>IFERROR(__xludf.DUMMYFUNCTION("""COMPUTED_VALUE"""),4463.0)</f>
        <v>4463</v>
      </c>
      <c r="AO130" s="177">
        <f>IFERROR(__xludf.DUMMYFUNCTION("""COMPUTED_VALUE"""),4385.0)</f>
        <v>4385</v>
      </c>
      <c r="AP130" s="177">
        <f>IFERROR(__xludf.DUMMYFUNCTION("""COMPUTED_VALUE"""),4420.65)</f>
        <v>4420.65</v>
      </c>
      <c r="AQ130" s="177">
        <f>IFERROR(__xludf.DUMMYFUNCTION("""COMPUTED_VALUE"""),1327395.0)</f>
        <v>1327395</v>
      </c>
      <c r="AR130" s="177">
        <f t="shared" si="4"/>
        <v>-0.01202964545</v>
      </c>
      <c r="AS130" s="177"/>
      <c r="AT130" s="177"/>
      <c r="AU130" s="189"/>
      <c r="AV130" s="140"/>
      <c r="AW130" s="140"/>
      <c r="AX130" s="176">
        <f>IFERROR(__xludf.DUMMYFUNCTION("""COMPUTED_VALUE"""),45565.64583333333)</f>
        <v>45565.64583</v>
      </c>
      <c r="AY130" s="177">
        <f>IFERROR(__xludf.DUMMYFUNCTION("""COMPUTED_VALUE"""),520.6)</f>
        <v>520.6</v>
      </c>
      <c r="AZ130" s="177">
        <f>IFERROR(__xludf.DUMMYFUNCTION("""COMPUTED_VALUE"""),524.35)</f>
        <v>524.35</v>
      </c>
      <c r="BA130" s="177">
        <f>IFERROR(__xludf.DUMMYFUNCTION("""COMPUTED_VALUE"""),514.05)</f>
        <v>514.05</v>
      </c>
      <c r="BB130" s="177">
        <f>IFERROR(__xludf.DUMMYFUNCTION("""COMPUTED_VALUE"""),518.15)</f>
        <v>518.15</v>
      </c>
      <c r="BC130" s="177">
        <f>IFERROR(__xludf.DUMMYFUNCTION("""COMPUTED_VALUE"""),1.0531347E7)</f>
        <v>10531347</v>
      </c>
      <c r="BD130" s="177">
        <f t="shared" si="5"/>
        <v>-0.008742910089</v>
      </c>
      <c r="BE130" s="177"/>
      <c r="BF130" s="177"/>
      <c r="BG130" s="189"/>
      <c r="BH130" s="140"/>
      <c r="BI130" s="140"/>
      <c r="BJ130" s="140"/>
      <c r="BK130" s="140"/>
      <c r="BL130" s="140"/>
      <c r="BM130" s="140"/>
      <c r="BN130" s="140"/>
      <c r="BO130" s="140"/>
      <c r="BP130" s="140"/>
      <c r="BQ130" s="140"/>
      <c r="BR130" s="140"/>
      <c r="BS130" s="140"/>
      <c r="BT130" s="140"/>
      <c r="BU130" s="140"/>
      <c r="BV130" s="140"/>
      <c r="BW130" s="140"/>
      <c r="BX130" s="140"/>
      <c r="BY130" s="140"/>
    </row>
    <row r="131" ht="15.75" customHeight="1">
      <c r="A131" s="168"/>
      <c r="B131" s="169">
        <v>45566.0</v>
      </c>
      <c r="C131" s="170">
        <v>7097.12</v>
      </c>
      <c r="D131" s="170">
        <v>7214.12</v>
      </c>
      <c r="E131" s="170">
        <v>7091.52</v>
      </c>
      <c r="F131" s="170">
        <v>7181.12</v>
      </c>
      <c r="G131" s="171" t="s">
        <v>238</v>
      </c>
      <c r="H131" s="172">
        <f t="shared" si="1"/>
        <v>0.01233005959</v>
      </c>
      <c r="I131" s="172"/>
      <c r="J131" s="172"/>
      <c r="K131" s="188"/>
      <c r="L131" s="140"/>
      <c r="M131" s="140"/>
      <c r="N131" s="176">
        <f>IFERROR(__xludf.DUMMYFUNCTION("""COMPUTED_VALUE"""),45566.64583333333)</f>
        <v>45566.64583</v>
      </c>
      <c r="O131" s="177">
        <f>IFERROR(__xludf.DUMMYFUNCTION("""COMPUTED_VALUE"""),1269.8)</f>
        <v>1269.8</v>
      </c>
      <c r="P131" s="177">
        <f>IFERROR(__xludf.DUMMYFUNCTION("""COMPUTED_VALUE"""),1280.25)</f>
        <v>1280.25</v>
      </c>
      <c r="Q131" s="177">
        <f>IFERROR(__xludf.DUMMYFUNCTION("""COMPUTED_VALUE"""),1267.6)</f>
        <v>1267.6</v>
      </c>
      <c r="R131" s="177">
        <f>IFERROR(__xludf.DUMMYFUNCTION("""COMPUTED_VALUE"""),1274.4)</f>
        <v>1274.4</v>
      </c>
      <c r="S131" s="177">
        <f>IFERROR(__xludf.DUMMYFUNCTION("""COMPUTED_VALUE"""),1.0972413E7)</f>
        <v>10972413</v>
      </c>
      <c r="T131" s="177">
        <f t="shared" si="2"/>
        <v>0.001099160038</v>
      </c>
      <c r="U131" s="178"/>
      <c r="V131" s="177"/>
      <c r="W131" s="189"/>
      <c r="X131" s="140"/>
      <c r="Y131" s="140"/>
      <c r="Z131" s="176">
        <f>IFERROR(__xludf.DUMMYFUNCTION("""COMPUTED_VALUE"""),45566.64583333333)</f>
        <v>45566.64583</v>
      </c>
      <c r="AA131" s="177">
        <f>IFERROR(__xludf.DUMMYFUNCTION("""COMPUTED_VALUE"""),389.05)</f>
        <v>389.05</v>
      </c>
      <c r="AB131" s="177">
        <f>IFERROR(__xludf.DUMMYFUNCTION("""COMPUTED_VALUE"""),395.6)</f>
        <v>395.6</v>
      </c>
      <c r="AC131" s="177">
        <f>IFERROR(__xludf.DUMMYFUNCTION("""COMPUTED_VALUE"""),382.35)</f>
        <v>382.35</v>
      </c>
      <c r="AD131" s="177">
        <f>IFERROR(__xludf.DUMMYFUNCTION("""COMPUTED_VALUE"""),384.05)</f>
        <v>384.05</v>
      </c>
      <c r="AE131" s="177">
        <f>IFERROR(__xludf.DUMMYFUNCTION("""COMPUTED_VALUE"""),7039394.0)</f>
        <v>7039394</v>
      </c>
      <c r="AF131" s="177">
        <f t="shared" si="3"/>
        <v>-0.0218911652</v>
      </c>
      <c r="AG131" s="177"/>
      <c r="AH131" s="177"/>
      <c r="AI131" s="189"/>
      <c r="AJ131" s="140"/>
      <c r="AK131" s="140"/>
      <c r="AL131" s="176">
        <f>IFERROR(__xludf.DUMMYFUNCTION("""COMPUTED_VALUE"""),45566.64583333333)</f>
        <v>45566.64583</v>
      </c>
      <c r="AM131" s="177">
        <f>IFERROR(__xludf.DUMMYFUNCTION("""COMPUTED_VALUE"""),4428.0)</f>
        <v>4428</v>
      </c>
      <c r="AN131" s="177">
        <f>IFERROR(__xludf.DUMMYFUNCTION("""COMPUTED_VALUE"""),4446.0)</f>
        <v>4446</v>
      </c>
      <c r="AO131" s="177">
        <f>IFERROR(__xludf.DUMMYFUNCTION("""COMPUTED_VALUE"""),4398.05)</f>
        <v>4398.05</v>
      </c>
      <c r="AP131" s="177">
        <f>IFERROR(__xludf.DUMMYFUNCTION("""COMPUTED_VALUE"""),4426.1)</f>
        <v>4426.1</v>
      </c>
      <c r="AQ131" s="177">
        <f>IFERROR(__xludf.DUMMYFUNCTION("""COMPUTED_VALUE"""),841972.0)</f>
        <v>841972</v>
      </c>
      <c r="AR131" s="177">
        <f t="shared" si="4"/>
        <v>0.001232091037</v>
      </c>
      <c r="AS131" s="177"/>
      <c r="AT131" s="177"/>
      <c r="AU131" s="189"/>
      <c r="AV131" s="140"/>
      <c r="AW131" s="140"/>
      <c r="AX131" s="176">
        <f>IFERROR(__xludf.DUMMYFUNCTION("""COMPUTED_VALUE"""),45566.64583333333)</f>
        <v>45566.64583</v>
      </c>
      <c r="AY131" s="177">
        <f>IFERROR(__xludf.DUMMYFUNCTION("""COMPUTED_VALUE"""),518.15)</f>
        <v>518.15</v>
      </c>
      <c r="AZ131" s="177">
        <f>IFERROR(__xludf.DUMMYFUNCTION("""COMPUTED_VALUE"""),519.75)</f>
        <v>519.75</v>
      </c>
      <c r="BA131" s="177">
        <f>IFERROR(__xludf.DUMMYFUNCTION("""COMPUTED_VALUE"""),514.0)</f>
        <v>514</v>
      </c>
      <c r="BB131" s="177">
        <f>IFERROR(__xludf.DUMMYFUNCTION("""COMPUTED_VALUE"""),516.2)</f>
        <v>516.2</v>
      </c>
      <c r="BC131" s="177">
        <f>IFERROR(__xludf.DUMMYFUNCTION("""COMPUTED_VALUE"""),5089315.0)</f>
        <v>5089315</v>
      </c>
      <c r="BD131" s="177">
        <f t="shared" si="5"/>
        <v>-0.003770488346</v>
      </c>
      <c r="BE131" s="177"/>
      <c r="BF131" s="177"/>
      <c r="BG131" s="189"/>
      <c r="BH131" s="140"/>
      <c r="BI131" s="140"/>
      <c r="BJ131" s="140"/>
      <c r="BK131" s="140"/>
      <c r="BL131" s="140"/>
      <c r="BM131" s="140"/>
      <c r="BN131" s="140"/>
      <c r="BO131" s="140"/>
      <c r="BP131" s="140"/>
      <c r="BQ131" s="140"/>
      <c r="BR131" s="140"/>
      <c r="BS131" s="140"/>
      <c r="BT131" s="140"/>
      <c r="BU131" s="140"/>
      <c r="BV131" s="140"/>
      <c r="BW131" s="140"/>
      <c r="BX131" s="140"/>
      <c r="BY131" s="140"/>
    </row>
    <row r="132" ht="15.75" customHeight="1">
      <c r="A132" s="168"/>
      <c r="B132" s="169">
        <v>45568.0</v>
      </c>
      <c r="C132" s="170">
        <v>7175.12</v>
      </c>
      <c r="D132" s="170">
        <v>7191.52</v>
      </c>
      <c r="E132" s="170">
        <v>7128.12</v>
      </c>
      <c r="F132" s="170">
        <v>7170.78</v>
      </c>
      <c r="G132" s="171" t="s">
        <v>238</v>
      </c>
      <c r="H132" s="172">
        <f t="shared" si="1"/>
        <v>-0.001440924448</v>
      </c>
      <c r="I132" s="172"/>
      <c r="J132" s="172"/>
      <c r="K132" s="188"/>
      <c r="L132" s="140"/>
      <c r="M132" s="140"/>
      <c r="N132" s="176">
        <f>IFERROR(__xludf.DUMMYFUNCTION("""COMPUTED_VALUE"""),45568.64583333333)</f>
        <v>45568.64583</v>
      </c>
      <c r="O132" s="177">
        <f>IFERROR(__xludf.DUMMYFUNCTION("""COMPUTED_VALUE"""),1253.6)</f>
        <v>1253.6</v>
      </c>
      <c r="P132" s="177">
        <f>IFERROR(__xludf.DUMMYFUNCTION("""COMPUTED_VALUE"""),1265.75)</f>
        <v>1265.75</v>
      </c>
      <c r="Q132" s="177">
        <f>IFERROR(__xludf.DUMMYFUNCTION("""COMPUTED_VALUE"""),1248.15)</f>
        <v>1248.15</v>
      </c>
      <c r="R132" s="177">
        <f>IFERROR(__xludf.DUMMYFUNCTION("""COMPUTED_VALUE"""),1256.35)</f>
        <v>1256.35</v>
      </c>
      <c r="S132" s="177">
        <f>IFERROR(__xludf.DUMMYFUNCTION("""COMPUTED_VALUE"""),1.7648551E7)</f>
        <v>17648551</v>
      </c>
      <c r="T132" s="177">
        <f t="shared" si="2"/>
        <v>-0.01426478797</v>
      </c>
      <c r="U132" s="178"/>
      <c r="V132" s="177"/>
      <c r="W132" s="189"/>
      <c r="X132" s="140"/>
      <c r="Y132" s="140"/>
      <c r="Z132" s="176">
        <f>IFERROR(__xludf.DUMMYFUNCTION("""COMPUTED_VALUE"""),45568.64583333333)</f>
        <v>45568.64583</v>
      </c>
      <c r="AA132" s="177">
        <f>IFERROR(__xludf.DUMMYFUNCTION("""COMPUTED_VALUE"""),376.0)</f>
        <v>376</v>
      </c>
      <c r="AB132" s="177">
        <f>IFERROR(__xludf.DUMMYFUNCTION("""COMPUTED_VALUE"""),389.05)</f>
        <v>389.05</v>
      </c>
      <c r="AC132" s="177">
        <f>IFERROR(__xludf.DUMMYFUNCTION("""COMPUTED_VALUE"""),375.5)</f>
        <v>375.5</v>
      </c>
      <c r="AD132" s="177">
        <f>IFERROR(__xludf.DUMMYFUNCTION("""COMPUTED_VALUE"""),377.6)</f>
        <v>377.6</v>
      </c>
      <c r="AE132" s="177">
        <f>IFERROR(__xludf.DUMMYFUNCTION("""COMPUTED_VALUE"""),9305494.0)</f>
        <v>9305494</v>
      </c>
      <c r="AF132" s="177">
        <f t="shared" si="3"/>
        <v>-0.01693731817</v>
      </c>
      <c r="AG132" s="177"/>
      <c r="AH132" s="177"/>
      <c r="AI132" s="189"/>
      <c r="AJ132" s="140"/>
      <c r="AK132" s="140"/>
      <c r="AL132" s="176">
        <f>IFERROR(__xludf.DUMMYFUNCTION("""COMPUTED_VALUE"""),45568.64583333333)</f>
        <v>45568.64583</v>
      </c>
      <c r="AM132" s="177">
        <f>IFERROR(__xludf.DUMMYFUNCTION("""COMPUTED_VALUE"""),4344.95)</f>
        <v>4344.95</v>
      </c>
      <c r="AN132" s="177">
        <f>IFERROR(__xludf.DUMMYFUNCTION("""COMPUTED_VALUE"""),4428.9)</f>
        <v>4428.9</v>
      </c>
      <c r="AO132" s="177">
        <f>IFERROR(__xludf.DUMMYFUNCTION("""COMPUTED_VALUE"""),4254.0)</f>
        <v>4254</v>
      </c>
      <c r="AP132" s="177">
        <f>IFERROR(__xludf.DUMMYFUNCTION("""COMPUTED_VALUE"""),4267.45)</f>
        <v>4267.45</v>
      </c>
      <c r="AQ132" s="177">
        <f>IFERROR(__xludf.DUMMYFUNCTION("""COMPUTED_VALUE"""),1628669.0)</f>
        <v>1628669</v>
      </c>
      <c r="AR132" s="177">
        <f t="shared" si="4"/>
        <v>-0.03650237598</v>
      </c>
      <c r="AS132" s="177"/>
      <c r="AT132" s="177"/>
      <c r="AU132" s="189"/>
      <c r="AV132" s="140"/>
      <c r="AW132" s="140"/>
      <c r="AX132" s="176">
        <f>IFERROR(__xludf.DUMMYFUNCTION("""COMPUTED_VALUE"""),45568.64583333333)</f>
        <v>45568.64583</v>
      </c>
      <c r="AY132" s="177">
        <f>IFERROR(__xludf.DUMMYFUNCTION("""COMPUTED_VALUE"""),508.55)</f>
        <v>508.55</v>
      </c>
      <c r="AZ132" s="177">
        <f>IFERROR(__xludf.DUMMYFUNCTION("""COMPUTED_VALUE"""),515.7)</f>
        <v>515.7</v>
      </c>
      <c r="BA132" s="177">
        <f>IFERROR(__xludf.DUMMYFUNCTION("""COMPUTED_VALUE"""),508.1)</f>
        <v>508.1</v>
      </c>
      <c r="BB132" s="177">
        <f>IFERROR(__xludf.DUMMYFUNCTION("""COMPUTED_VALUE"""),512.75)</f>
        <v>512.75</v>
      </c>
      <c r="BC132" s="177">
        <f>IFERROR(__xludf.DUMMYFUNCTION("""COMPUTED_VALUE"""),1.5870147E7)</f>
        <v>15870147</v>
      </c>
      <c r="BD132" s="177">
        <f t="shared" si="5"/>
        <v>-0.006705890332</v>
      </c>
      <c r="BE132" s="177"/>
      <c r="BF132" s="177"/>
      <c r="BG132" s="189"/>
      <c r="BH132" s="140"/>
      <c r="BI132" s="140"/>
      <c r="BJ132" s="140"/>
      <c r="BK132" s="140"/>
      <c r="BL132" s="140"/>
      <c r="BM132" s="140"/>
      <c r="BN132" s="140"/>
      <c r="BO132" s="140"/>
      <c r="BP132" s="140"/>
      <c r="BQ132" s="140"/>
      <c r="BR132" s="140"/>
      <c r="BS132" s="140"/>
      <c r="BT132" s="140"/>
      <c r="BU132" s="140"/>
      <c r="BV132" s="140"/>
      <c r="BW132" s="140"/>
      <c r="BX132" s="140"/>
      <c r="BY132" s="140"/>
    </row>
    <row r="133" ht="15.75" customHeight="1">
      <c r="A133" s="168"/>
      <c r="B133" s="169">
        <v>45569.0</v>
      </c>
      <c r="C133" s="170">
        <v>7173.12</v>
      </c>
      <c r="D133" s="170">
        <v>7211.52</v>
      </c>
      <c r="E133" s="170">
        <v>7111.12</v>
      </c>
      <c r="F133" s="170">
        <v>7167.52</v>
      </c>
      <c r="G133" s="171" t="s">
        <v>238</v>
      </c>
      <c r="H133" s="172">
        <f t="shared" si="1"/>
        <v>-0.0004547261609</v>
      </c>
      <c r="I133" s="172"/>
      <c r="J133" s="172"/>
      <c r="K133" s="188"/>
      <c r="L133" s="140"/>
      <c r="M133" s="140"/>
      <c r="N133" s="176">
        <f>IFERROR(__xludf.DUMMYFUNCTION("""COMPUTED_VALUE"""),45569.64583333333)</f>
        <v>45569.64583</v>
      </c>
      <c r="O133" s="177">
        <f>IFERROR(__xludf.DUMMYFUNCTION("""COMPUTED_VALUE"""),1247.1)</f>
        <v>1247.1</v>
      </c>
      <c r="P133" s="177">
        <f>IFERROR(__xludf.DUMMYFUNCTION("""COMPUTED_VALUE"""),1264.4)</f>
        <v>1264.4</v>
      </c>
      <c r="Q133" s="177">
        <f>IFERROR(__xludf.DUMMYFUNCTION("""COMPUTED_VALUE"""),1236.2)</f>
        <v>1236.2</v>
      </c>
      <c r="R133" s="177">
        <f>IFERROR(__xludf.DUMMYFUNCTION("""COMPUTED_VALUE"""),1239.75)</f>
        <v>1239.75</v>
      </c>
      <c r="S133" s="177">
        <f>IFERROR(__xludf.DUMMYFUNCTION("""COMPUTED_VALUE"""),1.3488887E7)</f>
        <v>13488887</v>
      </c>
      <c r="T133" s="177">
        <f t="shared" si="2"/>
        <v>-0.01330094526</v>
      </c>
      <c r="U133" s="178"/>
      <c r="V133" s="177"/>
      <c r="W133" s="189"/>
      <c r="X133" s="140"/>
      <c r="Y133" s="140"/>
      <c r="Z133" s="176">
        <f>IFERROR(__xludf.DUMMYFUNCTION("""COMPUTED_VALUE"""),45569.64583333333)</f>
        <v>45569.64583</v>
      </c>
      <c r="AA133" s="177">
        <f>IFERROR(__xludf.DUMMYFUNCTION("""COMPUTED_VALUE"""),378.6)</f>
        <v>378.6</v>
      </c>
      <c r="AB133" s="177">
        <f>IFERROR(__xludf.DUMMYFUNCTION("""COMPUTED_VALUE"""),381.75)</f>
        <v>381.75</v>
      </c>
      <c r="AC133" s="177">
        <f>IFERROR(__xludf.DUMMYFUNCTION("""COMPUTED_VALUE"""),369.45)</f>
        <v>369.45</v>
      </c>
      <c r="AD133" s="177">
        <f>IFERROR(__xludf.DUMMYFUNCTION("""COMPUTED_VALUE"""),372.2)</f>
        <v>372.2</v>
      </c>
      <c r="AE133" s="177">
        <f>IFERROR(__xludf.DUMMYFUNCTION("""COMPUTED_VALUE"""),1.0290272E7)</f>
        <v>10290272</v>
      </c>
      <c r="AF133" s="177">
        <f t="shared" si="3"/>
        <v>-0.01440409006</v>
      </c>
      <c r="AG133" s="177"/>
      <c r="AH133" s="177"/>
      <c r="AI133" s="189"/>
      <c r="AJ133" s="140"/>
      <c r="AK133" s="140"/>
      <c r="AL133" s="176">
        <f>IFERROR(__xludf.DUMMYFUNCTION("""COMPUTED_VALUE"""),45569.64583333333)</f>
        <v>45569.64583</v>
      </c>
      <c r="AM133" s="177">
        <f>IFERROR(__xludf.DUMMYFUNCTION("""COMPUTED_VALUE"""),4260.0)</f>
        <v>4260</v>
      </c>
      <c r="AN133" s="177">
        <f>IFERROR(__xludf.DUMMYFUNCTION("""COMPUTED_VALUE"""),4334.35)</f>
        <v>4334.35</v>
      </c>
      <c r="AO133" s="177">
        <f>IFERROR(__xludf.DUMMYFUNCTION("""COMPUTED_VALUE"""),4200.0)</f>
        <v>4200</v>
      </c>
      <c r="AP133" s="177">
        <f>IFERROR(__xludf.DUMMYFUNCTION("""COMPUTED_VALUE"""),4256.65)</f>
        <v>4256.65</v>
      </c>
      <c r="AQ133" s="177">
        <f>IFERROR(__xludf.DUMMYFUNCTION("""COMPUTED_VALUE"""),1374135.0)</f>
        <v>1374135</v>
      </c>
      <c r="AR133" s="177">
        <f t="shared" si="4"/>
        <v>-0.002533993214</v>
      </c>
      <c r="AS133" s="177"/>
      <c r="AT133" s="177"/>
      <c r="AU133" s="189"/>
      <c r="AV133" s="140"/>
      <c r="AW133" s="140"/>
      <c r="AX133" s="176">
        <f>IFERROR(__xludf.DUMMYFUNCTION("""COMPUTED_VALUE"""),45569.64583333333)</f>
        <v>45569.64583</v>
      </c>
      <c r="AY133" s="177">
        <f>IFERROR(__xludf.DUMMYFUNCTION("""COMPUTED_VALUE"""),510.0)</f>
        <v>510</v>
      </c>
      <c r="AZ133" s="177">
        <f>IFERROR(__xludf.DUMMYFUNCTION("""COMPUTED_VALUE"""),517.35)</f>
        <v>517.35</v>
      </c>
      <c r="BA133" s="177">
        <f>IFERROR(__xludf.DUMMYFUNCTION("""COMPUTED_VALUE"""),501.55)</f>
        <v>501.55</v>
      </c>
      <c r="BB133" s="177">
        <f>IFERROR(__xludf.DUMMYFUNCTION("""COMPUTED_VALUE"""),503.55)</f>
        <v>503.55</v>
      </c>
      <c r="BC133" s="177">
        <f>IFERROR(__xludf.DUMMYFUNCTION("""COMPUTED_VALUE"""),1.8228912E7)</f>
        <v>18228912</v>
      </c>
      <c r="BD133" s="177">
        <f t="shared" si="5"/>
        <v>-0.01810538486</v>
      </c>
      <c r="BE133" s="177"/>
      <c r="BF133" s="177"/>
      <c r="BG133" s="189"/>
      <c r="BH133" s="140"/>
      <c r="BI133" s="140"/>
      <c r="BJ133" s="140"/>
      <c r="BK133" s="140"/>
      <c r="BL133" s="140"/>
      <c r="BM133" s="140"/>
      <c r="BN133" s="140"/>
      <c r="BO133" s="140"/>
      <c r="BP133" s="140"/>
      <c r="BQ133" s="140"/>
      <c r="BR133" s="140"/>
      <c r="BS133" s="140"/>
      <c r="BT133" s="140"/>
      <c r="BU133" s="140"/>
      <c r="BV133" s="140"/>
      <c r="BW133" s="140"/>
      <c r="BX133" s="140"/>
      <c r="BY133" s="140"/>
    </row>
    <row r="134" ht="15.75" customHeight="1">
      <c r="A134" s="168"/>
      <c r="B134" s="169">
        <v>45572.0</v>
      </c>
      <c r="C134" s="170">
        <v>7162.12</v>
      </c>
      <c r="D134" s="170">
        <v>7183.12</v>
      </c>
      <c r="E134" s="170">
        <v>7123.12</v>
      </c>
      <c r="F134" s="170">
        <v>7133.12</v>
      </c>
      <c r="G134" s="171" t="s">
        <v>238</v>
      </c>
      <c r="H134" s="172">
        <f t="shared" si="1"/>
        <v>-0.004810982774</v>
      </c>
      <c r="I134" s="172"/>
      <c r="J134" s="172"/>
      <c r="K134" s="188"/>
      <c r="L134" s="140"/>
      <c r="M134" s="140"/>
      <c r="N134" s="176">
        <f>IFERROR(__xludf.DUMMYFUNCTION("""COMPUTED_VALUE"""),45572.64583333333)</f>
        <v>45572.64583</v>
      </c>
      <c r="O134" s="177">
        <f>IFERROR(__xludf.DUMMYFUNCTION("""COMPUTED_VALUE"""),1241.55)</f>
        <v>1241.55</v>
      </c>
      <c r="P134" s="177">
        <f>IFERROR(__xludf.DUMMYFUNCTION("""COMPUTED_VALUE"""),1262.95)</f>
        <v>1262.95</v>
      </c>
      <c r="Q134" s="177">
        <f>IFERROR(__xludf.DUMMYFUNCTION("""COMPUTED_VALUE"""),1225.0)</f>
        <v>1225</v>
      </c>
      <c r="R134" s="177">
        <f>IFERROR(__xludf.DUMMYFUNCTION("""COMPUTED_VALUE"""),1233.9)</f>
        <v>1233.9</v>
      </c>
      <c r="S134" s="177">
        <f>IFERROR(__xludf.DUMMYFUNCTION("""COMPUTED_VALUE"""),2.0667247E7)</f>
        <v>20667247</v>
      </c>
      <c r="T134" s="177">
        <f t="shared" si="2"/>
        <v>-0.004729861465</v>
      </c>
      <c r="U134" s="178"/>
      <c r="V134" s="177"/>
      <c r="W134" s="189"/>
      <c r="X134" s="140"/>
      <c r="Y134" s="140"/>
      <c r="Z134" s="176">
        <f>IFERROR(__xludf.DUMMYFUNCTION("""COMPUTED_VALUE"""),45572.64583333333)</f>
        <v>45572.64583</v>
      </c>
      <c r="AA134" s="177">
        <f>IFERROR(__xludf.DUMMYFUNCTION("""COMPUTED_VALUE"""),374.1)</f>
        <v>374.1</v>
      </c>
      <c r="AB134" s="177">
        <f>IFERROR(__xludf.DUMMYFUNCTION("""COMPUTED_VALUE"""),375.8)</f>
        <v>375.8</v>
      </c>
      <c r="AC134" s="177">
        <f>IFERROR(__xludf.DUMMYFUNCTION("""COMPUTED_VALUE"""),352.3)</f>
        <v>352.3</v>
      </c>
      <c r="AD134" s="177">
        <f>IFERROR(__xludf.DUMMYFUNCTION("""COMPUTED_VALUE"""),361.15)</f>
        <v>361.15</v>
      </c>
      <c r="AE134" s="177">
        <f>IFERROR(__xludf.DUMMYFUNCTION("""COMPUTED_VALUE"""),1.9905422E7)</f>
        <v>19905422</v>
      </c>
      <c r="AF134" s="177">
        <f t="shared" si="3"/>
        <v>-0.03013795971</v>
      </c>
      <c r="AG134" s="177"/>
      <c r="AH134" s="177"/>
      <c r="AI134" s="189"/>
      <c r="AJ134" s="140"/>
      <c r="AK134" s="140"/>
      <c r="AL134" s="176">
        <f>IFERROR(__xludf.DUMMYFUNCTION("""COMPUTED_VALUE"""),45572.64583333333)</f>
        <v>45572.64583</v>
      </c>
      <c r="AM134" s="177">
        <f>IFERROR(__xludf.DUMMYFUNCTION("""COMPUTED_VALUE"""),4256.65)</f>
        <v>4256.65</v>
      </c>
      <c r="AN134" s="177">
        <f>IFERROR(__xludf.DUMMYFUNCTION("""COMPUTED_VALUE"""),4318.65)</f>
        <v>4318.65</v>
      </c>
      <c r="AO134" s="177">
        <f>IFERROR(__xludf.DUMMYFUNCTION("""COMPUTED_VALUE"""),4120.35)</f>
        <v>4120.35</v>
      </c>
      <c r="AP134" s="177">
        <f>IFERROR(__xludf.DUMMYFUNCTION("""COMPUTED_VALUE"""),4165.9)</f>
        <v>4165.9</v>
      </c>
      <c r="AQ134" s="177">
        <f>IFERROR(__xludf.DUMMYFUNCTION("""COMPUTED_VALUE"""),1656254.0)</f>
        <v>1656254</v>
      </c>
      <c r="AR134" s="177">
        <f t="shared" si="4"/>
        <v>-0.02155012723</v>
      </c>
      <c r="AS134" s="177"/>
      <c r="AT134" s="177"/>
      <c r="AU134" s="189"/>
      <c r="AV134" s="140"/>
      <c r="AW134" s="140"/>
      <c r="AX134" s="176">
        <f>IFERROR(__xludf.DUMMYFUNCTION("""COMPUTED_VALUE"""),45572.64583333333)</f>
        <v>45572.64583</v>
      </c>
      <c r="AY134" s="177">
        <f>IFERROR(__xludf.DUMMYFUNCTION("""COMPUTED_VALUE"""),507.0)</f>
        <v>507</v>
      </c>
      <c r="AZ134" s="177">
        <f>IFERROR(__xludf.DUMMYFUNCTION("""COMPUTED_VALUE"""),514.95)</f>
        <v>514.95</v>
      </c>
      <c r="BA134" s="177">
        <f>IFERROR(__xludf.DUMMYFUNCTION("""COMPUTED_VALUE"""),506.75)</f>
        <v>506.75</v>
      </c>
      <c r="BB134" s="177">
        <f>IFERROR(__xludf.DUMMYFUNCTION("""COMPUTED_VALUE"""),510.2)</f>
        <v>510.2</v>
      </c>
      <c r="BC134" s="177">
        <f>IFERROR(__xludf.DUMMYFUNCTION("""COMPUTED_VALUE"""),1.6479772E7)</f>
        <v>16479772</v>
      </c>
      <c r="BD134" s="177">
        <f t="shared" si="5"/>
        <v>0.01311979361</v>
      </c>
      <c r="BE134" s="177"/>
      <c r="BF134" s="177"/>
      <c r="BG134" s="189"/>
      <c r="BH134" s="140"/>
      <c r="BI134" s="140"/>
      <c r="BJ134" s="140"/>
      <c r="BK134" s="140"/>
      <c r="BL134" s="140"/>
      <c r="BM134" s="140"/>
      <c r="BN134" s="140"/>
      <c r="BO134" s="140"/>
      <c r="BP134" s="140"/>
      <c r="BQ134" s="140"/>
      <c r="BR134" s="140"/>
      <c r="BS134" s="140"/>
      <c r="BT134" s="140"/>
      <c r="BU134" s="140"/>
      <c r="BV134" s="140"/>
      <c r="BW134" s="140"/>
      <c r="BX134" s="140"/>
      <c r="BY134" s="140"/>
    </row>
    <row r="135" ht="15.75" customHeight="1">
      <c r="A135" s="168"/>
      <c r="B135" s="169">
        <v>45573.0</v>
      </c>
      <c r="C135" s="170">
        <v>7135.52</v>
      </c>
      <c r="D135" s="170">
        <v>7162.12</v>
      </c>
      <c r="E135" s="170">
        <v>7032.12</v>
      </c>
      <c r="F135" s="170">
        <v>7074.78</v>
      </c>
      <c r="G135" s="171" t="s">
        <v>238</v>
      </c>
      <c r="H135" s="172">
        <f t="shared" si="1"/>
        <v>-0.008212378731</v>
      </c>
      <c r="I135" s="172"/>
      <c r="J135" s="172"/>
      <c r="K135" s="188"/>
      <c r="L135" s="140"/>
      <c r="M135" s="140"/>
      <c r="N135" s="176">
        <f>IFERROR(__xludf.DUMMYFUNCTION("""COMPUTED_VALUE"""),45573.64583333333)</f>
        <v>45573.64583</v>
      </c>
      <c r="O135" s="177">
        <f>IFERROR(__xludf.DUMMYFUNCTION("""COMPUTED_VALUE"""),1241.0)</f>
        <v>1241</v>
      </c>
      <c r="P135" s="177">
        <f>IFERROR(__xludf.DUMMYFUNCTION("""COMPUTED_VALUE"""),1247.8)</f>
        <v>1247.8</v>
      </c>
      <c r="Q135" s="177">
        <f>IFERROR(__xludf.DUMMYFUNCTION("""COMPUTED_VALUE"""),1229.75)</f>
        <v>1229.75</v>
      </c>
      <c r="R135" s="177">
        <f>IFERROR(__xludf.DUMMYFUNCTION("""COMPUTED_VALUE"""),1236.6)</f>
        <v>1236.6</v>
      </c>
      <c r="S135" s="177">
        <f>IFERROR(__xludf.DUMMYFUNCTION("""COMPUTED_VALUE"""),1.2219259E7)</f>
        <v>12219259</v>
      </c>
      <c r="T135" s="177">
        <f t="shared" si="2"/>
        <v>0.00218579322</v>
      </c>
      <c r="U135" s="178"/>
      <c r="V135" s="177"/>
      <c r="W135" s="189"/>
      <c r="X135" s="140"/>
      <c r="Y135" s="140"/>
      <c r="Z135" s="176">
        <f>IFERROR(__xludf.DUMMYFUNCTION("""COMPUTED_VALUE"""),45573.64583333333)</f>
        <v>45573.64583</v>
      </c>
      <c r="AA135" s="177">
        <f>IFERROR(__xludf.DUMMYFUNCTION("""COMPUTED_VALUE"""),360.0)</f>
        <v>360</v>
      </c>
      <c r="AB135" s="177">
        <f>IFERROR(__xludf.DUMMYFUNCTION("""COMPUTED_VALUE"""),371.9)</f>
        <v>371.9</v>
      </c>
      <c r="AC135" s="177">
        <f>IFERROR(__xludf.DUMMYFUNCTION("""COMPUTED_VALUE"""),358.3)</f>
        <v>358.3</v>
      </c>
      <c r="AD135" s="177">
        <f>IFERROR(__xludf.DUMMYFUNCTION("""COMPUTED_VALUE"""),370.0)</f>
        <v>370</v>
      </c>
      <c r="AE135" s="177">
        <f>IFERROR(__xludf.DUMMYFUNCTION("""COMPUTED_VALUE"""),7021080.0)</f>
        <v>7021080</v>
      </c>
      <c r="AF135" s="177">
        <f t="shared" si="3"/>
        <v>0.02420962114</v>
      </c>
      <c r="AG135" s="177"/>
      <c r="AH135" s="177"/>
      <c r="AI135" s="189"/>
      <c r="AJ135" s="140"/>
      <c r="AK135" s="140"/>
      <c r="AL135" s="176">
        <f>IFERROR(__xludf.DUMMYFUNCTION("""COMPUTED_VALUE"""),45573.64583333333)</f>
        <v>45573.64583</v>
      </c>
      <c r="AM135" s="177">
        <f>IFERROR(__xludf.DUMMYFUNCTION("""COMPUTED_VALUE"""),4160.0)</f>
        <v>4160</v>
      </c>
      <c r="AN135" s="177">
        <f>IFERROR(__xludf.DUMMYFUNCTION("""COMPUTED_VALUE"""),4389.8)</f>
        <v>4389.8</v>
      </c>
      <c r="AO135" s="177">
        <f>IFERROR(__xludf.DUMMYFUNCTION("""COMPUTED_VALUE"""),4145.0)</f>
        <v>4145</v>
      </c>
      <c r="AP135" s="177">
        <f>IFERROR(__xludf.DUMMYFUNCTION("""COMPUTED_VALUE"""),4368.3)</f>
        <v>4368.3</v>
      </c>
      <c r="AQ135" s="177">
        <f>IFERROR(__xludf.DUMMYFUNCTION("""COMPUTED_VALUE"""),2008330.0)</f>
        <v>2008330</v>
      </c>
      <c r="AR135" s="177">
        <f t="shared" si="4"/>
        <v>0.04744157869</v>
      </c>
      <c r="AS135" s="177"/>
      <c r="AT135" s="177"/>
      <c r="AU135" s="189"/>
      <c r="AV135" s="140"/>
      <c r="AW135" s="140"/>
      <c r="AX135" s="176">
        <f>IFERROR(__xludf.DUMMYFUNCTION("""COMPUTED_VALUE"""),45573.64583333333)</f>
        <v>45573.64583</v>
      </c>
      <c r="AY135" s="177">
        <f>IFERROR(__xludf.DUMMYFUNCTION("""COMPUTED_VALUE"""),510.0)</f>
        <v>510</v>
      </c>
      <c r="AZ135" s="177">
        <f>IFERROR(__xludf.DUMMYFUNCTION("""COMPUTED_VALUE"""),512.55)</f>
        <v>512.55</v>
      </c>
      <c r="BA135" s="177">
        <f>IFERROR(__xludf.DUMMYFUNCTION("""COMPUTED_VALUE"""),506.0)</f>
        <v>506</v>
      </c>
      <c r="BB135" s="177">
        <f>IFERROR(__xludf.DUMMYFUNCTION("""COMPUTED_VALUE"""),507.95)</f>
        <v>507.95</v>
      </c>
      <c r="BC135" s="177">
        <f>IFERROR(__xludf.DUMMYFUNCTION("""COMPUTED_VALUE"""),9502367.0)</f>
        <v>9502367</v>
      </c>
      <c r="BD135" s="177">
        <f t="shared" si="5"/>
        <v>-0.00441978817</v>
      </c>
      <c r="BE135" s="177"/>
      <c r="BF135" s="177"/>
      <c r="BG135" s="189"/>
      <c r="BH135" s="140"/>
      <c r="BI135" s="140"/>
      <c r="BJ135" s="140"/>
      <c r="BK135" s="140"/>
      <c r="BL135" s="140"/>
      <c r="BM135" s="140"/>
      <c r="BN135" s="140"/>
      <c r="BO135" s="140"/>
      <c r="BP135" s="140"/>
      <c r="BQ135" s="140"/>
      <c r="BR135" s="140"/>
      <c r="BS135" s="140"/>
      <c r="BT135" s="140"/>
      <c r="BU135" s="140"/>
      <c r="BV135" s="140"/>
      <c r="BW135" s="140"/>
      <c r="BX135" s="140"/>
      <c r="BY135" s="140"/>
    </row>
    <row r="136" ht="15.75" customHeight="1">
      <c r="A136" s="168"/>
      <c r="B136" s="169">
        <v>45574.0</v>
      </c>
      <c r="C136" s="170">
        <v>7078.12</v>
      </c>
      <c r="D136" s="170">
        <v>7083.12</v>
      </c>
      <c r="E136" s="170">
        <v>7032.12</v>
      </c>
      <c r="F136" s="170">
        <v>7038.12</v>
      </c>
      <c r="G136" s="171" t="s">
        <v>238</v>
      </c>
      <c r="H136" s="172">
        <f t="shared" si="1"/>
        <v>-0.005195258587</v>
      </c>
      <c r="I136" s="172"/>
      <c r="J136" s="172"/>
      <c r="K136" s="188"/>
      <c r="L136" s="140"/>
      <c r="M136" s="140"/>
      <c r="N136" s="176">
        <f>IFERROR(__xludf.DUMMYFUNCTION("""COMPUTED_VALUE"""),45574.64583333333)</f>
        <v>45574.64583</v>
      </c>
      <c r="O136" s="177">
        <f>IFERROR(__xludf.DUMMYFUNCTION("""COMPUTED_VALUE"""),1243.05)</f>
        <v>1243.05</v>
      </c>
      <c r="P136" s="177">
        <f>IFERROR(__xludf.DUMMYFUNCTION("""COMPUTED_VALUE"""),1265.1)</f>
        <v>1265.1</v>
      </c>
      <c r="Q136" s="177">
        <f>IFERROR(__xludf.DUMMYFUNCTION("""COMPUTED_VALUE"""),1232.65)</f>
        <v>1232.65</v>
      </c>
      <c r="R136" s="177">
        <f>IFERROR(__xludf.DUMMYFUNCTION("""COMPUTED_VALUE"""),1244.15)</f>
        <v>1244.15</v>
      </c>
      <c r="S136" s="177">
        <f>IFERROR(__xludf.DUMMYFUNCTION("""COMPUTED_VALUE"""),1.4765997E7)</f>
        <v>14765997</v>
      </c>
      <c r="T136" s="177">
        <f t="shared" si="2"/>
        <v>0.006086887684</v>
      </c>
      <c r="U136" s="178"/>
      <c r="V136" s="177"/>
      <c r="W136" s="189"/>
      <c r="X136" s="140"/>
      <c r="Y136" s="140"/>
      <c r="Z136" s="176">
        <f>IFERROR(__xludf.DUMMYFUNCTION("""COMPUTED_VALUE"""),45574.64583333333)</f>
        <v>45574.64583</v>
      </c>
      <c r="AA136" s="177">
        <f>IFERROR(__xludf.DUMMYFUNCTION("""COMPUTED_VALUE"""),371.85)</f>
        <v>371.85</v>
      </c>
      <c r="AB136" s="177">
        <f>IFERROR(__xludf.DUMMYFUNCTION("""COMPUTED_VALUE"""),377.6)</f>
        <v>377.6</v>
      </c>
      <c r="AC136" s="177">
        <f>IFERROR(__xludf.DUMMYFUNCTION("""COMPUTED_VALUE"""),368.25)</f>
        <v>368.25</v>
      </c>
      <c r="AD136" s="177">
        <f>IFERROR(__xludf.DUMMYFUNCTION("""COMPUTED_VALUE"""),373.5)</f>
        <v>373.5</v>
      </c>
      <c r="AE136" s="177">
        <f>IFERROR(__xludf.DUMMYFUNCTION("""COMPUTED_VALUE"""),4667993.0)</f>
        <v>4667993</v>
      </c>
      <c r="AF136" s="177">
        <f t="shared" si="3"/>
        <v>0.009414998935</v>
      </c>
      <c r="AG136" s="177"/>
      <c r="AH136" s="177"/>
      <c r="AI136" s="189"/>
      <c r="AJ136" s="140"/>
      <c r="AK136" s="140"/>
      <c r="AL136" s="176">
        <f>IFERROR(__xludf.DUMMYFUNCTION("""COMPUTED_VALUE"""),45574.64583333333)</f>
        <v>45574.64583</v>
      </c>
      <c r="AM136" s="177">
        <f>IFERROR(__xludf.DUMMYFUNCTION("""COMPUTED_VALUE"""),4386.0)</f>
        <v>4386</v>
      </c>
      <c r="AN136" s="177">
        <f>IFERROR(__xludf.DUMMYFUNCTION("""COMPUTED_VALUE"""),4447.85)</f>
        <v>4447.85</v>
      </c>
      <c r="AO136" s="177">
        <f>IFERROR(__xludf.DUMMYFUNCTION("""COMPUTED_VALUE"""),4368.0)</f>
        <v>4368</v>
      </c>
      <c r="AP136" s="177">
        <f>IFERROR(__xludf.DUMMYFUNCTION("""COMPUTED_VALUE"""),4386.55)</f>
        <v>4386.55</v>
      </c>
      <c r="AQ136" s="177">
        <f>IFERROR(__xludf.DUMMYFUNCTION("""COMPUTED_VALUE"""),1355805.0)</f>
        <v>1355805</v>
      </c>
      <c r="AR136" s="177">
        <f t="shared" si="4"/>
        <v>0.004169123728</v>
      </c>
      <c r="AS136" s="177"/>
      <c r="AT136" s="177"/>
      <c r="AU136" s="189"/>
      <c r="AV136" s="140"/>
      <c r="AW136" s="140"/>
      <c r="AX136" s="176">
        <f>IFERROR(__xludf.DUMMYFUNCTION("""COMPUTED_VALUE"""),45574.64583333333)</f>
        <v>45574.64583</v>
      </c>
      <c r="AY136" s="177">
        <f>IFERROR(__xludf.DUMMYFUNCTION("""COMPUTED_VALUE"""),509.8)</f>
        <v>509.8</v>
      </c>
      <c r="AZ136" s="177">
        <f>IFERROR(__xludf.DUMMYFUNCTION("""COMPUTED_VALUE"""),509.8)</f>
        <v>509.8</v>
      </c>
      <c r="BA136" s="177">
        <f>IFERROR(__xludf.DUMMYFUNCTION("""COMPUTED_VALUE"""),490.55)</f>
        <v>490.55</v>
      </c>
      <c r="BB136" s="177">
        <f>IFERROR(__xludf.DUMMYFUNCTION("""COMPUTED_VALUE"""),491.7)</f>
        <v>491.7</v>
      </c>
      <c r="BC136" s="177">
        <f>IFERROR(__xludf.DUMMYFUNCTION("""COMPUTED_VALUE"""),2.3952459E7)</f>
        <v>23952459</v>
      </c>
      <c r="BD136" s="177">
        <f t="shared" si="5"/>
        <v>-0.03251424312</v>
      </c>
      <c r="BE136" s="177"/>
      <c r="BF136" s="177"/>
      <c r="BG136" s="189"/>
      <c r="BH136" s="140"/>
      <c r="BI136" s="140"/>
      <c r="BJ136" s="140"/>
      <c r="BK136" s="140"/>
      <c r="BL136" s="140"/>
      <c r="BM136" s="140"/>
      <c r="BN136" s="140"/>
      <c r="BO136" s="140"/>
      <c r="BP136" s="140"/>
      <c r="BQ136" s="140"/>
      <c r="BR136" s="140"/>
      <c r="BS136" s="140"/>
      <c r="BT136" s="140"/>
      <c r="BU136" s="140"/>
      <c r="BV136" s="140"/>
      <c r="BW136" s="140"/>
      <c r="BX136" s="140"/>
      <c r="BY136" s="140"/>
    </row>
    <row r="137" ht="15.75" customHeight="1">
      <c r="A137" s="168"/>
      <c r="B137" s="169">
        <v>45575.0</v>
      </c>
      <c r="C137" s="170">
        <v>7039.12</v>
      </c>
      <c r="D137" s="170">
        <v>7102.78</v>
      </c>
      <c r="E137" s="170">
        <v>7030.78</v>
      </c>
      <c r="F137" s="170">
        <v>7092.78</v>
      </c>
      <c r="G137" s="171" t="s">
        <v>238</v>
      </c>
      <c r="H137" s="172">
        <f t="shared" si="1"/>
        <v>0.007736276191</v>
      </c>
      <c r="I137" s="172"/>
      <c r="J137" s="172"/>
      <c r="K137" s="188"/>
      <c r="L137" s="140"/>
      <c r="M137" s="140"/>
      <c r="N137" s="176">
        <f>IFERROR(__xludf.DUMMYFUNCTION("""COMPUTED_VALUE"""),45575.64583333333)</f>
        <v>45575.64583</v>
      </c>
      <c r="O137" s="177">
        <f>IFERROR(__xludf.DUMMYFUNCTION("""COMPUTED_VALUE"""),1246.75)</f>
        <v>1246.75</v>
      </c>
      <c r="P137" s="177">
        <f>IFERROR(__xludf.DUMMYFUNCTION("""COMPUTED_VALUE"""),1254.7)</f>
        <v>1254.7</v>
      </c>
      <c r="Q137" s="177">
        <f>IFERROR(__xludf.DUMMYFUNCTION("""COMPUTED_VALUE"""),1238.0)</f>
        <v>1238</v>
      </c>
      <c r="R137" s="177">
        <f>IFERROR(__xludf.DUMMYFUNCTION("""COMPUTED_VALUE"""),1243.5)</f>
        <v>1243.5</v>
      </c>
      <c r="S137" s="177">
        <f>IFERROR(__xludf.DUMMYFUNCTION("""COMPUTED_VALUE"""),9118195.0)</f>
        <v>9118195</v>
      </c>
      <c r="T137" s="177">
        <f t="shared" si="2"/>
        <v>-0.0005225815648</v>
      </c>
      <c r="U137" s="178"/>
      <c r="V137" s="177"/>
      <c r="W137" s="189"/>
      <c r="X137" s="140"/>
      <c r="Y137" s="140"/>
      <c r="Z137" s="176">
        <f>IFERROR(__xludf.DUMMYFUNCTION("""COMPUTED_VALUE"""),45575.64583333333)</f>
        <v>45575.64583</v>
      </c>
      <c r="AA137" s="177">
        <f>IFERROR(__xludf.DUMMYFUNCTION("""COMPUTED_VALUE"""),376.0)</f>
        <v>376</v>
      </c>
      <c r="AB137" s="177">
        <f>IFERROR(__xludf.DUMMYFUNCTION("""COMPUTED_VALUE"""),383.25)</f>
        <v>383.25</v>
      </c>
      <c r="AC137" s="177">
        <f>IFERROR(__xludf.DUMMYFUNCTION("""COMPUTED_VALUE"""),376.0)</f>
        <v>376</v>
      </c>
      <c r="AD137" s="177">
        <f>IFERROR(__xludf.DUMMYFUNCTION("""COMPUTED_VALUE"""),378.9)</f>
        <v>378.9</v>
      </c>
      <c r="AE137" s="177">
        <f>IFERROR(__xludf.DUMMYFUNCTION("""COMPUTED_VALUE"""),6150764.0)</f>
        <v>6150764</v>
      </c>
      <c r="AF137" s="177">
        <f t="shared" si="3"/>
        <v>0.01435431345</v>
      </c>
      <c r="AG137" s="177"/>
      <c r="AH137" s="177"/>
      <c r="AI137" s="189"/>
      <c r="AJ137" s="140"/>
      <c r="AK137" s="140"/>
      <c r="AL137" s="176">
        <f>IFERROR(__xludf.DUMMYFUNCTION("""COMPUTED_VALUE"""),45575.64583333333)</f>
        <v>45575.64583</v>
      </c>
      <c r="AM137" s="177">
        <f>IFERROR(__xludf.DUMMYFUNCTION("""COMPUTED_VALUE"""),4398.0)</f>
        <v>4398</v>
      </c>
      <c r="AN137" s="177">
        <f>IFERROR(__xludf.DUMMYFUNCTION("""COMPUTED_VALUE"""),4538.0)</f>
        <v>4538</v>
      </c>
      <c r="AO137" s="177">
        <f>IFERROR(__xludf.DUMMYFUNCTION("""COMPUTED_VALUE"""),4365.05)</f>
        <v>4365.05</v>
      </c>
      <c r="AP137" s="177">
        <f>IFERROR(__xludf.DUMMYFUNCTION("""COMPUTED_VALUE"""),4482.25)</f>
        <v>4482.25</v>
      </c>
      <c r="AQ137" s="177">
        <f>IFERROR(__xludf.DUMMYFUNCTION("""COMPUTED_VALUE"""),2294983.0)</f>
        <v>2294983</v>
      </c>
      <c r="AR137" s="177">
        <f t="shared" si="4"/>
        <v>0.02158211136</v>
      </c>
      <c r="AS137" s="177"/>
      <c r="AT137" s="177"/>
      <c r="AU137" s="189"/>
      <c r="AV137" s="140"/>
      <c r="AW137" s="140"/>
      <c r="AX137" s="176">
        <f>IFERROR(__xludf.DUMMYFUNCTION("""COMPUTED_VALUE"""),45575.64583333333)</f>
        <v>45575.64583</v>
      </c>
      <c r="AY137" s="177">
        <f>IFERROR(__xludf.DUMMYFUNCTION("""COMPUTED_VALUE"""),495.35)</f>
        <v>495.35</v>
      </c>
      <c r="AZ137" s="177">
        <f>IFERROR(__xludf.DUMMYFUNCTION("""COMPUTED_VALUE"""),495.65)</f>
        <v>495.65</v>
      </c>
      <c r="BA137" s="177">
        <f>IFERROR(__xludf.DUMMYFUNCTION("""COMPUTED_VALUE"""),489.45)</f>
        <v>489.45</v>
      </c>
      <c r="BB137" s="177">
        <f>IFERROR(__xludf.DUMMYFUNCTION("""COMPUTED_VALUE"""),492.05)</f>
        <v>492.05</v>
      </c>
      <c r="BC137" s="177">
        <f>IFERROR(__xludf.DUMMYFUNCTION("""COMPUTED_VALUE"""),1.2799333E7)</f>
        <v>12799333</v>
      </c>
      <c r="BD137" s="177">
        <f t="shared" si="5"/>
        <v>0.0007115629271</v>
      </c>
      <c r="BE137" s="177"/>
      <c r="BF137" s="177"/>
      <c r="BG137" s="189"/>
      <c r="BH137" s="140"/>
      <c r="BI137" s="140"/>
      <c r="BJ137" s="140"/>
      <c r="BK137" s="140"/>
      <c r="BL137" s="140"/>
      <c r="BM137" s="140"/>
      <c r="BN137" s="140"/>
      <c r="BO137" s="140"/>
      <c r="BP137" s="140"/>
      <c r="BQ137" s="140"/>
      <c r="BR137" s="140"/>
      <c r="BS137" s="140"/>
      <c r="BT137" s="140"/>
      <c r="BU137" s="140"/>
      <c r="BV137" s="140"/>
      <c r="BW137" s="140"/>
      <c r="BX137" s="140"/>
      <c r="BY137" s="140"/>
    </row>
    <row r="138" ht="15.75" customHeight="1">
      <c r="A138" s="168"/>
      <c r="B138" s="169">
        <v>45576.0</v>
      </c>
      <c r="C138" s="170">
        <v>7097.12</v>
      </c>
      <c r="D138" s="170">
        <v>7197.12</v>
      </c>
      <c r="E138" s="170">
        <v>7093.12</v>
      </c>
      <c r="F138" s="170">
        <v>7181.12</v>
      </c>
      <c r="G138" s="171" t="s">
        <v>238</v>
      </c>
      <c r="H138" s="172">
        <f t="shared" si="1"/>
        <v>0.01237799451</v>
      </c>
      <c r="I138" s="172"/>
      <c r="J138" s="172"/>
      <c r="K138" s="188"/>
      <c r="L138" s="140"/>
      <c r="M138" s="140"/>
      <c r="N138" s="176">
        <f>IFERROR(__xludf.DUMMYFUNCTION("""COMPUTED_VALUE"""),45576.64583333333)</f>
        <v>45576.64583</v>
      </c>
      <c r="O138" s="177">
        <f>IFERROR(__xludf.DUMMYFUNCTION("""COMPUTED_VALUE"""),1237.0)</f>
        <v>1237</v>
      </c>
      <c r="P138" s="177">
        <f>IFERROR(__xludf.DUMMYFUNCTION("""COMPUTED_VALUE"""),1240.8)</f>
        <v>1240.8</v>
      </c>
      <c r="Q138" s="177">
        <f>IFERROR(__xludf.DUMMYFUNCTION("""COMPUTED_VALUE"""),1222.0)</f>
        <v>1222</v>
      </c>
      <c r="R138" s="177">
        <f>IFERROR(__xludf.DUMMYFUNCTION("""COMPUTED_VALUE"""),1223.0)</f>
        <v>1223</v>
      </c>
      <c r="S138" s="177">
        <f>IFERROR(__xludf.DUMMYFUNCTION("""COMPUTED_VALUE"""),8472512.0)</f>
        <v>8472512</v>
      </c>
      <c r="T138" s="177">
        <f t="shared" si="2"/>
        <v>-0.01662312756</v>
      </c>
      <c r="U138" s="178"/>
      <c r="V138" s="177"/>
      <c r="W138" s="189"/>
      <c r="X138" s="140"/>
      <c r="Y138" s="140"/>
      <c r="Z138" s="176">
        <f>IFERROR(__xludf.DUMMYFUNCTION("""COMPUTED_VALUE"""),45576.64583333333)</f>
        <v>45576.64583</v>
      </c>
      <c r="AA138" s="177">
        <f>IFERROR(__xludf.DUMMYFUNCTION("""COMPUTED_VALUE"""),380.8)</f>
        <v>380.8</v>
      </c>
      <c r="AB138" s="177">
        <f>IFERROR(__xludf.DUMMYFUNCTION("""COMPUTED_VALUE"""),382.85)</f>
        <v>382.85</v>
      </c>
      <c r="AC138" s="177">
        <f>IFERROR(__xludf.DUMMYFUNCTION("""COMPUTED_VALUE"""),376.5)</f>
        <v>376.5</v>
      </c>
      <c r="AD138" s="177">
        <f>IFERROR(__xludf.DUMMYFUNCTION("""COMPUTED_VALUE"""),378.5)</f>
        <v>378.5</v>
      </c>
      <c r="AE138" s="177">
        <f>IFERROR(__xludf.DUMMYFUNCTION("""COMPUTED_VALUE"""),3322205.0)</f>
        <v>3322205</v>
      </c>
      <c r="AF138" s="177">
        <f t="shared" si="3"/>
        <v>-0.001056245147</v>
      </c>
      <c r="AG138" s="177"/>
      <c r="AH138" s="177"/>
      <c r="AI138" s="189"/>
      <c r="AJ138" s="140"/>
      <c r="AK138" s="140"/>
      <c r="AL138" s="176">
        <f>IFERROR(__xludf.DUMMYFUNCTION("""COMPUTED_VALUE"""),45576.64583333333)</f>
        <v>45576.64583</v>
      </c>
      <c r="AM138" s="177">
        <f>IFERROR(__xludf.DUMMYFUNCTION("""COMPUTED_VALUE"""),4486.0)</f>
        <v>4486</v>
      </c>
      <c r="AN138" s="177">
        <f>IFERROR(__xludf.DUMMYFUNCTION("""COMPUTED_VALUE"""),4515.0)</f>
        <v>4515</v>
      </c>
      <c r="AO138" s="177">
        <f>IFERROR(__xludf.DUMMYFUNCTION("""COMPUTED_VALUE"""),4431.35)</f>
        <v>4431.35</v>
      </c>
      <c r="AP138" s="177">
        <f>IFERROR(__xludf.DUMMYFUNCTION("""COMPUTED_VALUE"""),4446.15)</f>
        <v>4446.15</v>
      </c>
      <c r="AQ138" s="177">
        <f>IFERROR(__xludf.DUMMYFUNCTION("""COMPUTED_VALUE"""),860513.0)</f>
        <v>860513</v>
      </c>
      <c r="AR138" s="177">
        <f t="shared" si="4"/>
        <v>-0.008086599329</v>
      </c>
      <c r="AS138" s="177"/>
      <c r="AT138" s="177"/>
      <c r="AU138" s="189"/>
      <c r="AV138" s="140"/>
      <c r="AW138" s="140"/>
      <c r="AX138" s="176">
        <f>IFERROR(__xludf.DUMMYFUNCTION("""COMPUTED_VALUE"""),45576.64583333333)</f>
        <v>45576.64583</v>
      </c>
      <c r="AY138" s="177">
        <f>IFERROR(__xludf.DUMMYFUNCTION("""COMPUTED_VALUE"""),493.0)</f>
        <v>493</v>
      </c>
      <c r="AZ138" s="177">
        <f>IFERROR(__xludf.DUMMYFUNCTION("""COMPUTED_VALUE"""),493.95)</f>
        <v>493.95</v>
      </c>
      <c r="BA138" s="177">
        <f>IFERROR(__xludf.DUMMYFUNCTION("""COMPUTED_VALUE"""),487.4)</f>
        <v>487.4</v>
      </c>
      <c r="BB138" s="177">
        <f>IFERROR(__xludf.DUMMYFUNCTION("""COMPUTED_VALUE"""),488.2)</f>
        <v>488.2</v>
      </c>
      <c r="BC138" s="177">
        <f>IFERROR(__xludf.DUMMYFUNCTION("""COMPUTED_VALUE"""),1.4394986E7)</f>
        <v>14394986</v>
      </c>
      <c r="BD138" s="177">
        <f t="shared" si="5"/>
        <v>-0.007855179386</v>
      </c>
      <c r="BE138" s="177"/>
      <c r="BF138" s="177"/>
      <c r="BG138" s="189"/>
      <c r="BH138" s="140"/>
      <c r="BI138" s="140"/>
      <c r="BJ138" s="140"/>
      <c r="BK138" s="140"/>
      <c r="BL138" s="140"/>
      <c r="BM138" s="140"/>
      <c r="BN138" s="140"/>
      <c r="BO138" s="140"/>
      <c r="BP138" s="140"/>
      <c r="BQ138" s="140"/>
      <c r="BR138" s="140"/>
      <c r="BS138" s="140"/>
      <c r="BT138" s="140"/>
      <c r="BU138" s="140"/>
      <c r="BV138" s="140"/>
      <c r="BW138" s="140"/>
      <c r="BX138" s="140"/>
      <c r="BY138" s="140"/>
    </row>
    <row r="139" ht="15.75" customHeight="1">
      <c r="A139" s="168"/>
      <c r="B139" s="169">
        <v>45579.0</v>
      </c>
      <c r="C139" s="170">
        <v>7185.12</v>
      </c>
      <c r="D139" s="170">
        <v>7208.78</v>
      </c>
      <c r="E139" s="170">
        <v>7145.12</v>
      </c>
      <c r="F139" s="170">
        <v>7156.12</v>
      </c>
      <c r="G139" s="171" t="s">
        <v>238</v>
      </c>
      <c r="H139" s="172">
        <f t="shared" si="1"/>
        <v>-0.003487425102</v>
      </c>
      <c r="I139" s="172"/>
      <c r="J139" s="172"/>
      <c r="K139" s="188"/>
      <c r="L139" s="140"/>
      <c r="M139" s="140"/>
      <c r="N139" s="176">
        <f>IFERROR(__xludf.DUMMYFUNCTION("""COMPUTED_VALUE"""),45579.64583333333)</f>
        <v>45579.64583</v>
      </c>
      <c r="O139" s="177">
        <f>IFERROR(__xludf.DUMMYFUNCTION("""COMPUTED_VALUE"""),1221.0)</f>
        <v>1221</v>
      </c>
      <c r="P139" s="177">
        <f>IFERROR(__xludf.DUMMYFUNCTION("""COMPUTED_VALUE"""),1237.9)</f>
        <v>1237.9</v>
      </c>
      <c r="Q139" s="177">
        <f>IFERROR(__xludf.DUMMYFUNCTION("""COMPUTED_VALUE"""),1217.4)</f>
        <v>1217.4</v>
      </c>
      <c r="R139" s="177">
        <f>IFERROR(__xludf.DUMMYFUNCTION("""COMPUTED_VALUE"""),1231.75)</f>
        <v>1231.75</v>
      </c>
      <c r="S139" s="177">
        <f>IFERROR(__xludf.DUMMYFUNCTION("""COMPUTED_VALUE"""),1.1833929E7)</f>
        <v>11833929</v>
      </c>
      <c r="T139" s="177">
        <f t="shared" si="2"/>
        <v>0.007129065737</v>
      </c>
      <c r="U139" s="178"/>
      <c r="V139" s="177"/>
      <c r="W139" s="189"/>
      <c r="X139" s="140"/>
      <c r="Y139" s="140"/>
      <c r="Z139" s="176">
        <f>IFERROR(__xludf.DUMMYFUNCTION("""COMPUTED_VALUE"""),45579.64583333333)</f>
        <v>45579.64583</v>
      </c>
      <c r="AA139" s="177">
        <f>IFERROR(__xludf.DUMMYFUNCTION("""COMPUTED_VALUE"""),380.4)</f>
        <v>380.4</v>
      </c>
      <c r="AB139" s="177">
        <f>IFERROR(__xludf.DUMMYFUNCTION("""COMPUTED_VALUE"""),389.0)</f>
        <v>389</v>
      </c>
      <c r="AC139" s="177">
        <f>IFERROR(__xludf.DUMMYFUNCTION("""COMPUTED_VALUE"""),378.25)</f>
        <v>378.25</v>
      </c>
      <c r="AD139" s="177">
        <f>IFERROR(__xludf.DUMMYFUNCTION("""COMPUTED_VALUE"""),386.9)</f>
        <v>386.9</v>
      </c>
      <c r="AE139" s="177">
        <f>IFERROR(__xludf.DUMMYFUNCTION("""COMPUTED_VALUE"""),5695193.0)</f>
        <v>5695193</v>
      </c>
      <c r="AF139" s="177">
        <f t="shared" si="3"/>
        <v>0.02195018883</v>
      </c>
      <c r="AG139" s="177"/>
      <c r="AH139" s="177"/>
      <c r="AI139" s="189"/>
      <c r="AJ139" s="140"/>
      <c r="AK139" s="140"/>
      <c r="AL139" s="176">
        <f>IFERROR(__xludf.DUMMYFUNCTION("""COMPUTED_VALUE"""),45579.64583333333)</f>
        <v>45579.64583</v>
      </c>
      <c r="AM139" s="177">
        <f>IFERROR(__xludf.DUMMYFUNCTION("""COMPUTED_VALUE"""),4518.3)</f>
        <v>4518.3</v>
      </c>
      <c r="AN139" s="177">
        <f>IFERROR(__xludf.DUMMYFUNCTION("""COMPUTED_VALUE"""),4544.8)</f>
        <v>4544.8</v>
      </c>
      <c r="AO139" s="177">
        <f>IFERROR(__xludf.DUMMYFUNCTION("""COMPUTED_VALUE"""),4488.45)</f>
        <v>4488.45</v>
      </c>
      <c r="AP139" s="177">
        <f>IFERROR(__xludf.DUMMYFUNCTION("""COMPUTED_VALUE"""),4507.55)</f>
        <v>4507.55</v>
      </c>
      <c r="AQ139" s="177">
        <f>IFERROR(__xludf.DUMMYFUNCTION("""COMPUTED_VALUE"""),1482299.0)</f>
        <v>1482299</v>
      </c>
      <c r="AR139" s="177">
        <f t="shared" si="4"/>
        <v>0.01371521549</v>
      </c>
      <c r="AS139" s="177"/>
      <c r="AT139" s="177"/>
      <c r="AU139" s="189"/>
      <c r="AV139" s="140"/>
      <c r="AW139" s="140"/>
      <c r="AX139" s="176">
        <f>IFERROR(__xludf.DUMMYFUNCTION("""COMPUTED_VALUE"""),45579.64583333333)</f>
        <v>45579.64583</v>
      </c>
      <c r="AY139" s="177">
        <f>IFERROR(__xludf.DUMMYFUNCTION("""COMPUTED_VALUE"""),491.0)</f>
        <v>491</v>
      </c>
      <c r="AZ139" s="177">
        <f>IFERROR(__xludf.DUMMYFUNCTION("""COMPUTED_VALUE"""),499.0)</f>
        <v>499</v>
      </c>
      <c r="BA139" s="177">
        <f>IFERROR(__xludf.DUMMYFUNCTION("""COMPUTED_VALUE"""),488.65)</f>
        <v>488.65</v>
      </c>
      <c r="BB139" s="177">
        <f>IFERROR(__xludf.DUMMYFUNCTION("""COMPUTED_VALUE"""),496.95)</f>
        <v>496.95</v>
      </c>
      <c r="BC139" s="177">
        <f>IFERROR(__xludf.DUMMYFUNCTION("""COMPUTED_VALUE"""),6712103.0)</f>
        <v>6712103</v>
      </c>
      <c r="BD139" s="177">
        <f t="shared" si="5"/>
        <v>0.01776425946</v>
      </c>
      <c r="BE139" s="177"/>
      <c r="BF139" s="177"/>
      <c r="BG139" s="189"/>
      <c r="BH139" s="140"/>
      <c r="BI139" s="140"/>
      <c r="BJ139" s="140"/>
      <c r="BK139" s="140"/>
      <c r="BL139" s="140"/>
      <c r="BM139" s="140"/>
      <c r="BN139" s="140"/>
      <c r="BO139" s="140"/>
      <c r="BP139" s="140"/>
      <c r="BQ139" s="140"/>
      <c r="BR139" s="140"/>
      <c r="BS139" s="140"/>
      <c r="BT139" s="140"/>
      <c r="BU139" s="140"/>
      <c r="BV139" s="140"/>
      <c r="BW139" s="140"/>
      <c r="BX139" s="140"/>
      <c r="BY139" s="140"/>
    </row>
    <row r="140" ht="15.75" customHeight="1">
      <c r="A140" s="168"/>
      <c r="B140" s="169">
        <v>45580.0</v>
      </c>
      <c r="C140" s="170">
        <v>7160.12</v>
      </c>
      <c r="D140" s="170">
        <v>7213.52</v>
      </c>
      <c r="E140" s="170">
        <v>7130.12</v>
      </c>
      <c r="F140" s="170">
        <v>7191.12</v>
      </c>
      <c r="G140" s="171" t="s">
        <v>238</v>
      </c>
      <c r="H140" s="172">
        <f t="shared" si="1"/>
        <v>0.004878996857</v>
      </c>
      <c r="I140" s="172"/>
      <c r="J140" s="172"/>
      <c r="K140" s="188"/>
      <c r="L140" s="140"/>
      <c r="M140" s="140"/>
      <c r="N140" s="176">
        <f>IFERROR(__xludf.DUMMYFUNCTION("""COMPUTED_VALUE"""),45580.64583333333)</f>
        <v>45580.64583</v>
      </c>
      <c r="O140" s="177">
        <f>IFERROR(__xludf.DUMMYFUNCTION("""COMPUTED_VALUE"""),1238.95)</f>
        <v>1238.95</v>
      </c>
      <c r="P140" s="177">
        <f>IFERROR(__xludf.DUMMYFUNCTION("""COMPUTED_VALUE"""),1258.3)</f>
        <v>1258.3</v>
      </c>
      <c r="Q140" s="177">
        <f>IFERROR(__xludf.DUMMYFUNCTION("""COMPUTED_VALUE"""),1235.4)</f>
        <v>1235.4</v>
      </c>
      <c r="R140" s="177">
        <f>IFERROR(__xludf.DUMMYFUNCTION("""COMPUTED_VALUE"""),1255.5)</f>
        <v>1255.5</v>
      </c>
      <c r="S140" s="177">
        <f>IFERROR(__xludf.DUMMYFUNCTION("""COMPUTED_VALUE"""),1.1657338E7)</f>
        <v>11657338</v>
      </c>
      <c r="T140" s="177">
        <f t="shared" si="2"/>
        <v>0.01909797717</v>
      </c>
      <c r="U140" s="178"/>
      <c r="V140" s="177"/>
      <c r="W140" s="189"/>
      <c r="X140" s="140"/>
      <c r="Y140" s="140"/>
      <c r="Z140" s="176">
        <f>IFERROR(__xludf.DUMMYFUNCTION("""COMPUTED_VALUE"""),45580.64583333333)</f>
        <v>45580.64583</v>
      </c>
      <c r="AA140" s="177">
        <f>IFERROR(__xludf.DUMMYFUNCTION("""COMPUTED_VALUE"""),387.6)</f>
        <v>387.6</v>
      </c>
      <c r="AB140" s="177">
        <f>IFERROR(__xludf.DUMMYFUNCTION("""COMPUTED_VALUE"""),388.95)</f>
        <v>388.95</v>
      </c>
      <c r="AC140" s="177">
        <f>IFERROR(__xludf.DUMMYFUNCTION("""COMPUTED_VALUE"""),381.55)</f>
        <v>381.55</v>
      </c>
      <c r="AD140" s="177">
        <f>IFERROR(__xludf.DUMMYFUNCTION("""COMPUTED_VALUE"""),385.9)</f>
        <v>385.9</v>
      </c>
      <c r="AE140" s="177">
        <f>IFERROR(__xludf.DUMMYFUNCTION("""COMPUTED_VALUE"""),3460929.0)</f>
        <v>3460929</v>
      </c>
      <c r="AF140" s="177">
        <f t="shared" si="3"/>
        <v>-0.002587993163</v>
      </c>
      <c r="AG140" s="177"/>
      <c r="AH140" s="177"/>
      <c r="AI140" s="189"/>
      <c r="AJ140" s="140"/>
      <c r="AK140" s="140"/>
      <c r="AL140" s="176">
        <f>IFERROR(__xludf.DUMMYFUNCTION("""COMPUTED_VALUE"""),45580.64583333333)</f>
        <v>45580.64583</v>
      </c>
      <c r="AM140" s="177">
        <f>IFERROR(__xludf.DUMMYFUNCTION("""COMPUTED_VALUE"""),4524.0)</f>
        <v>4524</v>
      </c>
      <c r="AN140" s="177">
        <f>IFERROR(__xludf.DUMMYFUNCTION("""COMPUTED_VALUE"""),4597.9)</f>
        <v>4597.9</v>
      </c>
      <c r="AO140" s="177">
        <f>IFERROR(__xludf.DUMMYFUNCTION("""COMPUTED_VALUE"""),4498.45)</f>
        <v>4498.45</v>
      </c>
      <c r="AP140" s="177">
        <f>IFERROR(__xludf.DUMMYFUNCTION("""COMPUTED_VALUE"""),4575.4)</f>
        <v>4575.4</v>
      </c>
      <c r="AQ140" s="177">
        <f>IFERROR(__xludf.DUMMYFUNCTION("""COMPUTED_VALUE"""),1760628.0)</f>
        <v>1760628</v>
      </c>
      <c r="AR140" s="177">
        <f t="shared" si="4"/>
        <v>0.01494035794</v>
      </c>
      <c r="AS140" s="177"/>
      <c r="AT140" s="177"/>
      <c r="AU140" s="189"/>
      <c r="AV140" s="140"/>
      <c r="AW140" s="140"/>
      <c r="AX140" s="176">
        <f>IFERROR(__xludf.DUMMYFUNCTION("""COMPUTED_VALUE"""),45580.64583333333)</f>
        <v>45580.64583</v>
      </c>
      <c r="AY140" s="177">
        <f>IFERROR(__xludf.DUMMYFUNCTION("""COMPUTED_VALUE"""),498.0)</f>
        <v>498</v>
      </c>
      <c r="AZ140" s="177">
        <f>IFERROR(__xludf.DUMMYFUNCTION("""COMPUTED_VALUE"""),499.4)</f>
        <v>499.4</v>
      </c>
      <c r="BA140" s="177">
        <f>IFERROR(__xludf.DUMMYFUNCTION("""COMPUTED_VALUE"""),494.5)</f>
        <v>494.5</v>
      </c>
      <c r="BB140" s="177">
        <f>IFERROR(__xludf.DUMMYFUNCTION("""COMPUTED_VALUE"""),498.55)</f>
        <v>498.55</v>
      </c>
      <c r="BC140" s="177">
        <f>IFERROR(__xludf.DUMMYFUNCTION("""COMPUTED_VALUE"""),8037662.0)</f>
        <v>8037662</v>
      </c>
      <c r="BD140" s="177">
        <f t="shared" si="5"/>
        <v>0.003214467861</v>
      </c>
      <c r="BE140" s="177"/>
      <c r="BF140" s="177"/>
      <c r="BG140" s="189"/>
      <c r="BH140" s="140"/>
      <c r="BI140" s="140"/>
      <c r="BJ140" s="140"/>
      <c r="BK140" s="140"/>
      <c r="BL140" s="140"/>
      <c r="BM140" s="140"/>
      <c r="BN140" s="140"/>
      <c r="BO140" s="140"/>
      <c r="BP140" s="140"/>
      <c r="BQ140" s="140"/>
      <c r="BR140" s="140"/>
      <c r="BS140" s="140"/>
      <c r="BT140" s="140"/>
      <c r="BU140" s="140"/>
      <c r="BV140" s="140"/>
      <c r="BW140" s="140"/>
      <c r="BX140" s="140"/>
      <c r="BY140" s="140"/>
    </row>
    <row r="141" ht="15.75" customHeight="1">
      <c r="A141" s="168"/>
      <c r="B141" s="169">
        <v>45581.0</v>
      </c>
      <c r="C141" s="170">
        <v>7195.52</v>
      </c>
      <c r="D141" s="170">
        <v>7254.78</v>
      </c>
      <c r="E141" s="170">
        <v>7183.52</v>
      </c>
      <c r="F141" s="170">
        <v>7217.12</v>
      </c>
      <c r="G141" s="171" t="s">
        <v>238</v>
      </c>
      <c r="H141" s="172">
        <f t="shared" si="1"/>
        <v>0.003609049852</v>
      </c>
      <c r="I141" s="172"/>
      <c r="J141" s="172"/>
      <c r="K141" s="188"/>
      <c r="L141" s="140"/>
      <c r="M141" s="140"/>
      <c r="N141" s="176">
        <f>IFERROR(__xludf.DUMMYFUNCTION("""COMPUTED_VALUE"""),45581.64583333333)</f>
        <v>45581.64583</v>
      </c>
      <c r="O141" s="177">
        <f>IFERROR(__xludf.DUMMYFUNCTION("""COMPUTED_VALUE"""),1248.5)</f>
        <v>1248.5</v>
      </c>
      <c r="P141" s="177">
        <f>IFERROR(__xludf.DUMMYFUNCTION("""COMPUTED_VALUE"""),1254.95)</f>
        <v>1254.95</v>
      </c>
      <c r="Q141" s="177">
        <f>IFERROR(__xludf.DUMMYFUNCTION("""COMPUTED_VALUE"""),1241.6)</f>
        <v>1241.6</v>
      </c>
      <c r="R141" s="177">
        <f>IFERROR(__xludf.DUMMYFUNCTION("""COMPUTED_VALUE"""),1243.15)</f>
        <v>1243.15</v>
      </c>
      <c r="S141" s="177">
        <f>IFERROR(__xludf.DUMMYFUNCTION("""COMPUTED_VALUE"""),7869727.0)</f>
        <v>7869727</v>
      </c>
      <c r="T141" s="177">
        <f t="shared" si="2"/>
        <v>-0.009885418583</v>
      </c>
      <c r="U141" s="178"/>
      <c r="V141" s="177"/>
      <c r="W141" s="189"/>
      <c r="X141" s="140"/>
      <c r="Y141" s="140"/>
      <c r="Z141" s="176">
        <f>IFERROR(__xludf.DUMMYFUNCTION("""COMPUTED_VALUE"""),45581.64583333333)</f>
        <v>45581.64583</v>
      </c>
      <c r="AA141" s="177">
        <f>IFERROR(__xludf.DUMMYFUNCTION("""COMPUTED_VALUE"""),384.95)</f>
        <v>384.95</v>
      </c>
      <c r="AB141" s="177">
        <f>IFERROR(__xludf.DUMMYFUNCTION("""COMPUTED_VALUE"""),390.4)</f>
        <v>390.4</v>
      </c>
      <c r="AC141" s="177">
        <f>IFERROR(__xludf.DUMMYFUNCTION("""COMPUTED_VALUE"""),380.3)</f>
        <v>380.3</v>
      </c>
      <c r="AD141" s="177">
        <f>IFERROR(__xludf.DUMMYFUNCTION("""COMPUTED_VALUE"""),388.25)</f>
        <v>388.25</v>
      </c>
      <c r="AE141" s="177">
        <f>IFERROR(__xludf.DUMMYFUNCTION("""COMPUTED_VALUE"""),3840308.0)</f>
        <v>3840308</v>
      </c>
      <c r="AF141" s="177">
        <f t="shared" si="3"/>
        <v>0.006071193485</v>
      </c>
      <c r="AG141" s="177"/>
      <c r="AH141" s="177"/>
      <c r="AI141" s="189"/>
      <c r="AJ141" s="140"/>
      <c r="AK141" s="140"/>
      <c r="AL141" s="176">
        <f>IFERROR(__xludf.DUMMYFUNCTION("""COMPUTED_VALUE"""),45581.64583333333)</f>
        <v>45581.64583</v>
      </c>
      <c r="AM141" s="177">
        <f>IFERROR(__xludf.DUMMYFUNCTION("""COMPUTED_VALUE"""),4619.0)</f>
        <v>4619</v>
      </c>
      <c r="AN141" s="177">
        <f>IFERROR(__xludf.DUMMYFUNCTION("""COMPUTED_VALUE"""),4676.6)</f>
        <v>4676.6</v>
      </c>
      <c r="AO141" s="177">
        <f>IFERROR(__xludf.DUMMYFUNCTION("""COMPUTED_VALUE"""),4600.0)</f>
        <v>4600</v>
      </c>
      <c r="AP141" s="177">
        <f>IFERROR(__xludf.DUMMYFUNCTION("""COMPUTED_VALUE"""),4656.25)</f>
        <v>4656.25</v>
      </c>
      <c r="AQ141" s="177">
        <f>IFERROR(__xludf.DUMMYFUNCTION("""COMPUTED_VALUE"""),2398061.0)</f>
        <v>2398061</v>
      </c>
      <c r="AR141" s="177">
        <f t="shared" si="4"/>
        <v>0.01751627655</v>
      </c>
      <c r="AS141" s="177"/>
      <c r="AT141" s="177"/>
      <c r="AU141" s="189"/>
      <c r="AV141" s="140"/>
      <c r="AW141" s="140"/>
      <c r="AX141" s="176">
        <f>IFERROR(__xludf.DUMMYFUNCTION("""COMPUTED_VALUE"""),45581.64583333333)</f>
        <v>45581.64583</v>
      </c>
      <c r="AY141" s="177">
        <f>IFERROR(__xludf.DUMMYFUNCTION("""COMPUTED_VALUE"""),496.0)</f>
        <v>496</v>
      </c>
      <c r="AZ141" s="177">
        <f>IFERROR(__xludf.DUMMYFUNCTION("""COMPUTED_VALUE"""),498.85)</f>
        <v>498.85</v>
      </c>
      <c r="BA141" s="177">
        <f>IFERROR(__xludf.DUMMYFUNCTION("""COMPUTED_VALUE"""),492.35)</f>
        <v>492.35</v>
      </c>
      <c r="BB141" s="177">
        <f>IFERROR(__xludf.DUMMYFUNCTION("""COMPUTED_VALUE"""),493.2)</f>
        <v>493.2</v>
      </c>
      <c r="BC141" s="177">
        <f>IFERROR(__xludf.DUMMYFUNCTION("""COMPUTED_VALUE"""),6682083.0)</f>
        <v>6682083</v>
      </c>
      <c r="BD141" s="177">
        <f t="shared" si="5"/>
        <v>-0.01078911398</v>
      </c>
      <c r="BE141" s="177"/>
      <c r="BF141" s="177"/>
      <c r="BG141" s="189"/>
      <c r="BH141" s="140"/>
      <c r="BI141" s="140"/>
      <c r="BJ141" s="140"/>
      <c r="BK141" s="140"/>
      <c r="BL141" s="140"/>
      <c r="BM141" s="140"/>
      <c r="BN141" s="140"/>
      <c r="BO141" s="140"/>
      <c r="BP141" s="140"/>
      <c r="BQ141" s="140"/>
      <c r="BR141" s="140"/>
      <c r="BS141" s="140"/>
      <c r="BT141" s="140"/>
      <c r="BU141" s="140"/>
      <c r="BV141" s="140"/>
      <c r="BW141" s="140"/>
      <c r="BX141" s="140"/>
      <c r="BY141" s="140"/>
    </row>
    <row r="142" ht="15.75" customHeight="1">
      <c r="A142" s="168"/>
      <c r="B142" s="169">
        <v>45582.0</v>
      </c>
      <c r="C142" s="170">
        <v>7221.12</v>
      </c>
      <c r="D142" s="170">
        <v>7288.12</v>
      </c>
      <c r="E142" s="170">
        <v>7219.12</v>
      </c>
      <c r="F142" s="170">
        <v>7274.78</v>
      </c>
      <c r="G142" s="171" t="s">
        <v>238</v>
      </c>
      <c r="H142" s="172">
        <f t="shared" si="1"/>
        <v>0.007957590691</v>
      </c>
      <c r="I142" s="172"/>
      <c r="J142" s="172"/>
      <c r="K142" s="188"/>
      <c r="L142" s="140"/>
      <c r="M142" s="140"/>
      <c r="N142" s="176">
        <f>IFERROR(__xludf.DUMMYFUNCTION("""COMPUTED_VALUE"""),45582.64583333333)</f>
        <v>45582.64583</v>
      </c>
      <c r="O142" s="177">
        <f>IFERROR(__xludf.DUMMYFUNCTION("""COMPUTED_VALUE"""),1249.45)</f>
        <v>1249.45</v>
      </c>
      <c r="P142" s="177">
        <f>IFERROR(__xludf.DUMMYFUNCTION("""COMPUTED_VALUE"""),1256.95)</f>
        <v>1256.95</v>
      </c>
      <c r="Q142" s="177">
        <f>IFERROR(__xludf.DUMMYFUNCTION("""COMPUTED_VALUE"""),1224.4)</f>
        <v>1224.4</v>
      </c>
      <c r="R142" s="177">
        <f>IFERROR(__xludf.DUMMYFUNCTION("""COMPUTED_VALUE"""),1231.25)</f>
        <v>1231.25</v>
      </c>
      <c r="S142" s="177">
        <f>IFERROR(__xludf.DUMMYFUNCTION("""COMPUTED_VALUE"""),8459497.0)</f>
        <v>8459497</v>
      </c>
      <c r="T142" s="177">
        <f t="shared" si="2"/>
        <v>-0.009618567528</v>
      </c>
      <c r="U142" s="178"/>
      <c r="V142" s="177"/>
      <c r="W142" s="189"/>
      <c r="X142" s="140"/>
      <c r="Y142" s="140"/>
      <c r="Z142" s="176">
        <f>IFERROR(__xludf.DUMMYFUNCTION("""COMPUTED_VALUE"""),45582.64583333333)</f>
        <v>45582.64583</v>
      </c>
      <c r="AA142" s="177">
        <f>IFERROR(__xludf.DUMMYFUNCTION("""COMPUTED_VALUE"""),386.5)</f>
        <v>386.5</v>
      </c>
      <c r="AB142" s="177">
        <f>IFERROR(__xludf.DUMMYFUNCTION("""COMPUTED_VALUE"""),391.0)</f>
        <v>391</v>
      </c>
      <c r="AC142" s="177">
        <f>IFERROR(__xludf.DUMMYFUNCTION("""COMPUTED_VALUE"""),382.75)</f>
        <v>382.75</v>
      </c>
      <c r="AD142" s="177">
        <f>IFERROR(__xludf.DUMMYFUNCTION("""COMPUTED_VALUE"""),384.75)</f>
        <v>384.75</v>
      </c>
      <c r="AE142" s="177">
        <f>IFERROR(__xludf.DUMMYFUNCTION("""COMPUTED_VALUE"""),5379127.0)</f>
        <v>5379127</v>
      </c>
      <c r="AF142" s="177">
        <f t="shared" si="3"/>
        <v>-0.00905568931</v>
      </c>
      <c r="AG142" s="177"/>
      <c r="AH142" s="177"/>
      <c r="AI142" s="189"/>
      <c r="AJ142" s="140"/>
      <c r="AK142" s="140"/>
      <c r="AL142" s="176">
        <f>IFERROR(__xludf.DUMMYFUNCTION("""COMPUTED_VALUE"""),45582.64583333333)</f>
        <v>45582.64583</v>
      </c>
      <c r="AM142" s="177">
        <f>IFERROR(__xludf.DUMMYFUNCTION("""COMPUTED_VALUE"""),4671.0)</f>
        <v>4671</v>
      </c>
      <c r="AN142" s="177">
        <f>IFERROR(__xludf.DUMMYFUNCTION("""COMPUTED_VALUE"""),4671.0)</f>
        <v>4671</v>
      </c>
      <c r="AO142" s="177">
        <f>IFERROR(__xludf.DUMMYFUNCTION("""COMPUTED_VALUE"""),4505.25)</f>
        <v>4505.25</v>
      </c>
      <c r="AP142" s="177">
        <f>IFERROR(__xludf.DUMMYFUNCTION("""COMPUTED_VALUE"""),4518.6)</f>
        <v>4518.6</v>
      </c>
      <c r="AQ142" s="177">
        <f>IFERROR(__xludf.DUMMYFUNCTION("""COMPUTED_VALUE"""),1346544.0)</f>
        <v>1346544</v>
      </c>
      <c r="AR142" s="177">
        <f t="shared" si="4"/>
        <v>-0.03000819179</v>
      </c>
      <c r="AS142" s="177"/>
      <c r="AT142" s="177"/>
      <c r="AU142" s="189"/>
      <c r="AV142" s="140"/>
      <c r="AW142" s="140"/>
      <c r="AX142" s="176">
        <f>IFERROR(__xludf.DUMMYFUNCTION("""COMPUTED_VALUE"""),45582.64583333333)</f>
        <v>45582.64583</v>
      </c>
      <c r="AY142" s="177">
        <f>IFERROR(__xludf.DUMMYFUNCTION("""COMPUTED_VALUE"""),495.0)</f>
        <v>495</v>
      </c>
      <c r="AZ142" s="177">
        <f>IFERROR(__xludf.DUMMYFUNCTION("""COMPUTED_VALUE"""),495.0)</f>
        <v>495</v>
      </c>
      <c r="BA142" s="177">
        <f>IFERROR(__xludf.DUMMYFUNCTION("""COMPUTED_VALUE"""),488.0)</f>
        <v>488</v>
      </c>
      <c r="BB142" s="177">
        <f>IFERROR(__xludf.DUMMYFUNCTION("""COMPUTED_VALUE"""),488.9)</f>
        <v>488.9</v>
      </c>
      <c r="BC142" s="177">
        <f>IFERROR(__xludf.DUMMYFUNCTION("""COMPUTED_VALUE"""),7385299.0)</f>
        <v>7385299</v>
      </c>
      <c r="BD142" s="177">
        <f t="shared" si="5"/>
        <v>-0.008756801706</v>
      </c>
      <c r="BE142" s="177"/>
      <c r="BF142" s="177"/>
      <c r="BG142" s="189"/>
      <c r="BH142" s="140"/>
      <c r="BI142" s="140"/>
      <c r="BJ142" s="140"/>
      <c r="BK142" s="140"/>
      <c r="BL142" s="140"/>
      <c r="BM142" s="140"/>
      <c r="BN142" s="140"/>
      <c r="BO142" s="140"/>
      <c r="BP142" s="140"/>
      <c r="BQ142" s="140"/>
      <c r="BR142" s="140"/>
      <c r="BS142" s="140"/>
      <c r="BT142" s="140"/>
      <c r="BU142" s="140"/>
      <c r="BV142" s="140"/>
      <c r="BW142" s="140"/>
      <c r="BX142" s="140"/>
      <c r="BY142" s="140"/>
    </row>
    <row r="143" ht="15.75" customHeight="1">
      <c r="A143" s="168"/>
      <c r="B143" s="169">
        <v>45583.0</v>
      </c>
      <c r="C143" s="170">
        <v>7277.12</v>
      </c>
      <c r="D143" s="170">
        <v>7359.12</v>
      </c>
      <c r="E143" s="170">
        <v>7272.12</v>
      </c>
      <c r="F143" s="170">
        <v>7354.78</v>
      </c>
      <c r="G143" s="171" t="s">
        <v>238</v>
      </c>
      <c r="H143" s="172">
        <f t="shared" si="1"/>
        <v>0.01093686993</v>
      </c>
      <c r="I143" s="172"/>
      <c r="J143" s="172"/>
      <c r="K143" s="188"/>
      <c r="L143" s="140"/>
      <c r="M143" s="140"/>
      <c r="N143" s="176">
        <f>IFERROR(__xludf.DUMMYFUNCTION("""COMPUTED_VALUE"""),45583.64583333333)</f>
        <v>45583.64583</v>
      </c>
      <c r="O143" s="177">
        <f>IFERROR(__xludf.DUMMYFUNCTION("""COMPUTED_VALUE"""),1227.95)</f>
        <v>1227.95</v>
      </c>
      <c r="P143" s="177">
        <f>IFERROR(__xludf.DUMMYFUNCTION("""COMPUTED_VALUE"""),1268.9)</f>
        <v>1268.9</v>
      </c>
      <c r="Q143" s="177">
        <f>IFERROR(__xludf.DUMMYFUNCTION("""COMPUTED_VALUE"""),1225.25)</f>
        <v>1225.25</v>
      </c>
      <c r="R143" s="177">
        <f>IFERROR(__xludf.DUMMYFUNCTION("""COMPUTED_VALUE"""),1264.5)</f>
        <v>1264.5</v>
      </c>
      <c r="S143" s="177">
        <f>IFERROR(__xludf.DUMMYFUNCTION("""COMPUTED_VALUE"""),1.1018126E7)</f>
        <v>11018126</v>
      </c>
      <c r="T143" s="177">
        <f t="shared" si="2"/>
        <v>0.02664687362</v>
      </c>
      <c r="U143" s="178"/>
      <c r="V143" s="177"/>
      <c r="W143" s="189"/>
      <c r="X143" s="140"/>
      <c r="Y143" s="140"/>
      <c r="Z143" s="176">
        <f>IFERROR(__xludf.DUMMYFUNCTION("""COMPUTED_VALUE"""),45583.64583333333)</f>
        <v>45583.64583</v>
      </c>
      <c r="AA143" s="177">
        <f>IFERROR(__xludf.DUMMYFUNCTION("""COMPUTED_VALUE"""),383.65)</f>
        <v>383.65</v>
      </c>
      <c r="AB143" s="177">
        <f>IFERROR(__xludf.DUMMYFUNCTION("""COMPUTED_VALUE"""),386.35)</f>
        <v>386.35</v>
      </c>
      <c r="AC143" s="177">
        <f>IFERROR(__xludf.DUMMYFUNCTION("""COMPUTED_VALUE"""),378.2)</f>
        <v>378.2</v>
      </c>
      <c r="AD143" s="177">
        <f>IFERROR(__xludf.DUMMYFUNCTION("""COMPUTED_VALUE"""),384.55)</f>
        <v>384.55</v>
      </c>
      <c r="AE143" s="177">
        <f>IFERROR(__xludf.DUMMYFUNCTION("""COMPUTED_VALUE"""),2601893.0)</f>
        <v>2601893</v>
      </c>
      <c r="AF143" s="177">
        <f t="shared" si="3"/>
        <v>-0.0005199532159</v>
      </c>
      <c r="AG143" s="177"/>
      <c r="AH143" s="177"/>
      <c r="AI143" s="189"/>
      <c r="AJ143" s="140"/>
      <c r="AK143" s="140"/>
      <c r="AL143" s="176">
        <f>IFERROR(__xludf.DUMMYFUNCTION("""COMPUTED_VALUE"""),45583.64583333333)</f>
        <v>45583.64583</v>
      </c>
      <c r="AM143" s="177">
        <f>IFERROR(__xludf.DUMMYFUNCTION("""COMPUTED_VALUE"""),4493.6)</f>
        <v>4493.6</v>
      </c>
      <c r="AN143" s="177">
        <f>IFERROR(__xludf.DUMMYFUNCTION("""COMPUTED_VALUE"""),4559.0)</f>
        <v>4559</v>
      </c>
      <c r="AO143" s="177">
        <f>IFERROR(__xludf.DUMMYFUNCTION("""COMPUTED_VALUE"""),4423.25)</f>
        <v>4423.25</v>
      </c>
      <c r="AP143" s="177">
        <f>IFERROR(__xludf.DUMMYFUNCTION("""COMPUTED_VALUE"""),4524.7)</f>
        <v>4524.7</v>
      </c>
      <c r="AQ143" s="177">
        <f>IFERROR(__xludf.DUMMYFUNCTION("""COMPUTED_VALUE"""),1369365.0)</f>
        <v>1369365</v>
      </c>
      <c r="AR143" s="177">
        <f t="shared" si="4"/>
        <v>0.001349065258</v>
      </c>
      <c r="AS143" s="177"/>
      <c r="AT143" s="177"/>
      <c r="AU143" s="189"/>
      <c r="AV143" s="140"/>
      <c r="AW143" s="140"/>
      <c r="AX143" s="176">
        <f>IFERROR(__xludf.DUMMYFUNCTION("""COMPUTED_VALUE"""),45583.64583333333)</f>
        <v>45583.64583</v>
      </c>
      <c r="AY143" s="177">
        <f>IFERROR(__xludf.DUMMYFUNCTION("""COMPUTED_VALUE"""),488.75)</f>
        <v>488.75</v>
      </c>
      <c r="AZ143" s="177">
        <f>IFERROR(__xludf.DUMMYFUNCTION("""COMPUTED_VALUE"""),491.55)</f>
        <v>491.55</v>
      </c>
      <c r="BA143" s="177">
        <f>IFERROR(__xludf.DUMMYFUNCTION("""COMPUTED_VALUE"""),478.4)</f>
        <v>478.4</v>
      </c>
      <c r="BB143" s="177">
        <f>IFERROR(__xludf.DUMMYFUNCTION("""COMPUTED_VALUE"""),486.7)</f>
        <v>486.7</v>
      </c>
      <c r="BC143" s="177">
        <f>IFERROR(__xludf.DUMMYFUNCTION("""COMPUTED_VALUE"""),2.1778099E7)</f>
        <v>21778099</v>
      </c>
      <c r="BD143" s="177">
        <f t="shared" si="5"/>
        <v>-0.004510052745</v>
      </c>
      <c r="BE143" s="177"/>
      <c r="BF143" s="177"/>
      <c r="BG143" s="189"/>
      <c r="BH143" s="140"/>
      <c r="BI143" s="140"/>
      <c r="BJ143" s="140"/>
      <c r="BK143" s="140"/>
      <c r="BL143" s="140"/>
      <c r="BM143" s="140"/>
      <c r="BN143" s="140"/>
      <c r="BO143" s="140"/>
      <c r="BP143" s="140"/>
      <c r="BQ143" s="140"/>
      <c r="BR143" s="140"/>
      <c r="BS143" s="140"/>
      <c r="BT143" s="140"/>
      <c r="BU143" s="140"/>
      <c r="BV143" s="140"/>
      <c r="BW143" s="140"/>
      <c r="BX143" s="140"/>
      <c r="BY143" s="140"/>
    </row>
    <row r="144" ht="15.75" customHeight="1">
      <c r="A144" s="168"/>
      <c r="B144" s="169">
        <v>45586.0</v>
      </c>
      <c r="C144" s="170">
        <v>7356.12</v>
      </c>
      <c r="D144" s="170">
        <v>7407.52</v>
      </c>
      <c r="E144" s="170">
        <v>7337.12</v>
      </c>
      <c r="F144" s="170">
        <v>7349.12</v>
      </c>
      <c r="G144" s="171" t="s">
        <v>238</v>
      </c>
      <c r="H144" s="172">
        <f t="shared" si="1"/>
        <v>-0.0007698638157</v>
      </c>
      <c r="I144" s="172"/>
      <c r="J144" s="172"/>
      <c r="K144" s="188"/>
      <c r="L144" s="140"/>
      <c r="M144" s="140"/>
      <c r="N144" s="176">
        <f>IFERROR(__xludf.DUMMYFUNCTION("""COMPUTED_VALUE"""),45586.64583333333)</f>
        <v>45586.64583</v>
      </c>
      <c r="O144" s="177">
        <f>IFERROR(__xludf.DUMMYFUNCTION("""COMPUTED_VALUE"""),1264.5)</f>
        <v>1264.5</v>
      </c>
      <c r="P144" s="177">
        <f>IFERROR(__xludf.DUMMYFUNCTION("""COMPUTED_VALUE"""),1272.35)</f>
        <v>1272.35</v>
      </c>
      <c r="Q144" s="177">
        <f>IFERROR(__xludf.DUMMYFUNCTION("""COMPUTED_VALUE"""),1250.55)</f>
        <v>1250.55</v>
      </c>
      <c r="R144" s="177">
        <f>IFERROR(__xludf.DUMMYFUNCTION("""COMPUTED_VALUE"""),1259.05)</f>
        <v>1259.05</v>
      </c>
      <c r="S144" s="177">
        <f>IFERROR(__xludf.DUMMYFUNCTION("""COMPUTED_VALUE"""),7742775.0)</f>
        <v>7742775</v>
      </c>
      <c r="T144" s="177">
        <f t="shared" si="2"/>
        <v>-0.004319318795</v>
      </c>
      <c r="U144" s="178"/>
      <c r="V144" s="177"/>
      <c r="W144" s="189"/>
      <c r="X144" s="140"/>
      <c r="Y144" s="140"/>
      <c r="Z144" s="176">
        <f>IFERROR(__xludf.DUMMYFUNCTION("""COMPUTED_VALUE"""),45586.64583333333)</f>
        <v>45586.64583</v>
      </c>
      <c r="AA144" s="177">
        <f>IFERROR(__xludf.DUMMYFUNCTION("""COMPUTED_VALUE"""),384.0)</f>
        <v>384</v>
      </c>
      <c r="AB144" s="177">
        <f>IFERROR(__xludf.DUMMYFUNCTION("""COMPUTED_VALUE"""),386.5)</f>
        <v>386.5</v>
      </c>
      <c r="AC144" s="177">
        <f>IFERROR(__xludf.DUMMYFUNCTION("""COMPUTED_VALUE"""),372.1)</f>
        <v>372.1</v>
      </c>
      <c r="AD144" s="177">
        <f>IFERROR(__xludf.DUMMYFUNCTION("""COMPUTED_VALUE"""),375.35)</f>
        <v>375.35</v>
      </c>
      <c r="AE144" s="177">
        <f>IFERROR(__xludf.DUMMYFUNCTION("""COMPUTED_VALUE"""),8530940.0)</f>
        <v>8530940</v>
      </c>
      <c r="AF144" s="177">
        <f t="shared" si="3"/>
        <v>-0.02421489548</v>
      </c>
      <c r="AG144" s="177"/>
      <c r="AH144" s="177"/>
      <c r="AI144" s="189"/>
      <c r="AJ144" s="140"/>
      <c r="AK144" s="140"/>
      <c r="AL144" s="176">
        <f>IFERROR(__xludf.DUMMYFUNCTION("""COMPUTED_VALUE"""),45586.64583333333)</f>
        <v>45586.64583</v>
      </c>
      <c r="AM144" s="177">
        <f>IFERROR(__xludf.DUMMYFUNCTION("""COMPUTED_VALUE"""),4534.8)</f>
        <v>4534.8</v>
      </c>
      <c r="AN144" s="177">
        <f>IFERROR(__xludf.DUMMYFUNCTION("""COMPUTED_VALUE"""),4586.8)</f>
        <v>4586.8</v>
      </c>
      <c r="AO144" s="177">
        <f>IFERROR(__xludf.DUMMYFUNCTION("""COMPUTED_VALUE"""),4490.0)</f>
        <v>4490</v>
      </c>
      <c r="AP144" s="177">
        <f>IFERROR(__xludf.DUMMYFUNCTION("""COMPUTED_VALUE"""),4514.45)</f>
        <v>4514.45</v>
      </c>
      <c r="AQ144" s="177">
        <f>IFERROR(__xludf.DUMMYFUNCTION("""COMPUTED_VALUE"""),1095298.0)</f>
        <v>1095298</v>
      </c>
      <c r="AR144" s="177">
        <f t="shared" si="4"/>
        <v>-0.002267913331</v>
      </c>
      <c r="AS144" s="177"/>
      <c r="AT144" s="177"/>
      <c r="AU144" s="189"/>
      <c r="AV144" s="140"/>
      <c r="AW144" s="140"/>
      <c r="AX144" s="176">
        <f>IFERROR(__xludf.DUMMYFUNCTION("""COMPUTED_VALUE"""),45586.64583333333)</f>
        <v>45586.64583</v>
      </c>
      <c r="AY144" s="177">
        <f>IFERROR(__xludf.DUMMYFUNCTION("""COMPUTED_VALUE"""),486.7)</f>
        <v>486.7</v>
      </c>
      <c r="AZ144" s="177">
        <f>IFERROR(__xludf.DUMMYFUNCTION("""COMPUTED_VALUE"""),487.6)</f>
        <v>487.6</v>
      </c>
      <c r="BA144" s="177">
        <f>IFERROR(__xludf.DUMMYFUNCTION("""COMPUTED_VALUE"""),477.35)</f>
        <v>477.35</v>
      </c>
      <c r="BB144" s="177">
        <f>IFERROR(__xludf.DUMMYFUNCTION("""COMPUTED_VALUE"""),483.65)</f>
        <v>483.65</v>
      </c>
      <c r="BC144" s="177">
        <f>IFERROR(__xludf.DUMMYFUNCTION("""COMPUTED_VALUE"""),7395274.0)</f>
        <v>7395274</v>
      </c>
      <c r="BD144" s="177">
        <f t="shared" si="5"/>
        <v>-0.006286412211</v>
      </c>
      <c r="BE144" s="177"/>
      <c r="BF144" s="177"/>
      <c r="BG144" s="189"/>
      <c r="BH144" s="140"/>
      <c r="BI144" s="140"/>
      <c r="BJ144" s="140"/>
      <c r="BK144" s="140"/>
      <c r="BL144" s="140"/>
      <c r="BM144" s="140"/>
      <c r="BN144" s="140"/>
      <c r="BO144" s="140"/>
      <c r="BP144" s="140"/>
      <c r="BQ144" s="140"/>
      <c r="BR144" s="140"/>
      <c r="BS144" s="140"/>
      <c r="BT144" s="140"/>
      <c r="BU144" s="140"/>
      <c r="BV144" s="140"/>
      <c r="BW144" s="140"/>
      <c r="BX144" s="140"/>
      <c r="BY144" s="140"/>
    </row>
    <row r="145" ht="15.75" customHeight="1">
      <c r="A145" s="168"/>
      <c r="B145" s="169">
        <v>45587.0</v>
      </c>
      <c r="C145" s="170">
        <v>7355.12</v>
      </c>
      <c r="D145" s="170">
        <v>7431.52</v>
      </c>
      <c r="E145" s="170">
        <v>7349.52</v>
      </c>
      <c r="F145" s="170">
        <v>7429.12</v>
      </c>
      <c r="G145" s="171" t="s">
        <v>238</v>
      </c>
      <c r="H145" s="172">
        <f t="shared" si="1"/>
        <v>0.01082683479</v>
      </c>
      <c r="I145" s="172"/>
      <c r="J145" s="172"/>
      <c r="K145" s="188"/>
      <c r="L145" s="140"/>
      <c r="M145" s="140"/>
      <c r="N145" s="176">
        <f>IFERROR(__xludf.DUMMYFUNCTION("""COMPUTED_VALUE"""),45587.64583333333)</f>
        <v>45587.64583</v>
      </c>
      <c r="O145" s="177">
        <f>IFERROR(__xludf.DUMMYFUNCTION("""COMPUTED_VALUE"""),1266.6)</f>
        <v>1266.6</v>
      </c>
      <c r="P145" s="177">
        <f>IFERROR(__xludf.DUMMYFUNCTION("""COMPUTED_VALUE"""),1284.9)</f>
        <v>1284.9</v>
      </c>
      <c r="Q145" s="177">
        <f>IFERROR(__xludf.DUMMYFUNCTION("""COMPUTED_VALUE"""),1259.75)</f>
        <v>1259.75</v>
      </c>
      <c r="R145" s="177">
        <f>IFERROR(__xludf.DUMMYFUNCTION("""COMPUTED_VALUE"""),1267.5)</f>
        <v>1267.5</v>
      </c>
      <c r="S145" s="177">
        <f>IFERROR(__xludf.DUMMYFUNCTION("""COMPUTED_VALUE"""),2.0090801E7)</f>
        <v>20090801</v>
      </c>
      <c r="T145" s="177">
        <f t="shared" si="2"/>
        <v>0.006688988151</v>
      </c>
      <c r="U145" s="178"/>
      <c r="V145" s="177"/>
      <c r="W145" s="189"/>
      <c r="X145" s="140"/>
      <c r="Y145" s="140"/>
      <c r="Z145" s="176">
        <f>IFERROR(__xludf.DUMMYFUNCTION("""COMPUTED_VALUE"""),45587.64583333333)</f>
        <v>45587.64583</v>
      </c>
      <c r="AA145" s="177">
        <f>IFERROR(__xludf.DUMMYFUNCTION("""COMPUTED_VALUE"""),375.0)</f>
        <v>375</v>
      </c>
      <c r="AB145" s="177">
        <f>IFERROR(__xludf.DUMMYFUNCTION("""COMPUTED_VALUE"""),378.4)</f>
        <v>378.4</v>
      </c>
      <c r="AC145" s="177">
        <f>IFERROR(__xludf.DUMMYFUNCTION("""COMPUTED_VALUE"""),364.35)</f>
        <v>364.35</v>
      </c>
      <c r="AD145" s="177">
        <f>IFERROR(__xludf.DUMMYFUNCTION("""COMPUTED_VALUE"""),366.75)</f>
        <v>366.75</v>
      </c>
      <c r="AE145" s="177">
        <f>IFERROR(__xludf.DUMMYFUNCTION("""COMPUTED_VALUE"""),5046553.0)</f>
        <v>5046553</v>
      </c>
      <c r="AF145" s="177">
        <f t="shared" si="3"/>
        <v>-0.023178507</v>
      </c>
      <c r="AG145" s="177"/>
      <c r="AH145" s="177"/>
      <c r="AI145" s="189"/>
      <c r="AJ145" s="140"/>
      <c r="AK145" s="140"/>
      <c r="AL145" s="176">
        <f>IFERROR(__xludf.DUMMYFUNCTION("""COMPUTED_VALUE"""),45587.64583333333)</f>
        <v>45587.64583</v>
      </c>
      <c r="AM145" s="177">
        <f>IFERROR(__xludf.DUMMYFUNCTION("""COMPUTED_VALUE"""),4499.95)</f>
        <v>4499.95</v>
      </c>
      <c r="AN145" s="177">
        <f>IFERROR(__xludf.DUMMYFUNCTION("""COMPUTED_VALUE"""),4507.75)</f>
        <v>4507.75</v>
      </c>
      <c r="AO145" s="177">
        <f>IFERROR(__xludf.DUMMYFUNCTION("""COMPUTED_VALUE"""),4290.45)</f>
        <v>4290.45</v>
      </c>
      <c r="AP145" s="177">
        <f>IFERROR(__xludf.DUMMYFUNCTION("""COMPUTED_VALUE"""),4301.7)</f>
        <v>4301.7</v>
      </c>
      <c r="AQ145" s="177">
        <f>IFERROR(__xludf.DUMMYFUNCTION("""COMPUTED_VALUE"""),1544137.0)</f>
        <v>1544137</v>
      </c>
      <c r="AR145" s="177">
        <f t="shared" si="4"/>
        <v>-0.04827306987</v>
      </c>
      <c r="AS145" s="177"/>
      <c r="AT145" s="177"/>
      <c r="AU145" s="189"/>
      <c r="AV145" s="140"/>
      <c r="AW145" s="140"/>
      <c r="AX145" s="176">
        <f>IFERROR(__xludf.DUMMYFUNCTION("""COMPUTED_VALUE"""),45587.64583333333)</f>
        <v>45587.64583</v>
      </c>
      <c r="AY145" s="177">
        <f>IFERROR(__xludf.DUMMYFUNCTION("""COMPUTED_VALUE"""),483.65)</f>
        <v>483.65</v>
      </c>
      <c r="AZ145" s="177">
        <f>IFERROR(__xludf.DUMMYFUNCTION("""COMPUTED_VALUE"""),488.4)</f>
        <v>488.4</v>
      </c>
      <c r="BA145" s="177">
        <f>IFERROR(__xludf.DUMMYFUNCTION("""COMPUTED_VALUE"""),480.8)</f>
        <v>480.8</v>
      </c>
      <c r="BB145" s="177">
        <f>IFERROR(__xludf.DUMMYFUNCTION("""COMPUTED_VALUE"""),481.8)</f>
        <v>481.8</v>
      </c>
      <c r="BC145" s="177">
        <f>IFERROR(__xludf.DUMMYFUNCTION("""COMPUTED_VALUE"""),1.2299288E7)</f>
        <v>12299288</v>
      </c>
      <c r="BD145" s="177">
        <f t="shared" si="5"/>
        <v>-0.003832414448</v>
      </c>
      <c r="BE145" s="177"/>
      <c r="BF145" s="177"/>
      <c r="BG145" s="189"/>
      <c r="BH145" s="140"/>
      <c r="BI145" s="140"/>
      <c r="BJ145" s="140"/>
      <c r="BK145" s="140"/>
      <c r="BL145" s="140"/>
      <c r="BM145" s="140"/>
      <c r="BN145" s="140"/>
      <c r="BO145" s="140"/>
      <c r="BP145" s="140"/>
      <c r="BQ145" s="140"/>
      <c r="BR145" s="140"/>
      <c r="BS145" s="140"/>
      <c r="BT145" s="140"/>
      <c r="BU145" s="140"/>
      <c r="BV145" s="140"/>
      <c r="BW145" s="140"/>
      <c r="BX145" s="140"/>
      <c r="BY145" s="140"/>
    </row>
    <row r="146" ht="15.75" customHeight="1">
      <c r="A146" s="168"/>
      <c r="B146" s="169">
        <v>45588.0</v>
      </c>
      <c r="C146" s="170">
        <v>7431.12</v>
      </c>
      <c r="D146" s="170">
        <v>7457.12</v>
      </c>
      <c r="E146" s="170">
        <v>7322.12</v>
      </c>
      <c r="F146" s="170">
        <v>7335.12</v>
      </c>
      <c r="G146" s="171" t="s">
        <v>238</v>
      </c>
      <c r="H146" s="172">
        <f t="shared" si="1"/>
        <v>-0.01273364157</v>
      </c>
      <c r="I146" s="172"/>
      <c r="J146" s="172"/>
      <c r="K146" s="188"/>
      <c r="L146" s="140"/>
      <c r="M146" s="140"/>
      <c r="N146" s="176">
        <f>IFERROR(__xludf.DUMMYFUNCTION("""COMPUTED_VALUE"""),45588.64583333333)</f>
        <v>45588.64583</v>
      </c>
      <c r="O146" s="177">
        <f>IFERROR(__xludf.DUMMYFUNCTION("""COMPUTED_VALUE"""),1261.0)</f>
        <v>1261</v>
      </c>
      <c r="P146" s="177">
        <f>IFERROR(__xludf.DUMMYFUNCTION("""COMPUTED_VALUE"""),1267.95)</f>
        <v>1267.95</v>
      </c>
      <c r="Q146" s="177">
        <f>IFERROR(__xludf.DUMMYFUNCTION("""COMPUTED_VALUE"""),1243.05)</f>
        <v>1243.05</v>
      </c>
      <c r="R146" s="177">
        <f>IFERROR(__xludf.DUMMYFUNCTION("""COMPUTED_VALUE"""),1251.6)</f>
        <v>1251.6</v>
      </c>
      <c r="S146" s="177">
        <f>IFERROR(__xludf.DUMMYFUNCTION("""COMPUTED_VALUE"""),1.4055447E7)</f>
        <v>14055447</v>
      </c>
      <c r="T146" s="177">
        <f t="shared" si="2"/>
        <v>-0.01262372367</v>
      </c>
      <c r="U146" s="178"/>
      <c r="V146" s="177"/>
      <c r="W146" s="189"/>
      <c r="X146" s="140"/>
      <c r="Y146" s="140"/>
      <c r="Z146" s="176">
        <f>IFERROR(__xludf.DUMMYFUNCTION("""COMPUTED_VALUE"""),45588.64583333333)</f>
        <v>45588.64583</v>
      </c>
      <c r="AA146" s="177">
        <f>IFERROR(__xludf.DUMMYFUNCTION("""COMPUTED_VALUE"""),380.95)</f>
        <v>380.95</v>
      </c>
      <c r="AB146" s="177">
        <f>IFERROR(__xludf.DUMMYFUNCTION("""COMPUTED_VALUE"""),380.95)</f>
        <v>380.95</v>
      </c>
      <c r="AC146" s="177">
        <f>IFERROR(__xludf.DUMMYFUNCTION("""COMPUTED_VALUE"""),355.5)</f>
        <v>355.5</v>
      </c>
      <c r="AD146" s="177">
        <f>IFERROR(__xludf.DUMMYFUNCTION("""COMPUTED_VALUE"""),357.1)</f>
        <v>357.1</v>
      </c>
      <c r="AE146" s="177">
        <f>IFERROR(__xludf.DUMMYFUNCTION("""COMPUTED_VALUE"""),1.2160417E7)</f>
        <v>12160417</v>
      </c>
      <c r="AF146" s="177">
        <f t="shared" si="3"/>
        <v>-0.02666456242</v>
      </c>
      <c r="AG146" s="177"/>
      <c r="AH146" s="177"/>
      <c r="AI146" s="189"/>
      <c r="AJ146" s="140"/>
      <c r="AK146" s="140"/>
      <c r="AL146" s="176">
        <f>IFERROR(__xludf.DUMMYFUNCTION("""COMPUTED_VALUE"""),45588.64583333333)</f>
        <v>45588.64583</v>
      </c>
      <c r="AM146" s="177">
        <f>IFERROR(__xludf.DUMMYFUNCTION("""COMPUTED_VALUE"""),4282.0)</f>
        <v>4282</v>
      </c>
      <c r="AN146" s="177">
        <f>IFERROR(__xludf.DUMMYFUNCTION("""COMPUTED_VALUE"""),4305.55)</f>
        <v>4305.55</v>
      </c>
      <c r="AO146" s="177">
        <f>IFERROR(__xludf.DUMMYFUNCTION("""COMPUTED_VALUE"""),4191.45)</f>
        <v>4191.45</v>
      </c>
      <c r="AP146" s="177">
        <f>IFERROR(__xludf.DUMMYFUNCTION("""COMPUTED_VALUE"""),4233.75)</f>
        <v>4233.75</v>
      </c>
      <c r="AQ146" s="177">
        <f>IFERROR(__xludf.DUMMYFUNCTION("""COMPUTED_VALUE"""),1624578.0)</f>
        <v>1624578</v>
      </c>
      <c r="AR146" s="177">
        <f t="shared" si="4"/>
        <v>-0.01592216826</v>
      </c>
      <c r="AS146" s="177"/>
      <c r="AT146" s="177"/>
      <c r="AU146" s="189"/>
      <c r="AV146" s="140"/>
      <c r="AW146" s="140"/>
      <c r="AX146" s="176">
        <f>IFERROR(__xludf.DUMMYFUNCTION("""COMPUTED_VALUE"""),45588.64583333333)</f>
        <v>45588.64583</v>
      </c>
      <c r="AY146" s="177">
        <f>IFERROR(__xludf.DUMMYFUNCTION("""COMPUTED_VALUE"""),481.0)</f>
        <v>481</v>
      </c>
      <c r="AZ146" s="177">
        <f>IFERROR(__xludf.DUMMYFUNCTION("""COMPUTED_VALUE"""),483.3)</f>
        <v>483.3</v>
      </c>
      <c r="BA146" s="177">
        <f>IFERROR(__xludf.DUMMYFUNCTION("""COMPUTED_VALUE"""),479.5)</f>
        <v>479.5</v>
      </c>
      <c r="BB146" s="177">
        <f>IFERROR(__xludf.DUMMYFUNCTION("""COMPUTED_VALUE"""),480.35)</f>
        <v>480.35</v>
      </c>
      <c r="BC146" s="177">
        <f>IFERROR(__xludf.DUMMYFUNCTION("""COMPUTED_VALUE"""),1.016257E7)</f>
        <v>10162570</v>
      </c>
      <c r="BD146" s="177">
        <f t="shared" si="5"/>
        <v>-0.003014085325</v>
      </c>
      <c r="BE146" s="177"/>
      <c r="BF146" s="177"/>
      <c r="BG146" s="189"/>
      <c r="BH146" s="140"/>
      <c r="BI146" s="140"/>
      <c r="BJ146" s="140"/>
      <c r="BK146" s="140"/>
      <c r="BL146" s="140"/>
      <c r="BM146" s="140"/>
      <c r="BN146" s="140"/>
      <c r="BO146" s="140"/>
      <c r="BP146" s="140"/>
      <c r="BQ146" s="140"/>
      <c r="BR146" s="140"/>
      <c r="BS146" s="140"/>
      <c r="BT146" s="140"/>
      <c r="BU146" s="140"/>
      <c r="BV146" s="140"/>
      <c r="BW146" s="140"/>
      <c r="BX146" s="140"/>
      <c r="BY146" s="140"/>
    </row>
    <row r="147" ht="15.75" customHeight="1">
      <c r="A147" s="168"/>
      <c r="B147" s="169">
        <v>45589.0</v>
      </c>
      <c r="C147" s="170">
        <v>7340.78</v>
      </c>
      <c r="D147" s="170">
        <v>7415.12</v>
      </c>
      <c r="E147" s="170">
        <v>7339.12</v>
      </c>
      <c r="F147" s="170">
        <v>7390.12</v>
      </c>
      <c r="G147" s="171" t="s">
        <v>238</v>
      </c>
      <c r="H147" s="172">
        <f t="shared" si="1"/>
        <v>0.007470201609</v>
      </c>
      <c r="I147" s="172"/>
      <c r="J147" s="172"/>
      <c r="K147" s="188"/>
      <c r="L147" s="140"/>
      <c r="M147" s="140"/>
      <c r="N147" s="176">
        <f>IFERROR(__xludf.DUMMYFUNCTION("""COMPUTED_VALUE"""),45589.64583333333)</f>
        <v>45589.64583</v>
      </c>
      <c r="O147" s="177">
        <f>IFERROR(__xludf.DUMMYFUNCTION("""COMPUTED_VALUE"""),1250.25)</f>
        <v>1250.25</v>
      </c>
      <c r="P147" s="177">
        <f>IFERROR(__xludf.DUMMYFUNCTION("""COMPUTED_VALUE"""),1260.45)</f>
        <v>1260.45</v>
      </c>
      <c r="Q147" s="177">
        <f>IFERROR(__xludf.DUMMYFUNCTION("""COMPUTED_VALUE"""),1241.05)</f>
        <v>1241.05</v>
      </c>
      <c r="R147" s="177">
        <f>IFERROR(__xludf.DUMMYFUNCTION("""COMPUTED_VALUE"""),1252.75)</f>
        <v>1252.75</v>
      </c>
      <c r="S147" s="177">
        <f>IFERROR(__xludf.DUMMYFUNCTION("""COMPUTED_VALUE"""),1.2223031E7)</f>
        <v>12223031</v>
      </c>
      <c r="T147" s="177">
        <f t="shared" si="2"/>
        <v>0.0009184020451</v>
      </c>
      <c r="U147" s="178"/>
      <c r="V147" s="177"/>
      <c r="W147" s="189"/>
      <c r="X147" s="140"/>
      <c r="Y147" s="140"/>
      <c r="Z147" s="176">
        <f>IFERROR(__xludf.DUMMYFUNCTION("""COMPUTED_VALUE"""),45589.64583333333)</f>
        <v>45589.64583</v>
      </c>
      <c r="AA147" s="177">
        <f>IFERROR(__xludf.DUMMYFUNCTION("""COMPUTED_VALUE"""),358.0)</f>
        <v>358</v>
      </c>
      <c r="AB147" s="177">
        <f>IFERROR(__xludf.DUMMYFUNCTION("""COMPUTED_VALUE"""),359.45)</f>
        <v>359.45</v>
      </c>
      <c r="AC147" s="177">
        <f>IFERROR(__xludf.DUMMYFUNCTION("""COMPUTED_VALUE"""),349.05)</f>
        <v>349.05</v>
      </c>
      <c r="AD147" s="177">
        <f>IFERROR(__xludf.DUMMYFUNCTION("""COMPUTED_VALUE"""),350.25)</f>
        <v>350.25</v>
      </c>
      <c r="AE147" s="177">
        <f>IFERROR(__xludf.DUMMYFUNCTION("""COMPUTED_VALUE"""),6558434.0)</f>
        <v>6558434</v>
      </c>
      <c r="AF147" s="177">
        <f t="shared" si="3"/>
        <v>-0.01936866938</v>
      </c>
      <c r="AG147" s="177"/>
      <c r="AH147" s="177"/>
      <c r="AI147" s="189"/>
      <c r="AJ147" s="140"/>
      <c r="AK147" s="140"/>
      <c r="AL147" s="176">
        <f>IFERROR(__xludf.DUMMYFUNCTION("""COMPUTED_VALUE"""),45589.64583333333)</f>
        <v>45589.64583</v>
      </c>
      <c r="AM147" s="177">
        <f>IFERROR(__xludf.DUMMYFUNCTION("""COMPUTED_VALUE"""),4234.25)</f>
        <v>4234.25</v>
      </c>
      <c r="AN147" s="177">
        <f>IFERROR(__xludf.DUMMYFUNCTION("""COMPUTED_VALUE"""),4284.45)</f>
        <v>4284.45</v>
      </c>
      <c r="AO147" s="177">
        <f>IFERROR(__xludf.DUMMYFUNCTION("""COMPUTED_VALUE"""),4185.05)</f>
        <v>4185.05</v>
      </c>
      <c r="AP147" s="177">
        <f>IFERROR(__xludf.DUMMYFUNCTION("""COMPUTED_VALUE"""),4197.15)</f>
        <v>4197.15</v>
      </c>
      <c r="AQ147" s="177">
        <f>IFERROR(__xludf.DUMMYFUNCTION("""COMPUTED_VALUE"""),956246.0)</f>
        <v>956246</v>
      </c>
      <c r="AR147" s="177">
        <f t="shared" si="4"/>
        <v>-0.008682401623</v>
      </c>
      <c r="AS147" s="177"/>
      <c r="AT147" s="177"/>
      <c r="AU147" s="189"/>
      <c r="AV147" s="140"/>
      <c r="AW147" s="140"/>
      <c r="AX147" s="176">
        <f>IFERROR(__xludf.DUMMYFUNCTION("""COMPUTED_VALUE"""),45589.64583333333)</f>
        <v>45589.64583</v>
      </c>
      <c r="AY147" s="177">
        <f>IFERROR(__xludf.DUMMYFUNCTION("""COMPUTED_VALUE"""),482.0)</f>
        <v>482</v>
      </c>
      <c r="AZ147" s="177">
        <f>IFERROR(__xludf.DUMMYFUNCTION("""COMPUTED_VALUE"""),482.4)</f>
        <v>482.4</v>
      </c>
      <c r="BA147" s="177">
        <f>IFERROR(__xludf.DUMMYFUNCTION("""COMPUTED_VALUE"""),470.0)</f>
        <v>470</v>
      </c>
      <c r="BB147" s="177">
        <f>IFERROR(__xludf.DUMMYFUNCTION("""COMPUTED_VALUE"""),471.7)</f>
        <v>471.7</v>
      </c>
      <c r="BC147" s="177">
        <f>IFERROR(__xludf.DUMMYFUNCTION("""COMPUTED_VALUE"""),1.3092399E7)</f>
        <v>13092399</v>
      </c>
      <c r="BD147" s="177">
        <f t="shared" si="5"/>
        <v>-0.01817181457</v>
      </c>
      <c r="BE147" s="177"/>
      <c r="BF147" s="177"/>
      <c r="BG147" s="189"/>
      <c r="BH147" s="140"/>
      <c r="BI147" s="140"/>
      <c r="BJ147" s="140"/>
      <c r="BK147" s="140"/>
      <c r="BL147" s="140"/>
      <c r="BM147" s="140"/>
      <c r="BN147" s="140"/>
      <c r="BO147" s="140"/>
      <c r="BP147" s="140"/>
      <c r="BQ147" s="140"/>
      <c r="BR147" s="140"/>
      <c r="BS147" s="140"/>
      <c r="BT147" s="140"/>
      <c r="BU147" s="140"/>
      <c r="BV147" s="140"/>
      <c r="BW147" s="140"/>
      <c r="BX147" s="140"/>
      <c r="BY147" s="140"/>
    </row>
    <row r="148" ht="15.75" customHeight="1">
      <c r="A148" s="168"/>
      <c r="B148" s="169">
        <v>45590.0</v>
      </c>
      <c r="C148" s="170">
        <v>7394.78</v>
      </c>
      <c r="D148" s="170">
        <v>7431.12</v>
      </c>
      <c r="E148" s="170">
        <v>7343.12</v>
      </c>
      <c r="F148" s="170">
        <v>7429.12</v>
      </c>
      <c r="G148" s="171" t="s">
        <v>238</v>
      </c>
      <c r="H148" s="172">
        <f t="shared" si="1"/>
        <v>0.005263439966</v>
      </c>
      <c r="I148" s="172"/>
      <c r="J148" s="172"/>
      <c r="K148" s="188"/>
      <c r="L148" s="140"/>
      <c r="M148" s="140"/>
      <c r="N148" s="176">
        <f>IFERROR(__xludf.DUMMYFUNCTION("""COMPUTED_VALUE"""),45590.64583333333)</f>
        <v>45590.64583</v>
      </c>
      <c r="O148" s="177">
        <f>IFERROR(__xludf.DUMMYFUNCTION("""COMPUTED_VALUE"""),1247.25)</f>
        <v>1247.25</v>
      </c>
      <c r="P148" s="177">
        <f>IFERROR(__xludf.DUMMYFUNCTION("""COMPUTED_VALUE"""),1268.9)</f>
        <v>1268.9</v>
      </c>
      <c r="Q148" s="177">
        <f>IFERROR(__xludf.DUMMYFUNCTION("""COMPUTED_VALUE"""),1234.2)</f>
        <v>1234.2</v>
      </c>
      <c r="R148" s="177">
        <f>IFERROR(__xludf.DUMMYFUNCTION("""COMPUTED_VALUE"""),1255.45)</f>
        <v>1255.45</v>
      </c>
      <c r="S148" s="177">
        <f>IFERROR(__xludf.DUMMYFUNCTION("""COMPUTED_VALUE"""),1.3546055E7)</f>
        <v>13546055</v>
      </c>
      <c r="T148" s="177">
        <f t="shared" si="2"/>
        <v>0.002152939194</v>
      </c>
      <c r="U148" s="178"/>
      <c r="V148" s="177"/>
      <c r="W148" s="189"/>
      <c r="X148" s="140"/>
      <c r="Y148" s="140"/>
      <c r="Z148" s="176">
        <f>IFERROR(__xludf.DUMMYFUNCTION("""COMPUTED_VALUE"""),45590.64583333333)</f>
        <v>45590.64583</v>
      </c>
      <c r="AA148" s="177">
        <f>IFERROR(__xludf.DUMMYFUNCTION("""COMPUTED_VALUE"""),352.0)</f>
        <v>352</v>
      </c>
      <c r="AB148" s="177">
        <f>IFERROR(__xludf.DUMMYFUNCTION("""COMPUTED_VALUE"""),352.0)</f>
        <v>352</v>
      </c>
      <c r="AC148" s="177">
        <f>IFERROR(__xludf.DUMMYFUNCTION("""COMPUTED_VALUE"""),330.1)</f>
        <v>330.1</v>
      </c>
      <c r="AD148" s="177">
        <f>IFERROR(__xludf.DUMMYFUNCTION("""COMPUTED_VALUE"""),334.7)</f>
        <v>334.7</v>
      </c>
      <c r="AE148" s="177">
        <f>IFERROR(__xludf.DUMMYFUNCTION("""COMPUTED_VALUE"""),1.4093116E7)</f>
        <v>14093116</v>
      </c>
      <c r="AF148" s="177">
        <f t="shared" si="3"/>
        <v>-0.045412577</v>
      </c>
      <c r="AG148" s="177"/>
      <c r="AH148" s="177"/>
      <c r="AI148" s="189"/>
      <c r="AJ148" s="140"/>
      <c r="AK148" s="140"/>
      <c r="AL148" s="176">
        <f>IFERROR(__xludf.DUMMYFUNCTION("""COMPUTED_VALUE"""),45590.64583333333)</f>
        <v>45590.64583</v>
      </c>
      <c r="AM148" s="177">
        <f>IFERROR(__xludf.DUMMYFUNCTION("""COMPUTED_VALUE"""),4200.0)</f>
        <v>4200</v>
      </c>
      <c r="AN148" s="177">
        <f>IFERROR(__xludf.DUMMYFUNCTION("""COMPUTED_VALUE"""),4218.9)</f>
        <v>4218.9</v>
      </c>
      <c r="AO148" s="177">
        <f>IFERROR(__xludf.DUMMYFUNCTION("""COMPUTED_VALUE"""),4075.2)</f>
        <v>4075.2</v>
      </c>
      <c r="AP148" s="177">
        <f>IFERROR(__xludf.DUMMYFUNCTION("""COMPUTED_VALUE"""),4165.6)</f>
        <v>4165.6</v>
      </c>
      <c r="AQ148" s="177">
        <f>IFERROR(__xludf.DUMMYFUNCTION("""COMPUTED_VALUE"""),1520490.0)</f>
        <v>1520490</v>
      </c>
      <c r="AR148" s="177">
        <f t="shared" si="4"/>
        <v>-0.00754540066</v>
      </c>
      <c r="AS148" s="177"/>
      <c r="AT148" s="177"/>
      <c r="AU148" s="189"/>
      <c r="AV148" s="140"/>
      <c r="AW148" s="140"/>
      <c r="AX148" s="176">
        <f>IFERROR(__xludf.DUMMYFUNCTION("""COMPUTED_VALUE"""),45590.64583333333)</f>
        <v>45590.64583</v>
      </c>
      <c r="AY148" s="177">
        <f>IFERROR(__xludf.DUMMYFUNCTION("""COMPUTED_VALUE"""),475.8)</f>
        <v>475.8</v>
      </c>
      <c r="AZ148" s="177">
        <f>IFERROR(__xludf.DUMMYFUNCTION("""COMPUTED_VALUE"""),493.5)</f>
        <v>493.5</v>
      </c>
      <c r="BA148" s="177">
        <f>IFERROR(__xludf.DUMMYFUNCTION("""COMPUTED_VALUE"""),474.2)</f>
        <v>474.2</v>
      </c>
      <c r="BB148" s="177">
        <f>IFERROR(__xludf.DUMMYFUNCTION("""COMPUTED_VALUE"""),482.3)</f>
        <v>482.3</v>
      </c>
      <c r="BC148" s="177">
        <f>IFERROR(__xludf.DUMMYFUNCTION("""COMPUTED_VALUE"""),3.0961625E7)</f>
        <v>30961625</v>
      </c>
      <c r="BD148" s="177">
        <f t="shared" si="5"/>
        <v>0.02222313678</v>
      </c>
      <c r="BE148" s="177"/>
      <c r="BF148" s="177"/>
      <c r="BG148" s="189"/>
      <c r="BH148" s="140"/>
      <c r="BI148" s="140"/>
      <c r="BJ148" s="140"/>
      <c r="BK148" s="140"/>
      <c r="BL148" s="140"/>
      <c r="BM148" s="140"/>
      <c r="BN148" s="140"/>
      <c r="BO148" s="140"/>
      <c r="BP148" s="140"/>
      <c r="BQ148" s="140"/>
      <c r="BR148" s="140"/>
      <c r="BS148" s="140"/>
      <c r="BT148" s="140"/>
      <c r="BU148" s="140"/>
      <c r="BV148" s="140"/>
      <c r="BW148" s="140"/>
      <c r="BX148" s="140"/>
      <c r="BY148" s="140"/>
    </row>
    <row r="149" ht="15.75" customHeight="1">
      <c r="A149" s="168"/>
      <c r="B149" s="169">
        <v>45593.0</v>
      </c>
      <c r="C149" s="170">
        <v>7394.12</v>
      </c>
      <c r="D149" s="170">
        <v>7422.12</v>
      </c>
      <c r="E149" s="170">
        <v>7366.12</v>
      </c>
      <c r="F149" s="170">
        <v>7410.12</v>
      </c>
      <c r="G149" s="171" t="s">
        <v>238</v>
      </c>
      <c r="H149" s="172">
        <f t="shared" si="1"/>
        <v>-0.002560779445</v>
      </c>
      <c r="I149" s="172"/>
      <c r="J149" s="172"/>
      <c r="K149" s="188"/>
      <c r="L149" s="140"/>
      <c r="M149" s="140"/>
      <c r="N149" s="176">
        <f>IFERROR(__xludf.DUMMYFUNCTION("""COMPUTED_VALUE"""),45593.64583333333)</f>
        <v>45593.64583</v>
      </c>
      <c r="O149" s="177">
        <f>IFERROR(__xludf.DUMMYFUNCTION("""COMPUTED_VALUE"""),1285.5)</f>
        <v>1285.5</v>
      </c>
      <c r="P149" s="177">
        <f>IFERROR(__xludf.DUMMYFUNCTION("""COMPUTED_VALUE"""),1307.8)</f>
        <v>1307.8</v>
      </c>
      <c r="Q149" s="177">
        <f>IFERROR(__xludf.DUMMYFUNCTION("""COMPUTED_VALUE"""),1280.6)</f>
        <v>1280.6</v>
      </c>
      <c r="R149" s="177">
        <f>IFERROR(__xludf.DUMMYFUNCTION("""COMPUTED_VALUE"""),1292.85)</f>
        <v>1292.85</v>
      </c>
      <c r="S149" s="177">
        <f>IFERROR(__xludf.DUMMYFUNCTION("""COMPUTED_VALUE"""),2.4096412E7)</f>
        <v>24096412</v>
      </c>
      <c r="T149" s="177">
        <f t="shared" si="2"/>
        <v>0.02935500973</v>
      </c>
      <c r="U149" s="178"/>
      <c r="V149" s="177"/>
      <c r="W149" s="189"/>
      <c r="X149" s="140"/>
      <c r="Y149" s="140"/>
      <c r="Z149" s="176">
        <f>IFERROR(__xludf.DUMMYFUNCTION("""COMPUTED_VALUE"""),45593.64583333333)</f>
        <v>45593.64583</v>
      </c>
      <c r="AA149" s="177">
        <f>IFERROR(__xludf.DUMMYFUNCTION("""COMPUTED_VALUE"""),340.95)</f>
        <v>340.95</v>
      </c>
      <c r="AB149" s="177">
        <f>IFERROR(__xludf.DUMMYFUNCTION("""COMPUTED_VALUE"""),348.65)</f>
        <v>348.65</v>
      </c>
      <c r="AC149" s="177">
        <f>IFERROR(__xludf.DUMMYFUNCTION("""COMPUTED_VALUE"""),336.5)</f>
        <v>336.5</v>
      </c>
      <c r="AD149" s="177">
        <f>IFERROR(__xludf.DUMMYFUNCTION("""COMPUTED_VALUE"""),346.25)</f>
        <v>346.25</v>
      </c>
      <c r="AE149" s="177">
        <f>IFERROR(__xludf.DUMMYFUNCTION("""COMPUTED_VALUE"""),6060360.0)</f>
        <v>6060360</v>
      </c>
      <c r="AF149" s="177">
        <f t="shared" si="3"/>
        <v>0.03392644928</v>
      </c>
      <c r="AG149" s="177"/>
      <c r="AH149" s="177"/>
      <c r="AI149" s="189"/>
      <c r="AJ149" s="140"/>
      <c r="AK149" s="140"/>
      <c r="AL149" s="176">
        <f>IFERROR(__xludf.DUMMYFUNCTION("""COMPUTED_VALUE"""),45593.64583333333)</f>
        <v>45593.64583</v>
      </c>
      <c r="AM149" s="177">
        <f>IFERROR(__xludf.DUMMYFUNCTION("""COMPUTED_VALUE"""),4200.0)</f>
        <v>4200</v>
      </c>
      <c r="AN149" s="177">
        <f>IFERROR(__xludf.DUMMYFUNCTION("""COMPUTED_VALUE"""),4218.9)</f>
        <v>4218.9</v>
      </c>
      <c r="AO149" s="177">
        <f>IFERROR(__xludf.DUMMYFUNCTION("""COMPUTED_VALUE"""),4098.2)</f>
        <v>4098.2</v>
      </c>
      <c r="AP149" s="177">
        <f>IFERROR(__xludf.DUMMYFUNCTION("""COMPUTED_VALUE"""),4148.75)</f>
        <v>4148.75</v>
      </c>
      <c r="AQ149" s="177">
        <f>IFERROR(__xludf.DUMMYFUNCTION("""COMPUTED_VALUE"""),1207398.0)</f>
        <v>1207398</v>
      </c>
      <c r="AR149" s="177">
        <f t="shared" si="4"/>
        <v>-0.004053238815</v>
      </c>
      <c r="AS149" s="177"/>
      <c r="AT149" s="177"/>
      <c r="AU149" s="189"/>
      <c r="AV149" s="140"/>
      <c r="AW149" s="140"/>
      <c r="AX149" s="176">
        <f>IFERROR(__xludf.DUMMYFUNCTION("""COMPUTED_VALUE"""),45593.64583333333)</f>
        <v>45593.64583</v>
      </c>
      <c r="AY149" s="177">
        <f>IFERROR(__xludf.DUMMYFUNCTION("""COMPUTED_VALUE"""),481.95)</f>
        <v>481.95</v>
      </c>
      <c r="AZ149" s="177">
        <f>IFERROR(__xludf.DUMMYFUNCTION("""COMPUTED_VALUE"""),485.9)</f>
        <v>485.9</v>
      </c>
      <c r="BA149" s="177">
        <f>IFERROR(__xludf.DUMMYFUNCTION("""COMPUTED_VALUE"""),476.0)</f>
        <v>476</v>
      </c>
      <c r="BB149" s="177">
        <f>IFERROR(__xludf.DUMMYFUNCTION("""COMPUTED_VALUE"""),484.15)</f>
        <v>484.15</v>
      </c>
      <c r="BC149" s="177">
        <f>IFERROR(__xludf.DUMMYFUNCTION("""COMPUTED_VALUE"""),8614446.0)</f>
        <v>8614446</v>
      </c>
      <c r="BD149" s="177">
        <f t="shared" si="5"/>
        <v>0.003828448983</v>
      </c>
      <c r="BE149" s="177"/>
      <c r="BF149" s="177"/>
      <c r="BG149" s="189"/>
      <c r="BH149" s="140"/>
      <c r="BI149" s="140"/>
      <c r="BJ149" s="140"/>
      <c r="BK149" s="140"/>
      <c r="BL149" s="140"/>
      <c r="BM149" s="140"/>
      <c r="BN149" s="140"/>
      <c r="BO149" s="140"/>
      <c r="BP149" s="140"/>
      <c r="BQ149" s="140"/>
      <c r="BR149" s="140"/>
      <c r="BS149" s="140"/>
      <c r="BT149" s="140"/>
      <c r="BU149" s="140"/>
      <c r="BV149" s="140"/>
      <c r="BW149" s="140"/>
      <c r="BX149" s="140"/>
      <c r="BY149" s="140"/>
    </row>
    <row r="150" ht="15.75" customHeight="1">
      <c r="A150" s="168"/>
      <c r="B150" s="169">
        <v>45594.0</v>
      </c>
      <c r="C150" s="170">
        <v>7412.78</v>
      </c>
      <c r="D150" s="170">
        <v>7501.12</v>
      </c>
      <c r="E150" s="170">
        <v>7407.12</v>
      </c>
      <c r="F150" s="170">
        <v>7497.52</v>
      </c>
      <c r="G150" s="171" t="s">
        <v>238</v>
      </c>
      <c r="H150" s="172">
        <f t="shared" si="1"/>
        <v>0.01172566568</v>
      </c>
      <c r="I150" s="172"/>
      <c r="J150" s="172"/>
      <c r="K150" s="188"/>
      <c r="L150" s="140"/>
      <c r="M150" s="140"/>
      <c r="N150" s="176">
        <f>IFERROR(__xludf.DUMMYFUNCTION("""COMPUTED_VALUE"""),45594.64583333333)</f>
        <v>45594.64583</v>
      </c>
      <c r="O150" s="177">
        <f>IFERROR(__xludf.DUMMYFUNCTION("""COMPUTED_VALUE"""),1301.35)</f>
        <v>1301.35</v>
      </c>
      <c r="P150" s="177">
        <f>IFERROR(__xludf.DUMMYFUNCTION("""COMPUTED_VALUE"""),1335.35)</f>
        <v>1335.35</v>
      </c>
      <c r="Q150" s="177">
        <f>IFERROR(__xludf.DUMMYFUNCTION("""COMPUTED_VALUE"""),1299.25)</f>
        <v>1299.25</v>
      </c>
      <c r="R150" s="177">
        <f>IFERROR(__xludf.DUMMYFUNCTION("""COMPUTED_VALUE"""),1331.85)</f>
        <v>1331.85</v>
      </c>
      <c r="S150" s="177">
        <f>IFERROR(__xludf.DUMMYFUNCTION("""COMPUTED_VALUE"""),2.0656117E7)</f>
        <v>20656117</v>
      </c>
      <c r="T150" s="177">
        <f t="shared" si="2"/>
        <v>0.02971986938</v>
      </c>
      <c r="U150" s="178"/>
      <c r="V150" s="177"/>
      <c r="W150" s="189"/>
      <c r="X150" s="140"/>
      <c r="Y150" s="140"/>
      <c r="Z150" s="176">
        <f>IFERROR(__xludf.DUMMYFUNCTION("""COMPUTED_VALUE"""),45594.64583333333)</f>
        <v>45594.64583</v>
      </c>
      <c r="AA150" s="177">
        <f>IFERROR(__xludf.DUMMYFUNCTION("""COMPUTED_VALUE"""),345.9)</f>
        <v>345.9</v>
      </c>
      <c r="AB150" s="177">
        <f>IFERROR(__xludf.DUMMYFUNCTION("""COMPUTED_VALUE"""),349.55)</f>
        <v>349.55</v>
      </c>
      <c r="AC150" s="177">
        <f>IFERROR(__xludf.DUMMYFUNCTION("""COMPUTED_VALUE"""),338.8)</f>
        <v>338.8</v>
      </c>
      <c r="AD150" s="177">
        <f>IFERROR(__xludf.DUMMYFUNCTION("""COMPUTED_VALUE"""),347.9)</f>
        <v>347.9</v>
      </c>
      <c r="AE150" s="177">
        <f>IFERROR(__xludf.DUMMYFUNCTION("""COMPUTED_VALUE"""),1.0432509E7)</f>
        <v>10432509</v>
      </c>
      <c r="AF150" s="177">
        <f t="shared" si="3"/>
        <v>0.004754024656</v>
      </c>
      <c r="AG150" s="177"/>
      <c r="AH150" s="177"/>
      <c r="AI150" s="189"/>
      <c r="AJ150" s="140"/>
      <c r="AK150" s="140"/>
      <c r="AL150" s="176">
        <f>IFERROR(__xludf.DUMMYFUNCTION("""COMPUTED_VALUE"""),45594.64583333333)</f>
        <v>45594.64583</v>
      </c>
      <c r="AM150" s="177">
        <f>IFERROR(__xludf.DUMMYFUNCTION("""COMPUTED_VALUE"""),4150.0)</f>
        <v>4150</v>
      </c>
      <c r="AN150" s="177">
        <f>IFERROR(__xludf.DUMMYFUNCTION("""COMPUTED_VALUE"""),4285.0)</f>
        <v>4285</v>
      </c>
      <c r="AO150" s="177">
        <f>IFERROR(__xludf.DUMMYFUNCTION("""COMPUTED_VALUE"""),4115.2)</f>
        <v>4115.2</v>
      </c>
      <c r="AP150" s="177">
        <f>IFERROR(__xludf.DUMMYFUNCTION("""COMPUTED_VALUE"""),4274.5)</f>
        <v>4274.5</v>
      </c>
      <c r="AQ150" s="177">
        <f>IFERROR(__xludf.DUMMYFUNCTION("""COMPUTED_VALUE"""),1523375.0)</f>
        <v>1523375</v>
      </c>
      <c r="AR150" s="177">
        <f t="shared" si="4"/>
        <v>0.02986005243</v>
      </c>
      <c r="AS150" s="177"/>
      <c r="AT150" s="177"/>
      <c r="AU150" s="189"/>
      <c r="AV150" s="140"/>
      <c r="AW150" s="140"/>
      <c r="AX150" s="176">
        <f>IFERROR(__xludf.DUMMYFUNCTION("""COMPUTED_VALUE"""),45594.64583333333)</f>
        <v>45594.64583</v>
      </c>
      <c r="AY150" s="177">
        <f>IFERROR(__xludf.DUMMYFUNCTION("""COMPUTED_VALUE"""),485.0)</f>
        <v>485</v>
      </c>
      <c r="AZ150" s="177">
        <f>IFERROR(__xludf.DUMMYFUNCTION("""COMPUTED_VALUE"""),489.2)</f>
        <v>489.2</v>
      </c>
      <c r="BA150" s="177">
        <f>IFERROR(__xludf.DUMMYFUNCTION("""COMPUTED_VALUE"""),481.3)</f>
        <v>481.3</v>
      </c>
      <c r="BB150" s="177">
        <f>IFERROR(__xludf.DUMMYFUNCTION("""COMPUTED_VALUE"""),487.95)</f>
        <v>487.95</v>
      </c>
      <c r="BC150" s="177">
        <f>IFERROR(__xludf.DUMMYFUNCTION("""COMPUTED_VALUE"""),6866704.0)</f>
        <v>6866704</v>
      </c>
      <c r="BD150" s="177">
        <f t="shared" si="5"/>
        <v>0.00781816553</v>
      </c>
      <c r="BE150" s="177"/>
      <c r="BF150" s="177"/>
      <c r="BG150" s="189"/>
      <c r="BH150" s="140"/>
      <c r="BI150" s="140"/>
      <c r="BJ150" s="140"/>
      <c r="BK150" s="140"/>
      <c r="BL150" s="140"/>
      <c r="BM150" s="140"/>
      <c r="BN150" s="140"/>
      <c r="BO150" s="140"/>
      <c r="BP150" s="140"/>
      <c r="BQ150" s="140"/>
      <c r="BR150" s="140"/>
      <c r="BS150" s="140"/>
      <c r="BT150" s="140"/>
      <c r="BU150" s="140"/>
      <c r="BV150" s="140"/>
      <c r="BW150" s="140"/>
      <c r="BX150" s="140"/>
      <c r="BY150" s="140"/>
    </row>
    <row r="151" ht="15.75" customHeight="1">
      <c r="A151" s="168"/>
      <c r="B151" s="169">
        <v>45595.0</v>
      </c>
      <c r="C151" s="170">
        <v>7501.12</v>
      </c>
      <c r="D151" s="170">
        <v>7543.12</v>
      </c>
      <c r="E151" s="170">
        <v>7490.12</v>
      </c>
      <c r="F151" s="170">
        <v>7534.78</v>
      </c>
      <c r="G151" s="171" t="s">
        <v>238</v>
      </c>
      <c r="H151" s="172">
        <f t="shared" si="1"/>
        <v>0.004957335379</v>
      </c>
      <c r="I151" s="172"/>
      <c r="J151" s="172"/>
      <c r="K151" s="188"/>
      <c r="L151" s="140"/>
      <c r="M151" s="140"/>
      <c r="N151" s="176">
        <f>IFERROR(__xludf.DUMMYFUNCTION("""COMPUTED_VALUE"""),45595.64583333333)</f>
        <v>45595.64583</v>
      </c>
      <c r="O151" s="177">
        <f>IFERROR(__xludf.DUMMYFUNCTION("""COMPUTED_VALUE"""),1324.0)</f>
        <v>1324</v>
      </c>
      <c r="P151" s="177">
        <f>IFERROR(__xludf.DUMMYFUNCTION("""COMPUTED_VALUE"""),1330.9)</f>
        <v>1330.9</v>
      </c>
      <c r="Q151" s="177">
        <f>IFERROR(__xludf.DUMMYFUNCTION("""COMPUTED_VALUE"""),1305.6)</f>
        <v>1305.6</v>
      </c>
      <c r="R151" s="177">
        <f>IFERROR(__xludf.DUMMYFUNCTION("""COMPUTED_VALUE"""),1312.15)</f>
        <v>1312.15</v>
      </c>
      <c r="S151" s="177">
        <f>IFERROR(__xludf.DUMMYFUNCTION("""COMPUTED_VALUE"""),1.5055031E7)</f>
        <v>15055031</v>
      </c>
      <c r="T151" s="177">
        <f t="shared" si="2"/>
        <v>-0.01490193991</v>
      </c>
      <c r="U151" s="178"/>
      <c r="V151" s="177"/>
      <c r="W151" s="189"/>
      <c r="X151" s="140"/>
      <c r="Y151" s="140"/>
      <c r="Z151" s="176">
        <f>IFERROR(__xludf.DUMMYFUNCTION("""COMPUTED_VALUE"""),45595.64583333333)</f>
        <v>45595.64583</v>
      </c>
      <c r="AA151" s="177">
        <f>IFERROR(__xludf.DUMMYFUNCTION("""COMPUTED_VALUE"""),347.7)</f>
        <v>347.7</v>
      </c>
      <c r="AB151" s="177">
        <f>IFERROR(__xludf.DUMMYFUNCTION("""COMPUTED_VALUE"""),349.4)</f>
        <v>349.4</v>
      </c>
      <c r="AC151" s="177">
        <f>IFERROR(__xludf.DUMMYFUNCTION("""COMPUTED_VALUE"""),341.6)</f>
        <v>341.6</v>
      </c>
      <c r="AD151" s="177">
        <f>IFERROR(__xludf.DUMMYFUNCTION("""COMPUTED_VALUE"""),342.75)</f>
        <v>342.75</v>
      </c>
      <c r="AE151" s="177">
        <f>IFERROR(__xludf.DUMMYFUNCTION("""COMPUTED_VALUE"""),4285325.0)</f>
        <v>4285325</v>
      </c>
      <c r="AF151" s="177">
        <f t="shared" si="3"/>
        <v>-0.01491376372</v>
      </c>
      <c r="AG151" s="177"/>
      <c r="AH151" s="177"/>
      <c r="AI151" s="189"/>
      <c r="AJ151" s="140"/>
      <c r="AK151" s="140"/>
      <c r="AL151" s="176">
        <f>IFERROR(__xludf.DUMMYFUNCTION("""COMPUTED_VALUE"""),45595.64583333333)</f>
        <v>45595.64583</v>
      </c>
      <c r="AM151" s="177">
        <f>IFERROR(__xludf.DUMMYFUNCTION("""COMPUTED_VALUE"""),4264.95)</f>
        <v>4264.95</v>
      </c>
      <c r="AN151" s="177">
        <f>IFERROR(__xludf.DUMMYFUNCTION("""COMPUTED_VALUE"""),4334.0)</f>
        <v>4334</v>
      </c>
      <c r="AO151" s="177">
        <f>IFERROR(__xludf.DUMMYFUNCTION("""COMPUTED_VALUE"""),4225.0)</f>
        <v>4225</v>
      </c>
      <c r="AP151" s="177">
        <f>IFERROR(__xludf.DUMMYFUNCTION("""COMPUTED_VALUE"""),4236.3)</f>
        <v>4236.3</v>
      </c>
      <c r="AQ151" s="177">
        <f>IFERROR(__xludf.DUMMYFUNCTION("""COMPUTED_VALUE"""),1526646.0)</f>
        <v>1526646</v>
      </c>
      <c r="AR151" s="177">
        <f t="shared" si="4"/>
        <v>-0.008976889723</v>
      </c>
      <c r="AS151" s="177"/>
      <c r="AT151" s="177"/>
      <c r="AU151" s="189"/>
      <c r="AV151" s="140"/>
      <c r="AW151" s="140"/>
      <c r="AX151" s="176">
        <f>IFERROR(__xludf.DUMMYFUNCTION("""COMPUTED_VALUE"""),45595.64583333333)</f>
        <v>45595.64583</v>
      </c>
      <c r="AY151" s="177">
        <f>IFERROR(__xludf.DUMMYFUNCTION("""COMPUTED_VALUE"""),487.95)</f>
        <v>487.95</v>
      </c>
      <c r="AZ151" s="177">
        <f>IFERROR(__xludf.DUMMYFUNCTION("""COMPUTED_VALUE"""),493.25)</f>
        <v>493.25</v>
      </c>
      <c r="BA151" s="177">
        <f>IFERROR(__xludf.DUMMYFUNCTION("""COMPUTED_VALUE"""),486.5)</f>
        <v>486.5</v>
      </c>
      <c r="BB151" s="177">
        <f>IFERROR(__xludf.DUMMYFUNCTION("""COMPUTED_VALUE"""),491.55)</f>
        <v>491.55</v>
      </c>
      <c r="BC151" s="177">
        <f>IFERROR(__xludf.DUMMYFUNCTION("""COMPUTED_VALUE"""),6393835.0)</f>
        <v>6393835</v>
      </c>
      <c r="BD151" s="177">
        <f t="shared" si="5"/>
        <v>0.007350722225</v>
      </c>
      <c r="BE151" s="177"/>
      <c r="BF151" s="177"/>
      <c r="BG151" s="189"/>
      <c r="BH151" s="140"/>
      <c r="BI151" s="140"/>
      <c r="BJ151" s="140"/>
      <c r="BK151" s="140"/>
      <c r="BL151" s="140"/>
      <c r="BM151" s="140"/>
      <c r="BN151" s="140"/>
      <c r="BO151" s="140"/>
      <c r="BP151" s="140"/>
      <c r="BQ151" s="140"/>
      <c r="BR151" s="140"/>
      <c r="BS151" s="140"/>
      <c r="BT151" s="140"/>
      <c r="BU151" s="140"/>
      <c r="BV151" s="140"/>
      <c r="BW151" s="140"/>
      <c r="BX151" s="140"/>
      <c r="BY151" s="140"/>
    </row>
    <row r="152" ht="15.75" customHeight="1">
      <c r="A152" s="168"/>
      <c r="B152" s="169">
        <v>45596.0</v>
      </c>
      <c r="C152" s="170">
        <v>7536.12</v>
      </c>
      <c r="D152" s="170">
        <v>7543.52</v>
      </c>
      <c r="E152" s="170">
        <v>7385.12</v>
      </c>
      <c r="F152" s="170">
        <v>7415.12</v>
      </c>
      <c r="G152" s="171" t="s">
        <v>238</v>
      </c>
      <c r="H152" s="172">
        <f t="shared" si="1"/>
        <v>-0.0160084757</v>
      </c>
      <c r="I152" s="172"/>
      <c r="J152" s="172"/>
      <c r="K152" s="188"/>
      <c r="L152" s="140"/>
      <c r="M152" s="140"/>
      <c r="N152" s="176">
        <f>IFERROR(__xludf.DUMMYFUNCTION("""COMPUTED_VALUE"""),45596.64583333333)</f>
        <v>45596.64583</v>
      </c>
      <c r="O152" s="177">
        <f>IFERROR(__xludf.DUMMYFUNCTION("""COMPUTED_VALUE"""),1307.25)</f>
        <v>1307.25</v>
      </c>
      <c r="P152" s="177">
        <f>IFERROR(__xludf.DUMMYFUNCTION("""COMPUTED_VALUE"""),1318.95)</f>
        <v>1318.95</v>
      </c>
      <c r="Q152" s="177">
        <f>IFERROR(__xludf.DUMMYFUNCTION("""COMPUTED_VALUE"""),1288.55)</f>
        <v>1288.55</v>
      </c>
      <c r="R152" s="177">
        <f>IFERROR(__xludf.DUMMYFUNCTION("""COMPUTED_VALUE"""),1292.25)</f>
        <v>1292.25</v>
      </c>
      <c r="S152" s="177">
        <f>IFERROR(__xludf.DUMMYFUNCTION("""COMPUTED_VALUE"""),2.3497314E7)</f>
        <v>23497314</v>
      </c>
      <c r="T152" s="177">
        <f t="shared" si="2"/>
        <v>-0.01528212816</v>
      </c>
      <c r="U152" s="178"/>
      <c r="V152" s="177"/>
      <c r="W152" s="189"/>
      <c r="X152" s="140"/>
      <c r="Y152" s="140"/>
      <c r="Z152" s="176">
        <f>IFERROR(__xludf.DUMMYFUNCTION("""COMPUTED_VALUE"""),45596.64583333333)</f>
        <v>45596.64583</v>
      </c>
      <c r="AA152" s="177">
        <f>IFERROR(__xludf.DUMMYFUNCTION("""COMPUTED_VALUE"""),341.8)</f>
        <v>341.8</v>
      </c>
      <c r="AB152" s="177">
        <f>IFERROR(__xludf.DUMMYFUNCTION("""COMPUTED_VALUE"""),345.25)</f>
        <v>345.25</v>
      </c>
      <c r="AC152" s="177">
        <f>IFERROR(__xludf.DUMMYFUNCTION("""COMPUTED_VALUE"""),338.65)</f>
        <v>338.65</v>
      </c>
      <c r="AD152" s="177">
        <f>IFERROR(__xludf.DUMMYFUNCTION("""COMPUTED_VALUE"""),340.55)</f>
        <v>340.55</v>
      </c>
      <c r="AE152" s="177">
        <f>IFERROR(__xludf.DUMMYFUNCTION("""COMPUTED_VALUE"""),6947893.0)</f>
        <v>6947893</v>
      </c>
      <c r="AF152" s="177">
        <f t="shared" si="3"/>
        <v>-0.006439360755</v>
      </c>
      <c r="AG152" s="177"/>
      <c r="AH152" s="177"/>
      <c r="AI152" s="189"/>
      <c r="AJ152" s="140"/>
      <c r="AK152" s="140"/>
      <c r="AL152" s="176">
        <f>IFERROR(__xludf.DUMMYFUNCTION("""COMPUTED_VALUE"""),45596.64583333333)</f>
        <v>45596.64583</v>
      </c>
      <c r="AM152" s="177">
        <f>IFERROR(__xludf.DUMMYFUNCTION("""COMPUTED_VALUE"""),4236.0)</f>
        <v>4236</v>
      </c>
      <c r="AN152" s="177">
        <f>IFERROR(__xludf.DUMMYFUNCTION("""COMPUTED_VALUE"""),4270.2)</f>
        <v>4270.2</v>
      </c>
      <c r="AO152" s="177">
        <f>IFERROR(__xludf.DUMMYFUNCTION("""COMPUTED_VALUE"""),4195.55)</f>
        <v>4195.55</v>
      </c>
      <c r="AP152" s="177">
        <f>IFERROR(__xludf.DUMMYFUNCTION("""COMPUTED_VALUE"""),4246.7)</f>
        <v>4246.7</v>
      </c>
      <c r="AQ152" s="177">
        <f>IFERROR(__xludf.DUMMYFUNCTION("""COMPUTED_VALUE"""),1137221.0)</f>
        <v>1137221</v>
      </c>
      <c r="AR152" s="177">
        <f t="shared" si="4"/>
        <v>0.002451963977</v>
      </c>
      <c r="AS152" s="177"/>
      <c r="AT152" s="177"/>
      <c r="AU152" s="189"/>
      <c r="AV152" s="140"/>
      <c r="AW152" s="140"/>
      <c r="AX152" s="176">
        <f>IFERROR(__xludf.DUMMYFUNCTION("""COMPUTED_VALUE"""),45596.64583333333)</f>
        <v>45596.64583</v>
      </c>
      <c r="AY152" s="177">
        <f>IFERROR(__xludf.DUMMYFUNCTION("""COMPUTED_VALUE"""),492.0)</f>
        <v>492</v>
      </c>
      <c r="AZ152" s="177">
        <f>IFERROR(__xludf.DUMMYFUNCTION("""COMPUTED_VALUE"""),493.0)</f>
        <v>493</v>
      </c>
      <c r="BA152" s="177">
        <f>IFERROR(__xludf.DUMMYFUNCTION("""COMPUTED_VALUE"""),484.7)</f>
        <v>484.7</v>
      </c>
      <c r="BB152" s="177">
        <f>IFERROR(__xludf.DUMMYFUNCTION("""COMPUTED_VALUE"""),488.8)</f>
        <v>488.8</v>
      </c>
      <c r="BC152" s="177">
        <f>IFERROR(__xludf.DUMMYFUNCTION("""COMPUTED_VALUE"""),7810874.0)</f>
        <v>7810874</v>
      </c>
      <c r="BD152" s="177">
        <f t="shared" si="5"/>
        <v>-0.005610255956</v>
      </c>
      <c r="BE152" s="177"/>
      <c r="BF152" s="177"/>
      <c r="BG152" s="189"/>
      <c r="BH152" s="140"/>
      <c r="BI152" s="140"/>
      <c r="BJ152" s="140"/>
      <c r="BK152" s="140"/>
      <c r="BL152" s="140"/>
      <c r="BM152" s="140"/>
      <c r="BN152" s="140"/>
      <c r="BO152" s="140"/>
      <c r="BP152" s="140"/>
      <c r="BQ152" s="140"/>
      <c r="BR152" s="140"/>
      <c r="BS152" s="140"/>
      <c r="BT152" s="140"/>
      <c r="BU152" s="140"/>
      <c r="BV152" s="140"/>
      <c r="BW152" s="140"/>
      <c r="BX152" s="140"/>
      <c r="BY152" s="140"/>
    </row>
    <row r="153" ht="15.75" customHeight="1">
      <c r="A153" s="168"/>
      <c r="B153" s="169">
        <v>45600.0</v>
      </c>
      <c r="C153" s="170">
        <v>7391.12</v>
      </c>
      <c r="D153" s="170">
        <v>7432.12</v>
      </c>
      <c r="E153" s="170">
        <v>7379.12</v>
      </c>
      <c r="F153" s="170">
        <v>7398.12</v>
      </c>
      <c r="G153" s="171" t="s">
        <v>238</v>
      </c>
      <c r="H153" s="172">
        <f t="shared" si="1"/>
        <v>-0.002295244992</v>
      </c>
      <c r="I153" s="172"/>
      <c r="J153" s="172"/>
      <c r="K153" s="188"/>
      <c r="L153" s="140"/>
      <c r="M153" s="140"/>
      <c r="N153" s="176">
        <f>IFERROR(__xludf.DUMMYFUNCTION("""COMPUTED_VALUE"""),45600.64583333333)</f>
        <v>45600.64583</v>
      </c>
      <c r="O153" s="177">
        <f>IFERROR(__xludf.DUMMYFUNCTION("""COMPUTED_VALUE"""),1290.1)</f>
        <v>1290.1</v>
      </c>
      <c r="P153" s="177">
        <f>IFERROR(__xludf.DUMMYFUNCTION("""COMPUTED_VALUE"""),1291.8)</f>
        <v>1291.8</v>
      </c>
      <c r="Q153" s="177">
        <f>IFERROR(__xludf.DUMMYFUNCTION("""COMPUTED_VALUE"""),1270.05)</f>
        <v>1270.05</v>
      </c>
      <c r="R153" s="177">
        <f>IFERROR(__xludf.DUMMYFUNCTION("""COMPUTED_VALUE"""),1277.2)</f>
        <v>1277.2</v>
      </c>
      <c r="S153" s="177">
        <f>IFERROR(__xludf.DUMMYFUNCTION("""COMPUTED_VALUE"""),1.4309121E7)</f>
        <v>14309121</v>
      </c>
      <c r="T153" s="177">
        <f t="shared" si="2"/>
        <v>-0.01171470324</v>
      </c>
      <c r="U153" s="178"/>
      <c r="V153" s="177"/>
      <c r="W153" s="189"/>
      <c r="X153" s="140"/>
      <c r="Y153" s="140"/>
      <c r="Z153" s="176">
        <f>IFERROR(__xludf.DUMMYFUNCTION("""COMPUTED_VALUE"""),45600.64583333333)</f>
        <v>45600.64583</v>
      </c>
      <c r="AA153" s="177">
        <f>IFERROR(__xludf.DUMMYFUNCTION("""COMPUTED_VALUE"""),346.85)</f>
        <v>346.85</v>
      </c>
      <c r="AB153" s="177">
        <f>IFERROR(__xludf.DUMMYFUNCTION("""COMPUTED_VALUE"""),350.0)</f>
        <v>350</v>
      </c>
      <c r="AC153" s="177">
        <f>IFERROR(__xludf.DUMMYFUNCTION("""COMPUTED_VALUE"""),335.35)</f>
        <v>335.35</v>
      </c>
      <c r="AD153" s="177">
        <f>IFERROR(__xludf.DUMMYFUNCTION("""COMPUTED_VALUE"""),337.4)</f>
        <v>337.4</v>
      </c>
      <c r="AE153" s="177">
        <f>IFERROR(__xludf.DUMMYFUNCTION("""COMPUTED_VALUE"""),1.2597097E7)</f>
        <v>12597097</v>
      </c>
      <c r="AF153" s="177">
        <f t="shared" si="3"/>
        <v>-0.009292787575</v>
      </c>
      <c r="AG153" s="177"/>
      <c r="AH153" s="177"/>
      <c r="AI153" s="189"/>
      <c r="AJ153" s="140"/>
      <c r="AK153" s="140"/>
      <c r="AL153" s="176">
        <f>IFERROR(__xludf.DUMMYFUNCTION("""COMPUTED_VALUE"""),45600.64583333333)</f>
        <v>45600.64583</v>
      </c>
      <c r="AM153" s="177">
        <f>IFERROR(__xludf.DUMMYFUNCTION("""COMPUTED_VALUE"""),4287.95)</f>
        <v>4287.95</v>
      </c>
      <c r="AN153" s="177">
        <f>IFERROR(__xludf.DUMMYFUNCTION("""COMPUTED_VALUE"""),4287.95)</f>
        <v>4287.95</v>
      </c>
      <c r="AO153" s="177">
        <f>IFERROR(__xludf.DUMMYFUNCTION("""COMPUTED_VALUE"""),4196.0)</f>
        <v>4196</v>
      </c>
      <c r="AP153" s="177">
        <f>IFERROR(__xludf.DUMMYFUNCTION("""COMPUTED_VALUE"""),4208.25)</f>
        <v>4208.25</v>
      </c>
      <c r="AQ153" s="177">
        <f>IFERROR(__xludf.DUMMYFUNCTION("""COMPUTED_VALUE"""),1013884.0)</f>
        <v>1013884</v>
      </c>
      <c r="AR153" s="177">
        <f t="shared" si="4"/>
        <v>-0.009095326422</v>
      </c>
      <c r="AS153" s="177"/>
      <c r="AT153" s="177"/>
      <c r="AU153" s="189"/>
      <c r="AV153" s="140"/>
      <c r="AW153" s="140"/>
      <c r="AX153" s="176">
        <f>IFERROR(__xludf.DUMMYFUNCTION("""COMPUTED_VALUE"""),45600.64583333333)</f>
        <v>45600.64583</v>
      </c>
      <c r="AY153" s="177">
        <f>IFERROR(__xludf.DUMMYFUNCTION("""COMPUTED_VALUE"""),493.45)</f>
        <v>493.45</v>
      </c>
      <c r="AZ153" s="177">
        <f>IFERROR(__xludf.DUMMYFUNCTION("""COMPUTED_VALUE"""),493.45)</f>
        <v>493.45</v>
      </c>
      <c r="BA153" s="177">
        <f>IFERROR(__xludf.DUMMYFUNCTION("""COMPUTED_VALUE"""),479.55)</f>
        <v>479.55</v>
      </c>
      <c r="BB153" s="177">
        <f>IFERROR(__xludf.DUMMYFUNCTION("""COMPUTED_VALUE"""),484.6)</f>
        <v>484.6</v>
      </c>
      <c r="BC153" s="177">
        <f>IFERROR(__xludf.DUMMYFUNCTION("""COMPUTED_VALUE"""),8429731.0)</f>
        <v>8429731</v>
      </c>
      <c r="BD153" s="177">
        <f t="shared" si="5"/>
        <v>-0.008629599475</v>
      </c>
      <c r="BE153" s="177"/>
      <c r="BF153" s="177"/>
      <c r="BG153" s="189"/>
      <c r="BH153" s="140"/>
      <c r="BI153" s="140"/>
      <c r="BJ153" s="140"/>
      <c r="BK153" s="140"/>
      <c r="BL153" s="140"/>
      <c r="BM153" s="140"/>
      <c r="BN153" s="140"/>
      <c r="BO153" s="140"/>
      <c r="BP153" s="140"/>
      <c r="BQ153" s="140"/>
      <c r="BR153" s="140"/>
      <c r="BS153" s="140"/>
      <c r="BT153" s="140"/>
      <c r="BU153" s="140"/>
      <c r="BV153" s="140"/>
      <c r="BW153" s="140"/>
      <c r="BX153" s="140"/>
      <c r="BY153" s="140"/>
    </row>
    <row r="154" ht="15.75" customHeight="1">
      <c r="A154" s="168"/>
      <c r="B154" s="169">
        <v>45601.0</v>
      </c>
      <c r="C154" s="170">
        <v>7402.78</v>
      </c>
      <c r="D154" s="170">
        <v>7436.12</v>
      </c>
      <c r="E154" s="170">
        <v>7372.12</v>
      </c>
      <c r="F154" s="170">
        <v>7419.12</v>
      </c>
      <c r="G154" s="171" t="s">
        <v>238</v>
      </c>
      <c r="H154" s="172">
        <f t="shared" si="1"/>
        <v>0.002834537884</v>
      </c>
      <c r="I154" s="172"/>
      <c r="J154" s="172"/>
      <c r="K154" s="188"/>
      <c r="L154" s="140"/>
      <c r="M154" s="140"/>
      <c r="N154" s="176">
        <f>IFERROR(__xludf.DUMMYFUNCTION("""COMPUTED_VALUE"""),45601.64583333333)</f>
        <v>45601.64583</v>
      </c>
      <c r="O154" s="177">
        <f>IFERROR(__xludf.DUMMYFUNCTION("""COMPUTED_VALUE"""),1273.0)</f>
        <v>1273</v>
      </c>
      <c r="P154" s="177">
        <f>IFERROR(__xludf.DUMMYFUNCTION("""COMPUTED_VALUE"""),1301.3)</f>
        <v>1301.3</v>
      </c>
      <c r="Q154" s="177">
        <f>IFERROR(__xludf.DUMMYFUNCTION("""COMPUTED_VALUE"""),1263.1)</f>
        <v>1263.1</v>
      </c>
      <c r="R154" s="177">
        <f>IFERROR(__xludf.DUMMYFUNCTION("""COMPUTED_VALUE"""),1296.7)</f>
        <v>1296.7</v>
      </c>
      <c r="S154" s="177">
        <f>IFERROR(__xludf.DUMMYFUNCTION("""COMPUTED_VALUE"""),1.643192E7)</f>
        <v>16431920</v>
      </c>
      <c r="T154" s="177">
        <f t="shared" si="2"/>
        <v>0.01515239371</v>
      </c>
      <c r="U154" s="178"/>
      <c r="V154" s="177"/>
      <c r="W154" s="189"/>
      <c r="X154" s="140"/>
      <c r="Y154" s="140"/>
      <c r="Z154" s="176">
        <f>IFERROR(__xludf.DUMMYFUNCTION("""COMPUTED_VALUE"""),45601.64583333333)</f>
        <v>45601.64583</v>
      </c>
      <c r="AA154" s="177">
        <f>IFERROR(__xludf.DUMMYFUNCTION("""COMPUTED_VALUE"""),336.85)</f>
        <v>336.85</v>
      </c>
      <c r="AB154" s="177">
        <f>IFERROR(__xludf.DUMMYFUNCTION("""COMPUTED_VALUE"""),342.85)</f>
        <v>342.85</v>
      </c>
      <c r="AC154" s="177">
        <f>IFERROR(__xludf.DUMMYFUNCTION("""COMPUTED_VALUE"""),332.35)</f>
        <v>332.35</v>
      </c>
      <c r="AD154" s="177">
        <f>IFERROR(__xludf.DUMMYFUNCTION("""COMPUTED_VALUE"""),342.15)</f>
        <v>342.15</v>
      </c>
      <c r="AE154" s="177">
        <f>IFERROR(__xludf.DUMMYFUNCTION("""COMPUTED_VALUE"""),3304753.0)</f>
        <v>3304753</v>
      </c>
      <c r="AF154" s="177">
        <f t="shared" si="3"/>
        <v>0.01398006729</v>
      </c>
      <c r="AG154" s="177"/>
      <c r="AH154" s="177"/>
      <c r="AI154" s="189"/>
      <c r="AJ154" s="140"/>
      <c r="AK154" s="140"/>
      <c r="AL154" s="176">
        <f>IFERROR(__xludf.DUMMYFUNCTION("""COMPUTED_VALUE"""),45601.64583333333)</f>
        <v>45601.64583</v>
      </c>
      <c r="AM154" s="177">
        <f>IFERROR(__xludf.DUMMYFUNCTION("""COMPUTED_VALUE"""),4200.0)</f>
        <v>4200</v>
      </c>
      <c r="AN154" s="177">
        <f>IFERROR(__xludf.DUMMYFUNCTION("""COMPUTED_VALUE"""),4280.0)</f>
        <v>4280</v>
      </c>
      <c r="AO154" s="177">
        <f>IFERROR(__xludf.DUMMYFUNCTION("""COMPUTED_VALUE"""),4130.0)</f>
        <v>4130</v>
      </c>
      <c r="AP154" s="177">
        <f>IFERROR(__xludf.DUMMYFUNCTION("""COMPUTED_VALUE"""),4261.95)</f>
        <v>4261.95</v>
      </c>
      <c r="AQ154" s="177">
        <f>IFERROR(__xludf.DUMMYFUNCTION("""COMPUTED_VALUE"""),1215686.0)</f>
        <v>1215686</v>
      </c>
      <c r="AR154" s="177">
        <f t="shared" si="4"/>
        <v>0.01267991771</v>
      </c>
      <c r="AS154" s="177"/>
      <c r="AT154" s="177"/>
      <c r="AU154" s="189"/>
      <c r="AV154" s="140"/>
      <c r="AW154" s="140"/>
      <c r="AX154" s="176">
        <f>IFERROR(__xludf.DUMMYFUNCTION("""COMPUTED_VALUE"""),45601.64583333333)</f>
        <v>45601.64583</v>
      </c>
      <c r="AY154" s="177">
        <f>IFERROR(__xludf.DUMMYFUNCTION("""COMPUTED_VALUE"""),482.95)</f>
        <v>482.95</v>
      </c>
      <c r="AZ154" s="177">
        <f>IFERROR(__xludf.DUMMYFUNCTION("""COMPUTED_VALUE"""),485.05)</f>
        <v>485.05</v>
      </c>
      <c r="BA154" s="177">
        <f>IFERROR(__xludf.DUMMYFUNCTION("""COMPUTED_VALUE"""),476.95)</f>
        <v>476.95</v>
      </c>
      <c r="BB154" s="177">
        <f>IFERROR(__xludf.DUMMYFUNCTION("""COMPUTED_VALUE"""),480.2)</f>
        <v>480.2</v>
      </c>
      <c r="BC154" s="177">
        <f>IFERROR(__xludf.DUMMYFUNCTION("""COMPUTED_VALUE"""),7327830.0)</f>
        <v>7327830</v>
      </c>
      <c r="BD154" s="177">
        <f t="shared" si="5"/>
        <v>-0.009121124595</v>
      </c>
      <c r="BE154" s="177"/>
      <c r="BF154" s="177"/>
      <c r="BG154" s="189"/>
      <c r="BH154" s="140"/>
      <c r="BI154" s="140"/>
      <c r="BJ154" s="140"/>
      <c r="BK154" s="140"/>
      <c r="BL154" s="140"/>
      <c r="BM154" s="140"/>
      <c r="BN154" s="140"/>
      <c r="BO154" s="140"/>
      <c r="BP154" s="140"/>
      <c r="BQ154" s="140"/>
      <c r="BR154" s="140"/>
      <c r="BS154" s="140"/>
      <c r="BT154" s="140"/>
      <c r="BU154" s="140"/>
      <c r="BV154" s="140"/>
      <c r="BW154" s="140"/>
      <c r="BX154" s="140"/>
      <c r="BY154" s="140"/>
    </row>
    <row r="155" ht="15.75" customHeight="1">
      <c r="A155" s="168"/>
      <c r="B155" s="169">
        <v>45602.0</v>
      </c>
      <c r="C155" s="170">
        <v>7420.78</v>
      </c>
      <c r="D155" s="170">
        <v>7440.78</v>
      </c>
      <c r="E155" s="170">
        <v>7192.12</v>
      </c>
      <c r="F155" s="170">
        <v>7206.12</v>
      </c>
      <c r="G155" s="171" t="s">
        <v>238</v>
      </c>
      <c r="H155" s="172">
        <f t="shared" si="1"/>
        <v>-0.02912978679</v>
      </c>
      <c r="I155" s="172"/>
      <c r="J155" s="172"/>
      <c r="K155" s="188"/>
      <c r="L155" s="140"/>
      <c r="M155" s="140"/>
      <c r="N155" s="176">
        <f>IFERROR(__xludf.DUMMYFUNCTION("""COMPUTED_VALUE"""),45602.64583333333)</f>
        <v>45602.64583</v>
      </c>
      <c r="O155" s="177">
        <f>IFERROR(__xludf.DUMMYFUNCTION("""COMPUTED_VALUE"""),1300.25)</f>
        <v>1300.25</v>
      </c>
      <c r="P155" s="177">
        <f>IFERROR(__xludf.DUMMYFUNCTION("""COMPUTED_VALUE"""),1315.0)</f>
        <v>1315</v>
      </c>
      <c r="Q155" s="177">
        <f>IFERROR(__xludf.DUMMYFUNCTION("""COMPUTED_VALUE"""),1292.7)</f>
        <v>1292.7</v>
      </c>
      <c r="R155" s="177">
        <f>IFERROR(__xludf.DUMMYFUNCTION("""COMPUTED_VALUE"""),1302.35)</f>
        <v>1302.35</v>
      </c>
      <c r="S155" s="177">
        <f>IFERROR(__xludf.DUMMYFUNCTION("""COMPUTED_VALUE"""),1.2037405E7)</f>
        <v>12037405</v>
      </c>
      <c r="T155" s="177">
        <f t="shared" si="2"/>
        <v>0.004347749293</v>
      </c>
      <c r="U155" s="178"/>
      <c r="V155" s="177"/>
      <c r="W155" s="189"/>
      <c r="X155" s="140"/>
      <c r="Y155" s="140"/>
      <c r="Z155" s="176">
        <f>IFERROR(__xludf.DUMMYFUNCTION("""COMPUTED_VALUE"""),45602.64583333333)</f>
        <v>45602.64583</v>
      </c>
      <c r="AA155" s="177">
        <f>IFERROR(__xludf.DUMMYFUNCTION("""COMPUTED_VALUE"""),343.0)</f>
        <v>343</v>
      </c>
      <c r="AB155" s="177">
        <f>IFERROR(__xludf.DUMMYFUNCTION("""COMPUTED_VALUE"""),344.85)</f>
        <v>344.85</v>
      </c>
      <c r="AC155" s="177">
        <f>IFERROR(__xludf.DUMMYFUNCTION("""COMPUTED_VALUE"""),338.65)</f>
        <v>338.65</v>
      </c>
      <c r="AD155" s="177">
        <f>IFERROR(__xludf.DUMMYFUNCTION("""COMPUTED_VALUE"""),342.05)</f>
        <v>342.05</v>
      </c>
      <c r="AE155" s="177">
        <f>IFERROR(__xludf.DUMMYFUNCTION("""COMPUTED_VALUE"""),4103190.0)</f>
        <v>4103190</v>
      </c>
      <c r="AF155" s="177">
        <f t="shared" si="3"/>
        <v>-0.0002923121915</v>
      </c>
      <c r="AG155" s="177"/>
      <c r="AH155" s="177"/>
      <c r="AI155" s="189"/>
      <c r="AJ155" s="140"/>
      <c r="AK155" s="140"/>
      <c r="AL155" s="176">
        <f>IFERROR(__xludf.DUMMYFUNCTION("""COMPUTED_VALUE"""),45602.64583333333)</f>
        <v>45602.64583</v>
      </c>
      <c r="AM155" s="177">
        <f>IFERROR(__xludf.DUMMYFUNCTION("""COMPUTED_VALUE"""),4276.0)</f>
        <v>4276</v>
      </c>
      <c r="AN155" s="177">
        <f>IFERROR(__xludf.DUMMYFUNCTION("""COMPUTED_VALUE"""),4420.0)</f>
        <v>4420</v>
      </c>
      <c r="AO155" s="177">
        <f>IFERROR(__xludf.DUMMYFUNCTION("""COMPUTED_VALUE"""),4270.05)</f>
        <v>4270.05</v>
      </c>
      <c r="AP155" s="177">
        <f>IFERROR(__xludf.DUMMYFUNCTION("""COMPUTED_VALUE"""),4390.15)</f>
        <v>4390.15</v>
      </c>
      <c r="AQ155" s="177">
        <f>IFERROR(__xludf.DUMMYFUNCTION("""COMPUTED_VALUE"""),1228872.0)</f>
        <v>1228872</v>
      </c>
      <c r="AR155" s="177">
        <f t="shared" si="4"/>
        <v>0.02963659304</v>
      </c>
      <c r="AS155" s="177"/>
      <c r="AT155" s="177"/>
      <c r="AU155" s="189"/>
      <c r="AV155" s="140"/>
      <c r="AW155" s="140"/>
      <c r="AX155" s="176">
        <f>IFERROR(__xludf.DUMMYFUNCTION("""COMPUTED_VALUE"""),45602.64583333333)</f>
        <v>45602.64583</v>
      </c>
      <c r="AY155" s="177">
        <f>IFERROR(__xludf.DUMMYFUNCTION("""COMPUTED_VALUE"""),480.2)</f>
        <v>480.2</v>
      </c>
      <c r="AZ155" s="177">
        <f>IFERROR(__xludf.DUMMYFUNCTION("""COMPUTED_VALUE"""),484.4)</f>
        <v>484.4</v>
      </c>
      <c r="BA155" s="177">
        <f>IFERROR(__xludf.DUMMYFUNCTION("""COMPUTED_VALUE"""),478.0)</f>
        <v>478</v>
      </c>
      <c r="BB155" s="177">
        <f>IFERROR(__xludf.DUMMYFUNCTION("""COMPUTED_VALUE"""),481.1)</f>
        <v>481.1</v>
      </c>
      <c r="BC155" s="177">
        <f>IFERROR(__xludf.DUMMYFUNCTION("""COMPUTED_VALUE"""),1.1313985E7)</f>
        <v>11313985</v>
      </c>
      <c r="BD155" s="177">
        <f t="shared" si="5"/>
        <v>0.001872464918</v>
      </c>
      <c r="BE155" s="177"/>
      <c r="BF155" s="177"/>
      <c r="BG155" s="189"/>
      <c r="BH155" s="140"/>
      <c r="BI155" s="140"/>
      <c r="BJ155" s="140"/>
      <c r="BK155" s="140"/>
      <c r="BL155" s="140"/>
      <c r="BM155" s="140"/>
      <c r="BN155" s="140"/>
      <c r="BO155" s="140"/>
      <c r="BP155" s="140"/>
      <c r="BQ155" s="140"/>
      <c r="BR155" s="140"/>
      <c r="BS155" s="140"/>
      <c r="BT155" s="140"/>
      <c r="BU155" s="140"/>
      <c r="BV155" s="140"/>
      <c r="BW155" s="140"/>
      <c r="BX155" s="140"/>
      <c r="BY155" s="140"/>
    </row>
    <row r="156" ht="15.75" customHeight="1">
      <c r="A156" s="168"/>
      <c r="B156" s="169">
        <v>45603.0</v>
      </c>
      <c r="C156" s="170">
        <v>7209.12</v>
      </c>
      <c r="D156" s="170">
        <v>7344.12</v>
      </c>
      <c r="E156" s="170">
        <v>7166.78</v>
      </c>
      <c r="F156" s="170">
        <v>7332.12</v>
      </c>
      <c r="G156" s="171" t="s">
        <v>238</v>
      </c>
      <c r="H156" s="172">
        <f t="shared" si="1"/>
        <v>0.01733403148</v>
      </c>
      <c r="I156" s="172"/>
      <c r="J156" s="172"/>
      <c r="K156" s="188"/>
      <c r="L156" s="140"/>
      <c r="M156" s="140"/>
      <c r="N156" s="176">
        <f>IFERROR(__xludf.DUMMYFUNCTION("""COMPUTED_VALUE"""),45603.64583333333)</f>
        <v>45603.64583</v>
      </c>
      <c r="O156" s="177">
        <f>IFERROR(__xludf.DUMMYFUNCTION("""COMPUTED_VALUE"""),1297.15)</f>
        <v>1297.15</v>
      </c>
      <c r="P156" s="177">
        <f>IFERROR(__xludf.DUMMYFUNCTION("""COMPUTED_VALUE"""),1302.8)</f>
        <v>1302.8</v>
      </c>
      <c r="Q156" s="177">
        <f>IFERROR(__xludf.DUMMYFUNCTION("""COMPUTED_VALUE"""),1275.25)</f>
        <v>1275.25</v>
      </c>
      <c r="R156" s="177">
        <f>IFERROR(__xludf.DUMMYFUNCTION("""COMPUTED_VALUE"""),1278.7)</f>
        <v>1278.7</v>
      </c>
      <c r="S156" s="177">
        <f>IFERROR(__xludf.DUMMYFUNCTION("""COMPUTED_VALUE"""),9909035.0)</f>
        <v>9909035</v>
      </c>
      <c r="T156" s="177">
        <f t="shared" si="2"/>
        <v>-0.01832638803</v>
      </c>
      <c r="U156" s="178"/>
      <c r="V156" s="177"/>
      <c r="W156" s="189"/>
      <c r="X156" s="140"/>
      <c r="Y156" s="140"/>
      <c r="Z156" s="176">
        <f>IFERROR(__xludf.DUMMYFUNCTION("""COMPUTED_VALUE"""),45603.64583333333)</f>
        <v>45603.64583</v>
      </c>
      <c r="AA156" s="177">
        <f>IFERROR(__xludf.DUMMYFUNCTION("""COMPUTED_VALUE"""),342.25)</f>
        <v>342.25</v>
      </c>
      <c r="AB156" s="177">
        <f>IFERROR(__xludf.DUMMYFUNCTION("""COMPUTED_VALUE"""),347.6)</f>
        <v>347.6</v>
      </c>
      <c r="AC156" s="177">
        <f>IFERROR(__xludf.DUMMYFUNCTION("""COMPUTED_VALUE"""),338.5)</f>
        <v>338.5</v>
      </c>
      <c r="AD156" s="177">
        <f>IFERROR(__xludf.DUMMYFUNCTION("""COMPUTED_VALUE"""),339.5)</f>
        <v>339.5</v>
      </c>
      <c r="AE156" s="177">
        <f>IFERROR(__xludf.DUMMYFUNCTION("""COMPUTED_VALUE"""),4622999.0)</f>
        <v>4622999</v>
      </c>
      <c r="AF156" s="177">
        <f t="shared" si="3"/>
        <v>-0.007482978208</v>
      </c>
      <c r="AG156" s="177"/>
      <c r="AH156" s="177"/>
      <c r="AI156" s="189"/>
      <c r="AJ156" s="140"/>
      <c r="AK156" s="140"/>
      <c r="AL156" s="176">
        <f>IFERROR(__xludf.DUMMYFUNCTION("""COMPUTED_VALUE"""),45603.64583333333)</f>
        <v>45603.64583</v>
      </c>
      <c r="AM156" s="177">
        <f>IFERROR(__xludf.DUMMYFUNCTION("""COMPUTED_VALUE"""),4404.0)</f>
        <v>4404</v>
      </c>
      <c r="AN156" s="177">
        <f>IFERROR(__xludf.DUMMYFUNCTION("""COMPUTED_VALUE"""),4454.0)</f>
        <v>4454</v>
      </c>
      <c r="AO156" s="177">
        <f>IFERROR(__xludf.DUMMYFUNCTION("""COMPUTED_VALUE"""),4381.1)</f>
        <v>4381.1</v>
      </c>
      <c r="AP156" s="177">
        <f>IFERROR(__xludf.DUMMYFUNCTION("""COMPUTED_VALUE"""),4433.8)</f>
        <v>4433.8</v>
      </c>
      <c r="AQ156" s="177">
        <f>IFERROR(__xludf.DUMMYFUNCTION("""COMPUTED_VALUE"""),1185134.0)</f>
        <v>1185134</v>
      </c>
      <c r="AR156" s="177">
        <f t="shared" si="4"/>
        <v>0.009893609109</v>
      </c>
      <c r="AS156" s="177"/>
      <c r="AT156" s="177"/>
      <c r="AU156" s="189"/>
      <c r="AV156" s="140"/>
      <c r="AW156" s="140"/>
      <c r="AX156" s="176">
        <f>IFERROR(__xludf.DUMMYFUNCTION("""COMPUTED_VALUE"""),45603.64583333333)</f>
        <v>45603.64583</v>
      </c>
      <c r="AY156" s="177">
        <f>IFERROR(__xludf.DUMMYFUNCTION("""COMPUTED_VALUE"""),481.75)</f>
        <v>481.75</v>
      </c>
      <c r="AZ156" s="177">
        <f>IFERROR(__xludf.DUMMYFUNCTION("""COMPUTED_VALUE"""),482.7)</f>
        <v>482.7</v>
      </c>
      <c r="BA156" s="177">
        <f>IFERROR(__xludf.DUMMYFUNCTION("""COMPUTED_VALUE"""),476.1)</f>
        <v>476.1</v>
      </c>
      <c r="BB156" s="177">
        <f>IFERROR(__xludf.DUMMYFUNCTION("""COMPUTED_VALUE"""),477.9)</f>
        <v>477.9</v>
      </c>
      <c r="BC156" s="177">
        <f>IFERROR(__xludf.DUMMYFUNCTION("""COMPUTED_VALUE"""),8924280.0)</f>
        <v>8924280</v>
      </c>
      <c r="BD156" s="177">
        <f t="shared" si="5"/>
        <v>-0.006673643121</v>
      </c>
      <c r="BE156" s="177"/>
      <c r="BF156" s="177"/>
      <c r="BG156" s="189"/>
      <c r="BH156" s="140"/>
      <c r="BI156" s="140"/>
      <c r="BJ156" s="140"/>
      <c r="BK156" s="140"/>
      <c r="BL156" s="140"/>
      <c r="BM156" s="140"/>
      <c r="BN156" s="140"/>
      <c r="BO156" s="140"/>
      <c r="BP156" s="140"/>
      <c r="BQ156" s="140"/>
      <c r="BR156" s="140"/>
      <c r="BS156" s="140"/>
      <c r="BT156" s="140"/>
      <c r="BU156" s="140"/>
      <c r="BV156" s="140"/>
      <c r="BW156" s="140"/>
      <c r="BX156" s="140"/>
      <c r="BY156" s="140"/>
    </row>
    <row r="157" ht="15.75" customHeight="1">
      <c r="A157" s="168"/>
      <c r="B157" s="169">
        <v>45604.0</v>
      </c>
      <c r="C157" s="170">
        <v>7334.12</v>
      </c>
      <c r="D157" s="170">
        <v>7347.52</v>
      </c>
      <c r="E157" s="170">
        <v>7270.78</v>
      </c>
      <c r="F157" s="170">
        <v>7281.52</v>
      </c>
      <c r="G157" s="171" t="s">
        <v>238</v>
      </c>
      <c r="H157" s="172">
        <f t="shared" si="1"/>
        <v>-0.006925064832</v>
      </c>
      <c r="I157" s="172"/>
      <c r="J157" s="172"/>
      <c r="K157" s="188"/>
      <c r="L157" s="140"/>
      <c r="M157" s="140"/>
      <c r="N157" s="176">
        <f>IFERROR(__xludf.DUMMYFUNCTION("""COMPUTED_VALUE"""),45604.64583333333)</f>
        <v>45604.64583</v>
      </c>
      <c r="O157" s="177">
        <f>IFERROR(__xludf.DUMMYFUNCTION("""COMPUTED_VALUE"""),1270.0)</f>
        <v>1270</v>
      </c>
      <c r="P157" s="177">
        <f>IFERROR(__xludf.DUMMYFUNCTION("""COMPUTED_VALUE"""),1275.0)</f>
        <v>1275</v>
      </c>
      <c r="Q157" s="177">
        <f>IFERROR(__xludf.DUMMYFUNCTION("""COMPUTED_VALUE"""),1252.7)</f>
        <v>1252.7</v>
      </c>
      <c r="R157" s="177">
        <f>IFERROR(__xludf.DUMMYFUNCTION("""COMPUTED_VALUE"""),1258.85)</f>
        <v>1258.85</v>
      </c>
      <c r="S157" s="177">
        <f>IFERROR(__xludf.DUMMYFUNCTION("""COMPUTED_VALUE"""),1.1195808E7)</f>
        <v>11195808</v>
      </c>
      <c r="T157" s="177">
        <f t="shared" si="2"/>
        <v>-0.01564533105</v>
      </c>
      <c r="U157" s="178"/>
      <c r="V157" s="177"/>
      <c r="W157" s="189"/>
      <c r="X157" s="140"/>
      <c r="Y157" s="140"/>
      <c r="Z157" s="176">
        <f>IFERROR(__xludf.DUMMYFUNCTION("""COMPUTED_VALUE"""),45604.64583333333)</f>
        <v>45604.64583</v>
      </c>
      <c r="AA157" s="177">
        <f>IFERROR(__xludf.DUMMYFUNCTION("""COMPUTED_VALUE"""),340.3)</f>
        <v>340.3</v>
      </c>
      <c r="AB157" s="177">
        <f>IFERROR(__xludf.DUMMYFUNCTION("""COMPUTED_VALUE"""),340.65)</f>
        <v>340.65</v>
      </c>
      <c r="AC157" s="177">
        <f>IFERROR(__xludf.DUMMYFUNCTION("""COMPUTED_VALUE"""),324.25)</f>
        <v>324.25</v>
      </c>
      <c r="AD157" s="177">
        <f>IFERROR(__xludf.DUMMYFUNCTION("""COMPUTED_VALUE"""),326.2)</f>
        <v>326.2</v>
      </c>
      <c r="AE157" s="177">
        <f>IFERROR(__xludf.DUMMYFUNCTION("""COMPUTED_VALUE"""),8234519.0)</f>
        <v>8234519</v>
      </c>
      <c r="AF157" s="177">
        <f t="shared" si="3"/>
        <v>-0.03996325681</v>
      </c>
      <c r="AG157" s="177"/>
      <c r="AH157" s="177"/>
      <c r="AI157" s="189"/>
      <c r="AJ157" s="140"/>
      <c r="AK157" s="140"/>
      <c r="AL157" s="176">
        <f>IFERROR(__xludf.DUMMYFUNCTION("""COMPUTED_VALUE"""),45604.64583333333)</f>
        <v>45604.64583</v>
      </c>
      <c r="AM157" s="177">
        <f>IFERROR(__xludf.DUMMYFUNCTION("""COMPUTED_VALUE"""),4435.55)</f>
        <v>4435.55</v>
      </c>
      <c r="AN157" s="177">
        <f>IFERROR(__xludf.DUMMYFUNCTION("""COMPUTED_VALUE"""),4476.85)</f>
        <v>4476.85</v>
      </c>
      <c r="AO157" s="177">
        <f>IFERROR(__xludf.DUMMYFUNCTION("""COMPUTED_VALUE"""),4380.0)</f>
        <v>4380</v>
      </c>
      <c r="AP157" s="177">
        <f>IFERROR(__xludf.DUMMYFUNCTION("""COMPUTED_VALUE"""),4400.6)</f>
        <v>4400.6</v>
      </c>
      <c r="AQ157" s="177">
        <f>IFERROR(__xludf.DUMMYFUNCTION("""COMPUTED_VALUE"""),1073330.0)</f>
        <v>1073330</v>
      </c>
      <c r="AR157" s="177">
        <f t="shared" si="4"/>
        <v>-0.007516108914</v>
      </c>
      <c r="AS157" s="177"/>
      <c r="AT157" s="177"/>
      <c r="AU157" s="189"/>
      <c r="AV157" s="140"/>
      <c r="AW157" s="140"/>
      <c r="AX157" s="176">
        <f>IFERROR(__xludf.DUMMYFUNCTION("""COMPUTED_VALUE"""),45604.64583333333)</f>
        <v>45604.64583</v>
      </c>
      <c r="AY157" s="177">
        <f>IFERROR(__xludf.DUMMYFUNCTION("""COMPUTED_VALUE"""),477.9)</f>
        <v>477.9</v>
      </c>
      <c r="AZ157" s="177">
        <f>IFERROR(__xludf.DUMMYFUNCTION("""COMPUTED_VALUE"""),480.7)</f>
        <v>480.7</v>
      </c>
      <c r="BA157" s="177">
        <f>IFERROR(__xludf.DUMMYFUNCTION("""COMPUTED_VALUE"""),474.6)</f>
        <v>474.6</v>
      </c>
      <c r="BB157" s="177">
        <f>IFERROR(__xludf.DUMMYFUNCTION("""COMPUTED_VALUE"""),478.05)</f>
        <v>478.05</v>
      </c>
      <c r="BC157" s="177">
        <f>IFERROR(__xludf.DUMMYFUNCTION("""COMPUTED_VALUE"""),6090462.0)</f>
        <v>6090462</v>
      </c>
      <c r="BD157" s="177">
        <f t="shared" si="5"/>
        <v>0.0003138239473</v>
      </c>
      <c r="BE157" s="177"/>
      <c r="BF157" s="177"/>
      <c r="BG157" s="189"/>
      <c r="BH157" s="140"/>
      <c r="BI157" s="140"/>
      <c r="BJ157" s="140"/>
      <c r="BK157" s="140"/>
      <c r="BL157" s="140"/>
      <c r="BM157" s="140"/>
      <c r="BN157" s="140"/>
      <c r="BO157" s="140"/>
      <c r="BP157" s="140"/>
      <c r="BQ157" s="140"/>
      <c r="BR157" s="140"/>
      <c r="BS157" s="140"/>
      <c r="BT157" s="140"/>
      <c r="BU157" s="140"/>
      <c r="BV157" s="140"/>
      <c r="BW157" s="140"/>
      <c r="BX157" s="140"/>
      <c r="BY157" s="140"/>
    </row>
    <row r="158" ht="15.75" customHeight="1">
      <c r="A158" s="168"/>
      <c r="B158" s="169">
        <v>45607.0</v>
      </c>
      <c r="C158" s="170">
        <v>7285.12</v>
      </c>
      <c r="D158" s="170">
        <v>7289.12</v>
      </c>
      <c r="E158" s="170">
        <v>7084.12</v>
      </c>
      <c r="F158" s="170">
        <v>7101.12</v>
      </c>
      <c r="G158" s="171" t="s">
        <v>238</v>
      </c>
      <c r="H158" s="172">
        <f t="shared" si="1"/>
        <v>-0.02508711354</v>
      </c>
      <c r="I158" s="172"/>
      <c r="J158" s="172"/>
      <c r="K158" s="188"/>
      <c r="L158" s="140"/>
      <c r="M158" s="140"/>
      <c r="N158" s="176">
        <f>IFERROR(__xludf.DUMMYFUNCTION("""COMPUTED_VALUE"""),45607.64583333333)</f>
        <v>45607.64583</v>
      </c>
      <c r="O158" s="177">
        <f>IFERROR(__xludf.DUMMYFUNCTION("""COMPUTED_VALUE"""),1262.0)</f>
        <v>1262</v>
      </c>
      <c r="P158" s="177">
        <f>IFERROR(__xludf.DUMMYFUNCTION("""COMPUTED_VALUE"""),1275.9)</f>
        <v>1275.9</v>
      </c>
      <c r="Q158" s="177">
        <f>IFERROR(__xludf.DUMMYFUNCTION("""COMPUTED_VALUE"""),1246.65)</f>
        <v>1246.65</v>
      </c>
      <c r="R158" s="177">
        <f>IFERROR(__xludf.DUMMYFUNCTION("""COMPUTED_VALUE"""),1269.3)</f>
        <v>1269.3</v>
      </c>
      <c r="S158" s="177">
        <f>IFERROR(__xludf.DUMMYFUNCTION("""COMPUTED_VALUE"""),8387780.0)</f>
        <v>8387780</v>
      </c>
      <c r="T158" s="177">
        <f t="shared" si="2"/>
        <v>0.008266961624</v>
      </c>
      <c r="U158" s="178"/>
      <c r="V158" s="177"/>
      <c r="W158" s="189"/>
      <c r="X158" s="140"/>
      <c r="Y158" s="140"/>
      <c r="Z158" s="176">
        <f>IFERROR(__xludf.DUMMYFUNCTION("""COMPUTED_VALUE"""),45607.64583333333)</f>
        <v>45607.64583</v>
      </c>
      <c r="AA158" s="177">
        <f>IFERROR(__xludf.DUMMYFUNCTION("""COMPUTED_VALUE"""),318.05)</f>
        <v>318.05</v>
      </c>
      <c r="AB158" s="177">
        <f>IFERROR(__xludf.DUMMYFUNCTION("""COMPUTED_VALUE"""),328.2)</f>
        <v>328.2</v>
      </c>
      <c r="AC158" s="177">
        <f>IFERROR(__xludf.DUMMYFUNCTION("""COMPUTED_VALUE"""),315.5)</f>
        <v>315.5</v>
      </c>
      <c r="AD158" s="177">
        <f>IFERROR(__xludf.DUMMYFUNCTION("""COMPUTED_VALUE"""),325.05)</f>
        <v>325.05</v>
      </c>
      <c r="AE158" s="177">
        <f>IFERROR(__xludf.DUMMYFUNCTION("""COMPUTED_VALUE"""),6026607.0)</f>
        <v>6026607</v>
      </c>
      <c r="AF158" s="177">
        <f t="shared" si="3"/>
        <v>-0.003531673536</v>
      </c>
      <c r="AG158" s="177"/>
      <c r="AH158" s="177"/>
      <c r="AI158" s="189"/>
      <c r="AJ158" s="140"/>
      <c r="AK158" s="140"/>
      <c r="AL158" s="176">
        <f>IFERROR(__xludf.DUMMYFUNCTION("""COMPUTED_VALUE"""),45607.64583333333)</f>
        <v>45607.64583</v>
      </c>
      <c r="AM158" s="177">
        <f>IFERROR(__xludf.DUMMYFUNCTION("""COMPUTED_VALUE"""),4383.95)</f>
        <v>4383.95</v>
      </c>
      <c r="AN158" s="177">
        <f>IFERROR(__xludf.DUMMYFUNCTION("""COMPUTED_VALUE"""),4489.9)</f>
        <v>4489.9</v>
      </c>
      <c r="AO158" s="177">
        <f>IFERROR(__xludf.DUMMYFUNCTION("""COMPUTED_VALUE"""),4347.2)</f>
        <v>4347.2</v>
      </c>
      <c r="AP158" s="177">
        <f>IFERROR(__xludf.DUMMYFUNCTION("""COMPUTED_VALUE"""),4443.7)</f>
        <v>4443.7</v>
      </c>
      <c r="AQ158" s="177">
        <f>IFERROR(__xludf.DUMMYFUNCTION("""COMPUTED_VALUE"""),1152838.0)</f>
        <v>1152838</v>
      </c>
      <c r="AR158" s="177">
        <f t="shared" si="4"/>
        <v>0.009746467484</v>
      </c>
      <c r="AS158" s="177"/>
      <c r="AT158" s="177"/>
      <c r="AU158" s="189"/>
      <c r="AV158" s="140"/>
      <c r="AW158" s="140"/>
      <c r="AX158" s="176">
        <f>IFERROR(__xludf.DUMMYFUNCTION("""COMPUTED_VALUE"""),45607.64583333333)</f>
        <v>45607.64583</v>
      </c>
      <c r="AY158" s="177">
        <f>IFERROR(__xludf.DUMMYFUNCTION("""COMPUTED_VALUE"""),478.05)</f>
        <v>478.05</v>
      </c>
      <c r="AZ158" s="177">
        <f>IFERROR(__xludf.DUMMYFUNCTION("""COMPUTED_VALUE"""),481.5)</f>
        <v>481.5</v>
      </c>
      <c r="BA158" s="177">
        <f>IFERROR(__xludf.DUMMYFUNCTION("""COMPUTED_VALUE"""),474.1)</f>
        <v>474.1</v>
      </c>
      <c r="BB158" s="177">
        <f>IFERROR(__xludf.DUMMYFUNCTION("""COMPUTED_VALUE"""),476.95)</f>
        <v>476.95</v>
      </c>
      <c r="BC158" s="177">
        <f>IFERROR(__xludf.DUMMYFUNCTION("""COMPUTED_VALUE"""),5488948.0)</f>
        <v>5488948</v>
      </c>
      <c r="BD158" s="177">
        <f t="shared" si="5"/>
        <v>-0.00230366594</v>
      </c>
      <c r="BE158" s="177"/>
      <c r="BF158" s="177"/>
      <c r="BG158" s="189"/>
      <c r="BH158" s="140"/>
      <c r="BI158" s="140"/>
      <c r="BJ158" s="140"/>
      <c r="BK158" s="140"/>
      <c r="BL158" s="140"/>
      <c r="BM158" s="140"/>
      <c r="BN158" s="140"/>
      <c r="BO158" s="140"/>
      <c r="BP158" s="140"/>
      <c r="BQ158" s="140"/>
      <c r="BR158" s="140"/>
      <c r="BS158" s="140"/>
      <c r="BT158" s="140"/>
      <c r="BU158" s="140"/>
      <c r="BV158" s="140"/>
      <c r="BW158" s="140"/>
      <c r="BX158" s="140"/>
      <c r="BY158" s="140"/>
    </row>
    <row r="159" ht="15.75" customHeight="1">
      <c r="A159" s="168"/>
      <c r="B159" s="169">
        <v>45608.0</v>
      </c>
      <c r="C159" s="170">
        <v>7106.78</v>
      </c>
      <c r="D159" s="170">
        <v>7127.52</v>
      </c>
      <c r="E159" s="170">
        <v>7027.12</v>
      </c>
      <c r="F159" s="170">
        <v>7048.12</v>
      </c>
      <c r="G159" s="171" t="s">
        <v>238</v>
      </c>
      <c r="H159" s="172">
        <f t="shared" si="1"/>
        <v>-0.00749160349</v>
      </c>
      <c r="I159" s="172"/>
      <c r="J159" s="172"/>
      <c r="K159" s="188"/>
      <c r="L159" s="140"/>
      <c r="M159" s="140"/>
      <c r="N159" s="176">
        <f>IFERROR(__xludf.DUMMYFUNCTION("""COMPUTED_VALUE"""),45608.64583333333)</f>
        <v>45608.64583</v>
      </c>
      <c r="O159" s="177">
        <f>IFERROR(__xludf.DUMMYFUNCTION("""COMPUTED_VALUE"""),1276.15)</f>
        <v>1276.15</v>
      </c>
      <c r="P159" s="177">
        <f>IFERROR(__xludf.DUMMYFUNCTION("""COMPUTED_VALUE"""),1295.0)</f>
        <v>1295</v>
      </c>
      <c r="Q159" s="177">
        <f>IFERROR(__xludf.DUMMYFUNCTION("""COMPUTED_VALUE"""),1264.5)</f>
        <v>1264.5</v>
      </c>
      <c r="R159" s="177">
        <f>IFERROR(__xludf.DUMMYFUNCTION("""COMPUTED_VALUE"""),1270.6)</f>
        <v>1270.6</v>
      </c>
      <c r="S159" s="177">
        <f>IFERROR(__xludf.DUMMYFUNCTION("""COMPUTED_VALUE"""),1.3486168E7)</f>
        <v>13486168</v>
      </c>
      <c r="T159" s="177">
        <f t="shared" si="2"/>
        <v>0.001023662438</v>
      </c>
      <c r="U159" s="178"/>
      <c r="V159" s="177"/>
      <c r="W159" s="189"/>
      <c r="X159" s="140"/>
      <c r="Y159" s="140"/>
      <c r="Z159" s="176">
        <f>IFERROR(__xludf.DUMMYFUNCTION("""COMPUTED_VALUE"""),45608.64583333333)</f>
        <v>45608.64583</v>
      </c>
      <c r="AA159" s="177">
        <f>IFERROR(__xludf.DUMMYFUNCTION("""COMPUTED_VALUE"""),326.0)</f>
        <v>326</v>
      </c>
      <c r="AB159" s="177">
        <f>IFERROR(__xludf.DUMMYFUNCTION("""COMPUTED_VALUE"""),331.1)</f>
        <v>331.1</v>
      </c>
      <c r="AC159" s="177">
        <f>IFERROR(__xludf.DUMMYFUNCTION("""COMPUTED_VALUE"""),319.25)</f>
        <v>319.25</v>
      </c>
      <c r="AD159" s="177">
        <f>IFERROR(__xludf.DUMMYFUNCTION("""COMPUTED_VALUE"""),321.0)</f>
        <v>321</v>
      </c>
      <c r="AE159" s="177">
        <f>IFERROR(__xludf.DUMMYFUNCTION("""COMPUTED_VALUE"""),3353016.0)</f>
        <v>3353016</v>
      </c>
      <c r="AF159" s="177">
        <f t="shared" si="3"/>
        <v>-0.01253789352</v>
      </c>
      <c r="AG159" s="177"/>
      <c r="AH159" s="177"/>
      <c r="AI159" s="189"/>
      <c r="AJ159" s="140"/>
      <c r="AK159" s="140"/>
      <c r="AL159" s="176">
        <f>IFERROR(__xludf.DUMMYFUNCTION("""COMPUTED_VALUE"""),45608.64583333333)</f>
        <v>45608.64583</v>
      </c>
      <c r="AM159" s="177">
        <f>IFERROR(__xludf.DUMMYFUNCTION("""COMPUTED_VALUE"""),4455.0)</f>
        <v>4455</v>
      </c>
      <c r="AN159" s="177">
        <f>IFERROR(__xludf.DUMMYFUNCTION("""COMPUTED_VALUE"""),4469.0)</f>
        <v>4469</v>
      </c>
      <c r="AO159" s="177">
        <f>IFERROR(__xludf.DUMMYFUNCTION("""COMPUTED_VALUE"""),4221.0)</f>
        <v>4221</v>
      </c>
      <c r="AP159" s="177">
        <f>IFERROR(__xludf.DUMMYFUNCTION("""COMPUTED_VALUE"""),4243.5)</f>
        <v>4243.5</v>
      </c>
      <c r="AQ159" s="177">
        <f>IFERROR(__xludf.DUMMYFUNCTION("""COMPUTED_VALUE"""),1366992.0)</f>
        <v>1366992</v>
      </c>
      <c r="AR159" s="177">
        <f t="shared" si="4"/>
        <v>-0.04609896232</v>
      </c>
      <c r="AS159" s="177"/>
      <c r="AT159" s="177"/>
      <c r="AU159" s="189"/>
      <c r="AV159" s="140"/>
      <c r="AW159" s="140"/>
      <c r="AX159" s="176">
        <f>IFERROR(__xludf.DUMMYFUNCTION("""COMPUTED_VALUE"""),45608.64583333333)</f>
        <v>45608.64583</v>
      </c>
      <c r="AY159" s="177">
        <f>IFERROR(__xludf.DUMMYFUNCTION("""COMPUTED_VALUE"""),477.6)</f>
        <v>477.6</v>
      </c>
      <c r="AZ159" s="177">
        <f>IFERROR(__xludf.DUMMYFUNCTION("""COMPUTED_VALUE"""),477.95)</f>
        <v>477.95</v>
      </c>
      <c r="BA159" s="177">
        <f>IFERROR(__xludf.DUMMYFUNCTION("""COMPUTED_VALUE"""),471.15)</f>
        <v>471.15</v>
      </c>
      <c r="BB159" s="177">
        <f>IFERROR(__xludf.DUMMYFUNCTION("""COMPUTED_VALUE"""),472.85)</f>
        <v>472.85</v>
      </c>
      <c r="BC159" s="177">
        <f>IFERROR(__xludf.DUMMYFUNCTION("""COMPUTED_VALUE"""),5041916.0)</f>
        <v>5041916</v>
      </c>
      <c r="BD159" s="177">
        <f t="shared" si="5"/>
        <v>-0.00863345013</v>
      </c>
      <c r="BE159" s="177"/>
      <c r="BF159" s="177"/>
      <c r="BG159" s="189"/>
      <c r="BH159" s="140"/>
      <c r="BI159" s="140"/>
      <c r="BJ159" s="140"/>
      <c r="BK159" s="140"/>
      <c r="BL159" s="140"/>
      <c r="BM159" s="140"/>
      <c r="BN159" s="140"/>
      <c r="BO159" s="140"/>
      <c r="BP159" s="140"/>
      <c r="BQ159" s="140"/>
      <c r="BR159" s="140"/>
      <c r="BS159" s="140"/>
      <c r="BT159" s="140"/>
      <c r="BU159" s="140"/>
      <c r="BV159" s="140"/>
      <c r="BW159" s="140"/>
      <c r="BX159" s="140"/>
      <c r="BY159" s="140"/>
    </row>
    <row r="160" ht="15.75" customHeight="1">
      <c r="A160" s="168"/>
      <c r="B160" s="169">
        <v>45609.0</v>
      </c>
      <c r="C160" s="170">
        <v>7050.12</v>
      </c>
      <c r="D160" s="170">
        <v>7106.12</v>
      </c>
      <c r="E160" s="170">
        <v>6981.12</v>
      </c>
      <c r="F160" s="170">
        <v>6981.52</v>
      </c>
      <c r="G160" s="171" t="s">
        <v>238</v>
      </c>
      <c r="H160" s="172">
        <f t="shared" si="1"/>
        <v>-0.009494256486</v>
      </c>
      <c r="I160" s="172"/>
      <c r="J160" s="172"/>
      <c r="K160" s="188"/>
      <c r="L160" s="140"/>
      <c r="M160" s="140"/>
      <c r="N160" s="176">
        <f>IFERROR(__xludf.DUMMYFUNCTION("""COMPUTED_VALUE"""),45609.64583333333)</f>
        <v>45609.64583</v>
      </c>
      <c r="O160" s="177">
        <f>IFERROR(__xludf.DUMMYFUNCTION("""COMPUTED_VALUE"""),1270.6)</f>
        <v>1270.6</v>
      </c>
      <c r="P160" s="177">
        <f>IFERROR(__xludf.DUMMYFUNCTION("""COMPUTED_VALUE"""),1276.25)</f>
        <v>1276.25</v>
      </c>
      <c r="Q160" s="177">
        <f>IFERROR(__xludf.DUMMYFUNCTION("""COMPUTED_VALUE"""),1250.0)</f>
        <v>1250</v>
      </c>
      <c r="R160" s="177">
        <f>IFERROR(__xludf.DUMMYFUNCTION("""COMPUTED_VALUE"""),1253.7)</f>
        <v>1253.7</v>
      </c>
      <c r="S160" s="177">
        <f>IFERROR(__xludf.DUMMYFUNCTION("""COMPUTED_VALUE"""),1.2260404E7)</f>
        <v>12260404</v>
      </c>
      <c r="T160" s="177">
        <f t="shared" si="2"/>
        <v>-0.01339005071</v>
      </c>
      <c r="U160" s="178"/>
      <c r="V160" s="177"/>
      <c r="W160" s="189"/>
      <c r="X160" s="140"/>
      <c r="Y160" s="140"/>
      <c r="Z160" s="176">
        <f>IFERROR(__xludf.DUMMYFUNCTION("""COMPUTED_VALUE"""),45609.64583333333)</f>
        <v>45609.64583</v>
      </c>
      <c r="AA160" s="177">
        <f>IFERROR(__xludf.DUMMYFUNCTION("""COMPUTED_VALUE"""),321.9)</f>
        <v>321.9</v>
      </c>
      <c r="AB160" s="177">
        <f>IFERROR(__xludf.DUMMYFUNCTION("""COMPUTED_VALUE"""),322.7)</f>
        <v>322.7</v>
      </c>
      <c r="AC160" s="177">
        <f>IFERROR(__xludf.DUMMYFUNCTION("""COMPUTED_VALUE"""),316.6)</f>
        <v>316.6</v>
      </c>
      <c r="AD160" s="177">
        <f>IFERROR(__xludf.DUMMYFUNCTION("""COMPUTED_VALUE"""),318.1)</f>
        <v>318.1</v>
      </c>
      <c r="AE160" s="177">
        <f>IFERROR(__xludf.DUMMYFUNCTION("""COMPUTED_VALUE"""),7525374.0)</f>
        <v>7525374</v>
      </c>
      <c r="AF160" s="177">
        <f t="shared" si="3"/>
        <v>-0.009075324375</v>
      </c>
      <c r="AG160" s="177"/>
      <c r="AH160" s="177"/>
      <c r="AI160" s="189"/>
      <c r="AJ160" s="140"/>
      <c r="AK160" s="140"/>
      <c r="AL160" s="176">
        <f>IFERROR(__xludf.DUMMYFUNCTION("""COMPUTED_VALUE"""),45609.64583333333)</f>
        <v>45609.64583</v>
      </c>
      <c r="AM160" s="177">
        <f>IFERROR(__xludf.DUMMYFUNCTION("""COMPUTED_VALUE"""),4220.0)</f>
        <v>4220</v>
      </c>
      <c r="AN160" s="177">
        <f>IFERROR(__xludf.DUMMYFUNCTION("""COMPUTED_VALUE"""),4220.0)</f>
        <v>4220</v>
      </c>
      <c r="AO160" s="177">
        <f>IFERROR(__xludf.DUMMYFUNCTION("""COMPUTED_VALUE"""),4045.55)</f>
        <v>4045.55</v>
      </c>
      <c r="AP160" s="177">
        <f>IFERROR(__xludf.DUMMYFUNCTION("""COMPUTED_VALUE"""),4066.9)</f>
        <v>4066.9</v>
      </c>
      <c r="AQ160" s="177">
        <f>IFERROR(__xludf.DUMMYFUNCTION("""COMPUTED_VALUE"""),2076393.0)</f>
        <v>2076393</v>
      </c>
      <c r="AR160" s="177">
        <f t="shared" si="4"/>
        <v>-0.04250736195</v>
      </c>
      <c r="AS160" s="177"/>
      <c r="AT160" s="177"/>
      <c r="AU160" s="189"/>
      <c r="AV160" s="140"/>
      <c r="AW160" s="140"/>
      <c r="AX160" s="176">
        <f>IFERROR(__xludf.DUMMYFUNCTION("""COMPUTED_VALUE"""),45609.64583333333)</f>
        <v>45609.64583</v>
      </c>
      <c r="AY160" s="177">
        <f>IFERROR(__xludf.DUMMYFUNCTION("""COMPUTED_VALUE"""),470.05)</f>
        <v>470.05</v>
      </c>
      <c r="AZ160" s="177">
        <f>IFERROR(__xludf.DUMMYFUNCTION("""COMPUTED_VALUE"""),474.7)</f>
        <v>474.7</v>
      </c>
      <c r="BA160" s="177">
        <f>IFERROR(__xludf.DUMMYFUNCTION("""COMPUTED_VALUE"""),468.25)</f>
        <v>468.25</v>
      </c>
      <c r="BB160" s="177">
        <f>IFERROR(__xludf.DUMMYFUNCTION("""COMPUTED_VALUE"""),472.2)</f>
        <v>472.2</v>
      </c>
      <c r="BC160" s="177">
        <f>IFERROR(__xludf.DUMMYFUNCTION("""COMPUTED_VALUE"""),1.1120381E7)</f>
        <v>11120381</v>
      </c>
      <c r="BD160" s="177">
        <f t="shared" si="5"/>
        <v>-0.00137558881</v>
      </c>
      <c r="BE160" s="177"/>
      <c r="BF160" s="177"/>
      <c r="BG160" s="189"/>
      <c r="BH160" s="140"/>
      <c r="BI160" s="140"/>
      <c r="BJ160" s="140"/>
      <c r="BK160" s="140"/>
      <c r="BL160" s="140"/>
      <c r="BM160" s="140"/>
      <c r="BN160" s="140"/>
      <c r="BO160" s="140"/>
      <c r="BP160" s="140"/>
      <c r="BQ160" s="140"/>
      <c r="BR160" s="140"/>
      <c r="BS160" s="140"/>
      <c r="BT160" s="140"/>
      <c r="BU160" s="140"/>
      <c r="BV160" s="140"/>
      <c r="BW160" s="140"/>
      <c r="BX160" s="140"/>
      <c r="BY160" s="140"/>
    </row>
    <row r="161" ht="15.75" customHeight="1">
      <c r="A161" s="168"/>
      <c r="B161" s="169">
        <v>45610.0</v>
      </c>
      <c r="C161" s="170">
        <v>6982.12</v>
      </c>
      <c r="D161" s="170">
        <v>7006.78</v>
      </c>
      <c r="E161" s="170">
        <v>6883.12</v>
      </c>
      <c r="F161" s="170">
        <v>6962.12</v>
      </c>
      <c r="G161" s="171" t="s">
        <v>238</v>
      </c>
      <c r="H161" s="172">
        <f t="shared" si="1"/>
        <v>-0.002782632443</v>
      </c>
      <c r="I161" s="172"/>
      <c r="J161" s="172"/>
      <c r="K161" s="188"/>
      <c r="L161" s="140"/>
      <c r="M161" s="140"/>
      <c r="N161" s="176">
        <f>IFERROR(__xludf.DUMMYFUNCTION("""COMPUTED_VALUE"""),45610.64583333333)</f>
        <v>45610.64583</v>
      </c>
      <c r="O161" s="177">
        <f>IFERROR(__xludf.DUMMYFUNCTION("""COMPUTED_VALUE"""),1253.75)</f>
        <v>1253.75</v>
      </c>
      <c r="P161" s="177">
        <f>IFERROR(__xludf.DUMMYFUNCTION("""COMPUTED_VALUE"""),1267.7)</f>
        <v>1267.7</v>
      </c>
      <c r="Q161" s="177">
        <f>IFERROR(__xludf.DUMMYFUNCTION("""COMPUTED_VALUE"""),1243.05)</f>
        <v>1243.05</v>
      </c>
      <c r="R161" s="177">
        <f>IFERROR(__xludf.DUMMYFUNCTION("""COMPUTED_VALUE"""),1256.95)</f>
        <v>1256.95</v>
      </c>
      <c r="S161" s="177">
        <f>IFERROR(__xludf.DUMMYFUNCTION("""COMPUTED_VALUE"""),9506892.0)</f>
        <v>9506892</v>
      </c>
      <c r="T161" s="177">
        <f t="shared" si="2"/>
        <v>0.00258897243</v>
      </c>
      <c r="U161" s="178"/>
      <c r="V161" s="177"/>
      <c r="W161" s="189"/>
      <c r="X161" s="140"/>
      <c r="Y161" s="140"/>
      <c r="Z161" s="176">
        <f>IFERROR(__xludf.DUMMYFUNCTION("""COMPUTED_VALUE"""),45610.64583333333)</f>
        <v>45610.64583</v>
      </c>
      <c r="AA161" s="177">
        <f>IFERROR(__xludf.DUMMYFUNCTION("""COMPUTED_VALUE"""),319.0)</f>
        <v>319</v>
      </c>
      <c r="AB161" s="177">
        <f>IFERROR(__xludf.DUMMYFUNCTION("""COMPUTED_VALUE"""),321.1)</f>
        <v>321.1</v>
      </c>
      <c r="AC161" s="177">
        <f>IFERROR(__xludf.DUMMYFUNCTION("""COMPUTED_VALUE"""),315.6)</f>
        <v>315.6</v>
      </c>
      <c r="AD161" s="177">
        <f>IFERROR(__xludf.DUMMYFUNCTION("""COMPUTED_VALUE"""),317.75)</f>
        <v>317.75</v>
      </c>
      <c r="AE161" s="177">
        <f>IFERROR(__xludf.DUMMYFUNCTION("""COMPUTED_VALUE"""),8628870.0)</f>
        <v>8628870</v>
      </c>
      <c r="AF161" s="177">
        <f t="shared" si="3"/>
        <v>-0.001100888686</v>
      </c>
      <c r="AG161" s="177"/>
      <c r="AH161" s="177"/>
      <c r="AI161" s="189"/>
      <c r="AJ161" s="140"/>
      <c r="AK161" s="140"/>
      <c r="AL161" s="176">
        <f>IFERROR(__xludf.DUMMYFUNCTION("""COMPUTED_VALUE"""),45610.64583333333)</f>
        <v>45610.64583</v>
      </c>
      <c r="AM161" s="177">
        <f>IFERROR(__xludf.DUMMYFUNCTION("""COMPUTED_VALUE"""),4080.0)</f>
        <v>4080</v>
      </c>
      <c r="AN161" s="177">
        <f>IFERROR(__xludf.DUMMYFUNCTION("""COMPUTED_VALUE"""),4185.0)</f>
        <v>4185</v>
      </c>
      <c r="AO161" s="177">
        <f>IFERROR(__xludf.DUMMYFUNCTION("""COMPUTED_VALUE"""),3920.35)</f>
        <v>3920.35</v>
      </c>
      <c r="AP161" s="177">
        <f>IFERROR(__xludf.DUMMYFUNCTION("""COMPUTED_VALUE"""),4087.05)</f>
        <v>4087.05</v>
      </c>
      <c r="AQ161" s="177">
        <f>IFERROR(__xludf.DUMMYFUNCTION("""COMPUTED_VALUE"""),3878379.0)</f>
        <v>3878379</v>
      </c>
      <c r="AR161" s="177">
        <f t="shared" si="4"/>
        <v>0.004942399945</v>
      </c>
      <c r="AS161" s="177"/>
      <c r="AT161" s="177"/>
      <c r="AU161" s="189"/>
      <c r="AV161" s="140"/>
      <c r="AW161" s="140"/>
      <c r="AX161" s="176">
        <f>IFERROR(__xludf.DUMMYFUNCTION("""COMPUTED_VALUE"""),45610.64583333333)</f>
        <v>45610.64583</v>
      </c>
      <c r="AY161" s="177">
        <f>IFERROR(__xludf.DUMMYFUNCTION("""COMPUTED_VALUE"""),471.2)</f>
        <v>471.2</v>
      </c>
      <c r="AZ161" s="177">
        <f>IFERROR(__xludf.DUMMYFUNCTION("""COMPUTED_VALUE"""),472.95)</f>
        <v>472.95</v>
      </c>
      <c r="BA161" s="177">
        <f>IFERROR(__xludf.DUMMYFUNCTION("""COMPUTED_VALUE"""),462.25)</f>
        <v>462.25</v>
      </c>
      <c r="BB161" s="177">
        <f>IFERROR(__xludf.DUMMYFUNCTION("""COMPUTED_VALUE"""),465.95)</f>
        <v>465.95</v>
      </c>
      <c r="BC161" s="177">
        <f>IFERROR(__xludf.DUMMYFUNCTION("""COMPUTED_VALUE"""),1.1639562E7)</f>
        <v>11639562</v>
      </c>
      <c r="BD161" s="177">
        <f t="shared" si="5"/>
        <v>-0.01332429242</v>
      </c>
      <c r="BE161" s="177"/>
      <c r="BF161" s="177"/>
      <c r="BG161" s="189"/>
      <c r="BH161" s="140"/>
      <c r="BI161" s="140"/>
      <c r="BJ161" s="140"/>
      <c r="BK161" s="140"/>
      <c r="BL161" s="140"/>
      <c r="BM161" s="140"/>
      <c r="BN161" s="140"/>
      <c r="BO161" s="140"/>
      <c r="BP161" s="140"/>
      <c r="BQ161" s="140"/>
      <c r="BR161" s="140"/>
      <c r="BS161" s="140"/>
      <c r="BT161" s="140"/>
      <c r="BU161" s="140"/>
      <c r="BV161" s="140"/>
      <c r="BW161" s="140"/>
      <c r="BX161" s="140"/>
      <c r="BY161" s="140"/>
    </row>
    <row r="162" ht="15.75" customHeight="1">
      <c r="A162" s="168"/>
      <c r="B162" s="169">
        <v>45614.0</v>
      </c>
      <c r="C162" s="170">
        <v>6953.12</v>
      </c>
      <c r="D162" s="170">
        <v>7096.78</v>
      </c>
      <c r="E162" s="170">
        <v>6953.12</v>
      </c>
      <c r="F162" s="170">
        <v>7085.12</v>
      </c>
      <c r="G162" s="171" t="s">
        <v>238</v>
      </c>
      <c r="H162" s="172">
        <f t="shared" si="1"/>
        <v>0.01751278452</v>
      </c>
      <c r="I162" s="172"/>
      <c r="J162" s="172"/>
      <c r="K162" s="188"/>
      <c r="L162" s="140"/>
      <c r="M162" s="140"/>
      <c r="N162" s="176">
        <f>IFERROR(__xludf.DUMMYFUNCTION("""COMPUTED_VALUE"""),45614.64583333333)</f>
        <v>45614.64583</v>
      </c>
      <c r="O162" s="177">
        <f>IFERROR(__xludf.DUMMYFUNCTION("""COMPUTED_VALUE"""),1260.0)</f>
        <v>1260</v>
      </c>
      <c r="P162" s="177">
        <f>IFERROR(__xludf.DUMMYFUNCTION("""COMPUTED_VALUE"""),1262.6)</f>
        <v>1262.6</v>
      </c>
      <c r="Q162" s="177">
        <f>IFERROR(__xludf.DUMMYFUNCTION("""COMPUTED_VALUE"""),1249.4)</f>
        <v>1249.4</v>
      </c>
      <c r="R162" s="177">
        <f>IFERROR(__xludf.DUMMYFUNCTION("""COMPUTED_VALUE"""),1253.45)</f>
        <v>1253.45</v>
      </c>
      <c r="S162" s="177">
        <f>IFERROR(__xludf.DUMMYFUNCTION("""COMPUTED_VALUE"""),6195554.0)</f>
        <v>6195554</v>
      </c>
      <c r="T162" s="177">
        <f t="shared" si="2"/>
        <v>-0.002788402062</v>
      </c>
      <c r="U162" s="178"/>
      <c r="V162" s="177"/>
      <c r="W162" s="189"/>
      <c r="X162" s="140"/>
      <c r="Y162" s="140"/>
      <c r="Z162" s="176">
        <f>IFERROR(__xludf.DUMMYFUNCTION("""COMPUTED_VALUE"""),45614.64583333333)</f>
        <v>45614.64583</v>
      </c>
      <c r="AA162" s="177">
        <f>IFERROR(__xludf.DUMMYFUNCTION("""COMPUTED_VALUE"""),320.0)</f>
        <v>320</v>
      </c>
      <c r="AB162" s="177">
        <f>IFERROR(__xludf.DUMMYFUNCTION("""COMPUTED_VALUE"""),326.6)</f>
        <v>326.6</v>
      </c>
      <c r="AC162" s="177">
        <f>IFERROR(__xludf.DUMMYFUNCTION("""COMPUTED_VALUE"""),317.0)</f>
        <v>317</v>
      </c>
      <c r="AD162" s="177">
        <f>IFERROR(__xludf.DUMMYFUNCTION("""COMPUTED_VALUE"""),323.15)</f>
        <v>323.15</v>
      </c>
      <c r="AE162" s="177">
        <f>IFERROR(__xludf.DUMMYFUNCTION("""COMPUTED_VALUE"""),6992604.0)</f>
        <v>6992604</v>
      </c>
      <c r="AF162" s="177">
        <f t="shared" si="3"/>
        <v>0.01685170164</v>
      </c>
      <c r="AG162" s="177"/>
      <c r="AH162" s="177"/>
      <c r="AI162" s="189"/>
      <c r="AJ162" s="140"/>
      <c r="AK162" s="140"/>
      <c r="AL162" s="176">
        <f>IFERROR(__xludf.DUMMYFUNCTION("""COMPUTED_VALUE"""),45614.64583333333)</f>
        <v>45614.64583</v>
      </c>
      <c r="AM162" s="177">
        <f>IFERROR(__xludf.DUMMYFUNCTION("""COMPUTED_VALUE"""),4189.95)</f>
        <v>4189.95</v>
      </c>
      <c r="AN162" s="177">
        <f>IFERROR(__xludf.DUMMYFUNCTION("""COMPUTED_VALUE"""),4248.0)</f>
        <v>4248</v>
      </c>
      <c r="AO162" s="177">
        <f>IFERROR(__xludf.DUMMYFUNCTION("""COMPUTED_VALUE"""),4060.05)</f>
        <v>4060.05</v>
      </c>
      <c r="AP162" s="177">
        <f>IFERROR(__xludf.DUMMYFUNCTION("""COMPUTED_VALUE"""),4077.85)</f>
        <v>4077.85</v>
      </c>
      <c r="AQ162" s="177">
        <f>IFERROR(__xludf.DUMMYFUNCTION("""COMPUTED_VALUE"""),1939714.0)</f>
        <v>1939714</v>
      </c>
      <c r="AR162" s="177">
        <f t="shared" si="4"/>
        <v>-0.002253549681</v>
      </c>
      <c r="AS162" s="177"/>
      <c r="AT162" s="177"/>
      <c r="AU162" s="189"/>
      <c r="AV162" s="140"/>
      <c r="AW162" s="140"/>
      <c r="AX162" s="176">
        <f>IFERROR(__xludf.DUMMYFUNCTION("""COMPUTED_VALUE"""),45614.64583333333)</f>
        <v>45614.64583</v>
      </c>
      <c r="AY162" s="177">
        <f>IFERROR(__xludf.DUMMYFUNCTION("""COMPUTED_VALUE"""),466.0)</f>
        <v>466</v>
      </c>
      <c r="AZ162" s="177">
        <f>IFERROR(__xludf.DUMMYFUNCTION("""COMPUTED_VALUE"""),467.8)</f>
        <v>467.8</v>
      </c>
      <c r="BA162" s="177">
        <f>IFERROR(__xludf.DUMMYFUNCTION("""COMPUTED_VALUE"""),462.0)</f>
        <v>462</v>
      </c>
      <c r="BB162" s="177">
        <f>IFERROR(__xludf.DUMMYFUNCTION("""COMPUTED_VALUE"""),466.55)</f>
        <v>466.55</v>
      </c>
      <c r="BC162" s="177">
        <f>IFERROR(__xludf.DUMMYFUNCTION("""COMPUTED_VALUE"""),8135260.0)</f>
        <v>8135260</v>
      </c>
      <c r="BD162" s="177">
        <f t="shared" si="5"/>
        <v>0.001286863448</v>
      </c>
      <c r="BE162" s="177"/>
      <c r="BF162" s="177"/>
      <c r="BG162" s="189"/>
      <c r="BH162" s="140"/>
      <c r="BI162" s="140"/>
      <c r="BJ162" s="140"/>
      <c r="BK162" s="140"/>
      <c r="BL162" s="140"/>
      <c r="BM162" s="140"/>
      <c r="BN162" s="140"/>
      <c r="BO162" s="140"/>
      <c r="BP162" s="140"/>
      <c r="BQ162" s="140"/>
      <c r="BR162" s="140"/>
      <c r="BS162" s="140"/>
      <c r="BT162" s="140"/>
      <c r="BU162" s="140"/>
      <c r="BV162" s="140"/>
      <c r="BW162" s="140"/>
      <c r="BX162" s="140"/>
      <c r="BY162" s="140"/>
    </row>
    <row r="163" ht="15.75" customHeight="1">
      <c r="A163" s="168"/>
      <c r="B163" s="169">
        <v>45615.0</v>
      </c>
      <c r="C163" s="170">
        <v>7086.12</v>
      </c>
      <c r="D163" s="170">
        <v>7164.12</v>
      </c>
      <c r="E163" s="170">
        <v>7083.12</v>
      </c>
      <c r="F163" s="170">
        <v>7140.78</v>
      </c>
      <c r="G163" s="171" t="s">
        <v>238</v>
      </c>
      <c r="H163" s="172">
        <f t="shared" si="1"/>
        <v>0.007825203892</v>
      </c>
      <c r="I163" s="172"/>
      <c r="J163" s="172"/>
      <c r="K163" s="188"/>
      <c r="L163" s="140"/>
      <c r="M163" s="140"/>
      <c r="N163" s="176">
        <f>IFERROR(__xludf.DUMMYFUNCTION("""COMPUTED_VALUE"""),45615.64583333333)</f>
        <v>45615.64583</v>
      </c>
      <c r="O163" s="177">
        <f>IFERROR(__xludf.DUMMYFUNCTION("""COMPUTED_VALUE"""),1257.05)</f>
        <v>1257.05</v>
      </c>
      <c r="P163" s="177">
        <f>IFERROR(__xludf.DUMMYFUNCTION("""COMPUTED_VALUE"""),1261.0)</f>
        <v>1261</v>
      </c>
      <c r="Q163" s="177">
        <f>IFERROR(__xludf.DUMMYFUNCTION("""COMPUTED_VALUE"""),1240.85)</f>
        <v>1240.85</v>
      </c>
      <c r="R163" s="177">
        <f>IFERROR(__xludf.DUMMYFUNCTION("""COMPUTED_VALUE"""),1249.1)</f>
        <v>1249.1</v>
      </c>
      <c r="S163" s="177">
        <f>IFERROR(__xludf.DUMMYFUNCTION("""COMPUTED_VALUE"""),1.1537317E7)</f>
        <v>11537317</v>
      </c>
      <c r="T163" s="177">
        <f t="shared" si="2"/>
        <v>-0.003476457518</v>
      </c>
      <c r="U163" s="178"/>
      <c r="V163" s="177"/>
      <c r="W163" s="189"/>
      <c r="X163" s="140"/>
      <c r="Y163" s="140"/>
      <c r="Z163" s="176">
        <f>IFERROR(__xludf.DUMMYFUNCTION("""COMPUTED_VALUE"""),45615.64583333333)</f>
        <v>45615.64583</v>
      </c>
      <c r="AA163" s="177">
        <f>IFERROR(__xludf.DUMMYFUNCTION("""COMPUTED_VALUE"""),328.75)</f>
        <v>328.75</v>
      </c>
      <c r="AB163" s="177">
        <f>IFERROR(__xludf.DUMMYFUNCTION("""COMPUTED_VALUE"""),335.25)</f>
        <v>335.25</v>
      </c>
      <c r="AC163" s="177">
        <f>IFERROR(__xludf.DUMMYFUNCTION("""COMPUTED_VALUE"""),325.15)</f>
        <v>325.15</v>
      </c>
      <c r="AD163" s="177">
        <f>IFERROR(__xludf.DUMMYFUNCTION("""COMPUTED_VALUE"""),328.15)</f>
        <v>328.15</v>
      </c>
      <c r="AE163" s="177">
        <f>IFERROR(__xludf.DUMMYFUNCTION("""COMPUTED_VALUE"""),5955778.0)</f>
        <v>5955778</v>
      </c>
      <c r="AF163" s="177">
        <f t="shared" si="3"/>
        <v>0.01535420921</v>
      </c>
      <c r="AG163" s="177"/>
      <c r="AH163" s="177"/>
      <c r="AI163" s="189"/>
      <c r="AJ163" s="140"/>
      <c r="AK163" s="140"/>
      <c r="AL163" s="176">
        <f>IFERROR(__xludf.DUMMYFUNCTION("""COMPUTED_VALUE"""),45615.64583333333)</f>
        <v>45615.64583</v>
      </c>
      <c r="AM163" s="177">
        <f>IFERROR(__xludf.DUMMYFUNCTION("""COMPUTED_VALUE"""),4100.0)</f>
        <v>4100</v>
      </c>
      <c r="AN163" s="177">
        <f>IFERROR(__xludf.DUMMYFUNCTION("""COMPUTED_VALUE"""),4148.7)</f>
        <v>4148.7</v>
      </c>
      <c r="AO163" s="177">
        <f>IFERROR(__xludf.DUMMYFUNCTION("""COMPUTED_VALUE"""),4040.0)</f>
        <v>4040</v>
      </c>
      <c r="AP163" s="177">
        <f>IFERROR(__xludf.DUMMYFUNCTION("""COMPUTED_VALUE"""),4057.15)</f>
        <v>4057.15</v>
      </c>
      <c r="AQ163" s="177">
        <f>IFERROR(__xludf.DUMMYFUNCTION("""COMPUTED_VALUE"""),1425438.0)</f>
        <v>1425438</v>
      </c>
      <c r="AR163" s="177">
        <f t="shared" si="4"/>
        <v>-0.005089132065</v>
      </c>
      <c r="AS163" s="177"/>
      <c r="AT163" s="177"/>
      <c r="AU163" s="189"/>
      <c r="AV163" s="140"/>
      <c r="AW163" s="140"/>
      <c r="AX163" s="176">
        <f>IFERROR(__xludf.DUMMYFUNCTION("""COMPUTED_VALUE"""),45615.64583333333)</f>
        <v>45615.64583</v>
      </c>
      <c r="AY163" s="177">
        <f>IFERROR(__xludf.DUMMYFUNCTION("""COMPUTED_VALUE"""),468.0)</f>
        <v>468</v>
      </c>
      <c r="AZ163" s="177">
        <f>IFERROR(__xludf.DUMMYFUNCTION("""COMPUTED_VALUE"""),473.75)</f>
        <v>473.75</v>
      </c>
      <c r="BA163" s="177">
        <f>IFERROR(__xludf.DUMMYFUNCTION("""COMPUTED_VALUE"""),466.25)</f>
        <v>466.25</v>
      </c>
      <c r="BB163" s="177">
        <f>IFERROR(__xludf.DUMMYFUNCTION("""COMPUTED_VALUE"""),467.35)</f>
        <v>467.35</v>
      </c>
      <c r="BC163" s="177">
        <f>IFERROR(__xludf.DUMMYFUNCTION("""COMPUTED_VALUE"""),6857374.0)</f>
        <v>6857374</v>
      </c>
      <c r="BD163" s="177">
        <f t="shared" si="5"/>
        <v>0.001713245949</v>
      </c>
      <c r="BE163" s="177"/>
      <c r="BF163" s="177"/>
      <c r="BG163" s="189"/>
      <c r="BH163" s="140"/>
      <c r="BI163" s="140"/>
      <c r="BJ163" s="140"/>
      <c r="BK163" s="140"/>
      <c r="BL163" s="140"/>
      <c r="BM163" s="140"/>
      <c r="BN163" s="140"/>
      <c r="BO163" s="140"/>
      <c r="BP163" s="140"/>
      <c r="BQ163" s="140"/>
      <c r="BR163" s="140"/>
      <c r="BS163" s="140"/>
      <c r="BT163" s="140"/>
      <c r="BU163" s="140"/>
      <c r="BV163" s="140"/>
      <c r="BW163" s="140"/>
      <c r="BX163" s="140"/>
      <c r="BY163" s="140"/>
    </row>
    <row r="164" ht="15.75" customHeight="1">
      <c r="A164" s="168"/>
      <c r="B164" s="169">
        <v>45617.0</v>
      </c>
      <c r="C164" s="170">
        <v>7186.12</v>
      </c>
      <c r="D164" s="170">
        <v>7264.78</v>
      </c>
      <c r="E164" s="170">
        <v>7182.12</v>
      </c>
      <c r="F164" s="170">
        <v>7243.52</v>
      </c>
      <c r="G164" s="171" t="s">
        <v>238</v>
      </c>
      <c r="H164" s="172">
        <f t="shared" si="1"/>
        <v>0.01428526201</v>
      </c>
      <c r="I164" s="172"/>
      <c r="J164" s="172"/>
      <c r="K164" s="188"/>
      <c r="L164" s="140"/>
      <c r="M164" s="140"/>
      <c r="N164" s="176">
        <f>IFERROR(__xludf.DUMMYFUNCTION("""COMPUTED_VALUE"""),45617.64583333333)</f>
        <v>45617.64583</v>
      </c>
      <c r="O164" s="177">
        <f>IFERROR(__xludf.DUMMYFUNCTION("""COMPUTED_VALUE"""),1248.55)</f>
        <v>1248.55</v>
      </c>
      <c r="P164" s="177">
        <f>IFERROR(__xludf.DUMMYFUNCTION("""COMPUTED_VALUE"""),1256.9)</f>
        <v>1256.9</v>
      </c>
      <c r="Q164" s="177">
        <f>IFERROR(__xludf.DUMMYFUNCTION("""COMPUTED_VALUE"""),1232.55)</f>
        <v>1232.55</v>
      </c>
      <c r="R164" s="177">
        <f>IFERROR(__xludf.DUMMYFUNCTION("""COMPUTED_VALUE"""),1250.55)</f>
        <v>1250.55</v>
      </c>
      <c r="S164" s="177">
        <f>IFERROR(__xludf.DUMMYFUNCTION("""COMPUTED_VALUE"""),9593870.0)</f>
        <v>9593870</v>
      </c>
      <c r="T164" s="177">
        <f t="shared" si="2"/>
        <v>0.001160162553</v>
      </c>
      <c r="U164" s="178"/>
      <c r="V164" s="177"/>
      <c r="W164" s="189"/>
      <c r="X164" s="140"/>
      <c r="Y164" s="140"/>
      <c r="Z164" s="176">
        <f>IFERROR(__xludf.DUMMYFUNCTION("""COMPUTED_VALUE"""),45617.64583333333)</f>
        <v>45617.64583</v>
      </c>
      <c r="AA164" s="177">
        <f>IFERROR(__xludf.DUMMYFUNCTION("""COMPUTED_VALUE"""),340.0)</f>
        <v>340</v>
      </c>
      <c r="AB164" s="177">
        <f>IFERROR(__xludf.DUMMYFUNCTION("""COMPUTED_VALUE"""),340.0)</f>
        <v>340</v>
      </c>
      <c r="AC164" s="177">
        <f>IFERROR(__xludf.DUMMYFUNCTION("""COMPUTED_VALUE"""),326.15)</f>
        <v>326.15</v>
      </c>
      <c r="AD164" s="177">
        <f>IFERROR(__xludf.DUMMYFUNCTION("""COMPUTED_VALUE"""),329.1)</f>
        <v>329.1</v>
      </c>
      <c r="AE164" s="177">
        <f>IFERROR(__xludf.DUMMYFUNCTION("""COMPUTED_VALUE"""),1.7871198E7)</f>
        <v>17871198</v>
      </c>
      <c r="AF164" s="177">
        <f t="shared" si="3"/>
        <v>0.00289083503</v>
      </c>
      <c r="AG164" s="177"/>
      <c r="AH164" s="177"/>
      <c r="AI164" s="189"/>
      <c r="AJ164" s="140"/>
      <c r="AK164" s="140"/>
      <c r="AL164" s="176">
        <f>IFERROR(__xludf.DUMMYFUNCTION("""COMPUTED_VALUE"""),45617.64583333333)</f>
        <v>45617.64583</v>
      </c>
      <c r="AM164" s="177">
        <f>IFERROR(__xludf.DUMMYFUNCTION("""COMPUTED_VALUE"""),4072.45)</f>
        <v>4072.45</v>
      </c>
      <c r="AN164" s="177">
        <f>IFERROR(__xludf.DUMMYFUNCTION("""COMPUTED_VALUE"""),4079.8)</f>
        <v>4079.8</v>
      </c>
      <c r="AO164" s="177">
        <f>IFERROR(__xludf.DUMMYFUNCTION("""COMPUTED_VALUE"""),3931.05)</f>
        <v>3931.05</v>
      </c>
      <c r="AP164" s="177">
        <f>IFERROR(__xludf.DUMMYFUNCTION("""COMPUTED_VALUE"""),3983.45)</f>
        <v>3983.45</v>
      </c>
      <c r="AQ164" s="177">
        <f>IFERROR(__xludf.DUMMYFUNCTION("""COMPUTED_VALUE"""),2061517.0)</f>
        <v>2061517</v>
      </c>
      <c r="AR164" s="177">
        <f t="shared" si="4"/>
        <v>-0.01833247869</v>
      </c>
      <c r="AS164" s="177"/>
      <c r="AT164" s="177"/>
      <c r="AU164" s="189"/>
      <c r="AV164" s="140"/>
      <c r="AW164" s="140"/>
      <c r="AX164" s="176">
        <f>IFERROR(__xludf.DUMMYFUNCTION("""COMPUTED_VALUE"""),45617.64583333333)</f>
        <v>45617.64583</v>
      </c>
      <c r="AY164" s="177">
        <f>IFERROR(__xludf.DUMMYFUNCTION("""COMPUTED_VALUE"""),461.0)</f>
        <v>461</v>
      </c>
      <c r="AZ164" s="177">
        <f>IFERROR(__xludf.DUMMYFUNCTION("""COMPUTED_VALUE"""),464.05)</f>
        <v>464.05</v>
      </c>
      <c r="BA164" s="177">
        <f>IFERROR(__xludf.DUMMYFUNCTION("""COMPUTED_VALUE"""),455.4)</f>
        <v>455.4</v>
      </c>
      <c r="BB164" s="177">
        <f>IFERROR(__xludf.DUMMYFUNCTION("""COMPUTED_VALUE"""),457.15)</f>
        <v>457.15</v>
      </c>
      <c r="BC164" s="177">
        <f>IFERROR(__xludf.DUMMYFUNCTION("""COMPUTED_VALUE"""),1.9559847E7)</f>
        <v>19559847</v>
      </c>
      <c r="BD164" s="177">
        <f t="shared" si="5"/>
        <v>-0.02206687702</v>
      </c>
      <c r="BE164" s="177"/>
      <c r="BF164" s="177"/>
      <c r="BG164" s="189"/>
      <c r="BH164" s="140"/>
      <c r="BI164" s="140"/>
      <c r="BJ164" s="140"/>
      <c r="BK164" s="140"/>
      <c r="BL164" s="140"/>
      <c r="BM164" s="140"/>
      <c r="BN164" s="140"/>
      <c r="BO164" s="140"/>
      <c r="BP164" s="140"/>
      <c r="BQ164" s="140"/>
      <c r="BR164" s="140"/>
      <c r="BS164" s="140"/>
      <c r="BT164" s="140"/>
      <c r="BU164" s="140"/>
      <c r="BV164" s="140"/>
      <c r="BW164" s="140"/>
      <c r="BX164" s="140"/>
      <c r="BY164" s="140"/>
    </row>
    <row r="165" ht="15.75" customHeight="1">
      <c r="A165" s="168"/>
      <c r="B165" s="169">
        <v>45618.0</v>
      </c>
      <c r="C165" s="170">
        <v>7247.12</v>
      </c>
      <c r="D165" s="170">
        <v>7365.12</v>
      </c>
      <c r="E165" s="170">
        <v>7246.12</v>
      </c>
      <c r="F165" s="170">
        <v>7362.12</v>
      </c>
      <c r="G165" s="171" t="s">
        <v>238</v>
      </c>
      <c r="H165" s="172">
        <f t="shared" si="1"/>
        <v>0.01624065865</v>
      </c>
      <c r="I165" s="172"/>
      <c r="J165" s="172"/>
      <c r="K165" s="188"/>
      <c r="L165" s="140"/>
      <c r="M165" s="140"/>
      <c r="N165" s="176">
        <f>IFERROR(__xludf.DUMMYFUNCTION("""COMPUTED_VALUE"""),45618.64583333333)</f>
        <v>45618.64583</v>
      </c>
      <c r="O165" s="177">
        <f>IFERROR(__xludf.DUMMYFUNCTION("""COMPUTED_VALUE"""),1258.0)</f>
        <v>1258</v>
      </c>
      <c r="P165" s="177">
        <f>IFERROR(__xludf.DUMMYFUNCTION("""COMPUTED_VALUE"""),1281.4)</f>
        <v>1281.4</v>
      </c>
      <c r="Q165" s="177">
        <f>IFERROR(__xludf.DUMMYFUNCTION("""COMPUTED_VALUE"""),1256.0)</f>
        <v>1256</v>
      </c>
      <c r="R165" s="177">
        <f>IFERROR(__xludf.DUMMYFUNCTION("""COMPUTED_VALUE"""),1278.05)</f>
        <v>1278.05</v>
      </c>
      <c r="S165" s="177">
        <f>IFERROR(__xludf.DUMMYFUNCTION("""COMPUTED_VALUE"""),1.1604338E7)</f>
        <v>11604338</v>
      </c>
      <c r="T165" s="177">
        <f t="shared" si="2"/>
        <v>0.02175202428</v>
      </c>
      <c r="U165" s="178"/>
      <c r="V165" s="177"/>
      <c r="W165" s="189"/>
      <c r="X165" s="140"/>
      <c r="Y165" s="140"/>
      <c r="Z165" s="176">
        <f>IFERROR(__xludf.DUMMYFUNCTION("""COMPUTED_VALUE"""),45618.64583333333)</f>
        <v>45618.64583</v>
      </c>
      <c r="AA165" s="177">
        <f>IFERROR(__xludf.DUMMYFUNCTION("""COMPUTED_VALUE"""),330.0)</f>
        <v>330</v>
      </c>
      <c r="AB165" s="177">
        <f>IFERROR(__xludf.DUMMYFUNCTION("""COMPUTED_VALUE"""),332.8)</f>
        <v>332.8</v>
      </c>
      <c r="AC165" s="177">
        <f>IFERROR(__xludf.DUMMYFUNCTION("""COMPUTED_VALUE"""),325.55)</f>
        <v>325.55</v>
      </c>
      <c r="AD165" s="177">
        <f>IFERROR(__xludf.DUMMYFUNCTION("""COMPUTED_VALUE"""),330.1)</f>
        <v>330.1</v>
      </c>
      <c r="AE165" s="177">
        <f>IFERROR(__xludf.DUMMYFUNCTION("""COMPUTED_VALUE"""),3576020.0)</f>
        <v>3576020</v>
      </c>
      <c r="AF165" s="177">
        <f t="shared" si="3"/>
        <v>0.00303398291</v>
      </c>
      <c r="AG165" s="177"/>
      <c r="AH165" s="177"/>
      <c r="AI165" s="189"/>
      <c r="AJ165" s="140"/>
      <c r="AK165" s="140"/>
      <c r="AL165" s="176">
        <f>IFERROR(__xludf.DUMMYFUNCTION("""COMPUTED_VALUE"""),45618.64583333333)</f>
        <v>45618.64583</v>
      </c>
      <c r="AM165" s="177">
        <f>IFERROR(__xludf.DUMMYFUNCTION("""COMPUTED_VALUE"""),3992.0)</f>
        <v>3992</v>
      </c>
      <c r="AN165" s="177">
        <f>IFERROR(__xludf.DUMMYFUNCTION("""COMPUTED_VALUE"""),4127.1)</f>
        <v>4127.1</v>
      </c>
      <c r="AO165" s="177">
        <f>IFERROR(__xludf.DUMMYFUNCTION("""COMPUTED_VALUE"""),3988.1)</f>
        <v>3988.1</v>
      </c>
      <c r="AP165" s="177">
        <f>IFERROR(__xludf.DUMMYFUNCTION("""COMPUTED_VALUE"""),4111.35)</f>
        <v>4111.35</v>
      </c>
      <c r="AQ165" s="177">
        <f>IFERROR(__xludf.DUMMYFUNCTION("""COMPUTED_VALUE"""),1404647.0)</f>
        <v>1404647</v>
      </c>
      <c r="AR165" s="177">
        <f t="shared" si="4"/>
        <v>0.03160316374</v>
      </c>
      <c r="AS165" s="177"/>
      <c r="AT165" s="177"/>
      <c r="AU165" s="189"/>
      <c r="AV165" s="140"/>
      <c r="AW165" s="140"/>
      <c r="AX165" s="176">
        <f>IFERROR(__xludf.DUMMYFUNCTION("""COMPUTED_VALUE"""),45618.64583333333)</f>
        <v>45618.64583</v>
      </c>
      <c r="AY165" s="177">
        <f>IFERROR(__xludf.DUMMYFUNCTION("""COMPUTED_VALUE"""),456.2)</f>
        <v>456.2</v>
      </c>
      <c r="AZ165" s="177">
        <f>IFERROR(__xludf.DUMMYFUNCTION("""COMPUTED_VALUE"""),476.5)</f>
        <v>476.5</v>
      </c>
      <c r="BA165" s="177">
        <f>IFERROR(__xludf.DUMMYFUNCTION("""COMPUTED_VALUE"""),455.5)</f>
        <v>455.5</v>
      </c>
      <c r="BB165" s="177">
        <f>IFERROR(__xludf.DUMMYFUNCTION("""COMPUTED_VALUE"""),474.65)</f>
        <v>474.65</v>
      </c>
      <c r="BC165" s="177">
        <f>IFERROR(__xludf.DUMMYFUNCTION("""COMPUTED_VALUE"""),1.9464568E7)</f>
        <v>19464568</v>
      </c>
      <c r="BD165" s="177">
        <f t="shared" si="5"/>
        <v>0.03756612572</v>
      </c>
      <c r="BE165" s="177"/>
      <c r="BF165" s="177"/>
      <c r="BG165" s="189"/>
      <c r="BH165" s="140"/>
      <c r="BI165" s="140"/>
      <c r="BJ165" s="140"/>
      <c r="BK165" s="140"/>
      <c r="BL165" s="140"/>
      <c r="BM165" s="140"/>
      <c r="BN165" s="140"/>
      <c r="BO165" s="140"/>
      <c r="BP165" s="140"/>
      <c r="BQ165" s="140"/>
      <c r="BR165" s="140"/>
      <c r="BS165" s="140"/>
      <c r="BT165" s="140"/>
      <c r="BU165" s="140"/>
      <c r="BV165" s="140"/>
      <c r="BW165" s="140"/>
      <c r="BX165" s="140"/>
      <c r="BY165" s="140"/>
    </row>
    <row r="166" ht="15.75" customHeight="1">
      <c r="A166" s="168"/>
      <c r="B166" s="169">
        <v>45621.0</v>
      </c>
      <c r="C166" s="170">
        <v>7370.12</v>
      </c>
      <c r="D166" s="170">
        <v>7386.78</v>
      </c>
      <c r="E166" s="170">
        <v>7086.78</v>
      </c>
      <c r="F166" s="170">
        <v>7104.12</v>
      </c>
      <c r="G166" s="171" t="s">
        <v>238</v>
      </c>
      <c r="H166" s="172">
        <f t="shared" si="1"/>
        <v>-0.0356730373</v>
      </c>
      <c r="I166" s="172"/>
      <c r="J166" s="172"/>
      <c r="K166" s="188"/>
      <c r="L166" s="140"/>
      <c r="M166" s="140"/>
      <c r="N166" s="176">
        <f>IFERROR(__xludf.DUMMYFUNCTION("""COMPUTED_VALUE"""),45621.64583333333)</f>
        <v>45621.64583</v>
      </c>
      <c r="O166" s="177">
        <f>IFERROR(__xludf.DUMMYFUNCTION("""COMPUTED_VALUE"""),1296.0)</f>
        <v>1296</v>
      </c>
      <c r="P166" s="177">
        <f>IFERROR(__xludf.DUMMYFUNCTION("""COMPUTED_VALUE"""),1311.2)</f>
        <v>1311.2</v>
      </c>
      <c r="Q166" s="177">
        <f>IFERROR(__xludf.DUMMYFUNCTION("""COMPUTED_VALUE"""),1290.0)</f>
        <v>1290</v>
      </c>
      <c r="R166" s="177">
        <f>IFERROR(__xludf.DUMMYFUNCTION("""COMPUTED_VALUE"""),1300.95)</f>
        <v>1300.95</v>
      </c>
      <c r="S166" s="177">
        <f>IFERROR(__xludf.DUMMYFUNCTION("""COMPUTED_VALUE"""),2.2717581E7)</f>
        <v>22717581</v>
      </c>
      <c r="T166" s="177">
        <f t="shared" si="2"/>
        <v>0.017759288</v>
      </c>
      <c r="U166" s="178"/>
      <c r="V166" s="177"/>
      <c r="W166" s="189"/>
      <c r="X166" s="140"/>
      <c r="Y166" s="140"/>
      <c r="Z166" s="176">
        <f>IFERROR(__xludf.DUMMYFUNCTION("""COMPUTED_VALUE"""),45621.64583333333)</f>
        <v>45621.64583</v>
      </c>
      <c r="AA166" s="177">
        <f>IFERROR(__xludf.DUMMYFUNCTION("""COMPUTED_VALUE"""),333.6)</f>
        <v>333.6</v>
      </c>
      <c r="AB166" s="177">
        <f>IFERROR(__xludf.DUMMYFUNCTION("""COMPUTED_VALUE"""),339.45)</f>
        <v>339.45</v>
      </c>
      <c r="AC166" s="177">
        <f>IFERROR(__xludf.DUMMYFUNCTION("""COMPUTED_VALUE"""),330.3)</f>
        <v>330.3</v>
      </c>
      <c r="AD166" s="177">
        <f>IFERROR(__xludf.DUMMYFUNCTION("""COMPUTED_VALUE"""),337.35)</f>
        <v>337.35</v>
      </c>
      <c r="AE166" s="177">
        <f>IFERROR(__xludf.DUMMYFUNCTION("""COMPUTED_VALUE"""),9817548.0)</f>
        <v>9817548</v>
      </c>
      <c r="AF166" s="177">
        <f t="shared" si="3"/>
        <v>0.02172532821</v>
      </c>
      <c r="AG166" s="177"/>
      <c r="AH166" s="177"/>
      <c r="AI166" s="189"/>
      <c r="AJ166" s="140"/>
      <c r="AK166" s="140"/>
      <c r="AL166" s="176">
        <f>IFERROR(__xludf.DUMMYFUNCTION("""COMPUTED_VALUE"""),45621.64583333333)</f>
        <v>45621.64583</v>
      </c>
      <c r="AM166" s="177">
        <f>IFERROR(__xludf.DUMMYFUNCTION("""COMPUTED_VALUE"""),4280.0)</f>
        <v>4280</v>
      </c>
      <c r="AN166" s="177">
        <f>IFERROR(__xludf.DUMMYFUNCTION("""COMPUTED_VALUE"""),4319.1)</f>
        <v>4319.1</v>
      </c>
      <c r="AO166" s="177">
        <f>IFERROR(__xludf.DUMMYFUNCTION("""COMPUTED_VALUE"""),4231.25)</f>
        <v>4231.25</v>
      </c>
      <c r="AP166" s="177">
        <f>IFERROR(__xludf.DUMMYFUNCTION("""COMPUTED_VALUE"""),4289.95)</f>
        <v>4289.95</v>
      </c>
      <c r="AQ166" s="177">
        <f>IFERROR(__xludf.DUMMYFUNCTION("""COMPUTED_VALUE"""),2249045.0)</f>
        <v>2249045</v>
      </c>
      <c r="AR166" s="177">
        <f t="shared" si="4"/>
        <v>0.04252363613</v>
      </c>
      <c r="AS166" s="177"/>
      <c r="AT166" s="177"/>
      <c r="AU166" s="189"/>
      <c r="AV166" s="140"/>
      <c r="AW166" s="140"/>
      <c r="AX166" s="176">
        <f>IFERROR(__xludf.DUMMYFUNCTION("""COMPUTED_VALUE"""),45621.64583333333)</f>
        <v>45621.64583</v>
      </c>
      <c r="AY166" s="177">
        <f>IFERROR(__xludf.DUMMYFUNCTION("""COMPUTED_VALUE"""),479.0)</f>
        <v>479</v>
      </c>
      <c r="AZ166" s="177">
        <f>IFERROR(__xludf.DUMMYFUNCTION("""COMPUTED_VALUE"""),482.2)</f>
        <v>482.2</v>
      </c>
      <c r="BA166" s="177">
        <f>IFERROR(__xludf.DUMMYFUNCTION("""COMPUTED_VALUE"""),472.4)</f>
        <v>472.4</v>
      </c>
      <c r="BB166" s="177">
        <f>IFERROR(__xludf.DUMMYFUNCTION("""COMPUTED_VALUE"""),476.8)</f>
        <v>476.8</v>
      </c>
      <c r="BC166" s="177">
        <f>IFERROR(__xludf.DUMMYFUNCTION("""COMPUTED_VALUE"""),1.3891991E7)</f>
        <v>13891991</v>
      </c>
      <c r="BD166" s="177">
        <f t="shared" si="5"/>
        <v>0.004519425423</v>
      </c>
      <c r="BE166" s="177"/>
      <c r="BF166" s="177"/>
      <c r="BG166" s="189"/>
      <c r="BH166" s="140"/>
      <c r="BI166" s="140"/>
      <c r="BJ166" s="140"/>
      <c r="BK166" s="140"/>
      <c r="BL166" s="140"/>
      <c r="BM166" s="140"/>
      <c r="BN166" s="140"/>
      <c r="BO166" s="140"/>
      <c r="BP166" s="140"/>
      <c r="BQ166" s="140"/>
      <c r="BR166" s="140"/>
      <c r="BS166" s="140"/>
      <c r="BT166" s="140"/>
      <c r="BU166" s="140"/>
      <c r="BV166" s="140"/>
      <c r="BW166" s="140"/>
      <c r="BX166" s="140"/>
      <c r="BY166" s="140"/>
    </row>
    <row r="167" ht="15.75" customHeight="1">
      <c r="A167" s="168"/>
      <c r="B167" s="169">
        <v>45622.0</v>
      </c>
      <c r="C167" s="170">
        <v>7110.78</v>
      </c>
      <c r="D167" s="170">
        <v>7160.78</v>
      </c>
      <c r="E167" s="170">
        <v>7058.12</v>
      </c>
      <c r="F167" s="170">
        <v>7137.52</v>
      </c>
      <c r="G167" s="171" t="s">
        <v>238</v>
      </c>
      <c r="H167" s="172">
        <f t="shared" si="1"/>
        <v>0.004690479641</v>
      </c>
      <c r="I167" s="172"/>
      <c r="J167" s="172"/>
      <c r="K167" s="188"/>
      <c r="L167" s="140"/>
      <c r="M167" s="140"/>
      <c r="N167" s="176">
        <f>IFERROR(__xludf.DUMMYFUNCTION("""COMPUTED_VALUE"""),45622.64583333333)</f>
        <v>45622.64583</v>
      </c>
      <c r="O167" s="177">
        <f>IFERROR(__xludf.DUMMYFUNCTION("""COMPUTED_VALUE"""),1310.6)</f>
        <v>1310.6</v>
      </c>
      <c r="P167" s="177">
        <f>IFERROR(__xludf.DUMMYFUNCTION("""COMPUTED_VALUE"""),1314.25)</f>
        <v>1314.25</v>
      </c>
      <c r="Q167" s="177">
        <f>IFERROR(__xludf.DUMMYFUNCTION("""COMPUTED_VALUE"""),1302.45)</f>
        <v>1302.45</v>
      </c>
      <c r="R167" s="177">
        <f>IFERROR(__xludf.DUMMYFUNCTION("""COMPUTED_VALUE"""),1304.95)</f>
        <v>1304.95</v>
      </c>
      <c r="S167" s="177">
        <f>IFERROR(__xludf.DUMMYFUNCTION("""COMPUTED_VALUE"""),7646955.0)</f>
        <v>7646955</v>
      </c>
      <c r="T167" s="177">
        <f t="shared" si="2"/>
        <v>0.003069959048</v>
      </c>
      <c r="U167" s="178"/>
      <c r="V167" s="177"/>
      <c r="W167" s="189"/>
      <c r="X167" s="140"/>
      <c r="Y167" s="140"/>
      <c r="Z167" s="176">
        <f>IFERROR(__xludf.DUMMYFUNCTION("""COMPUTED_VALUE"""),45622.64583333333)</f>
        <v>45622.64583</v>
      </c>
      <c r="AA167" s="177">
        <f>IFERROR(__xludf.DUMMYFUNCTION("""COMPUTED_VALUE"""),351.0)</f>
        <v>351</v>
      </c>
      <c r="AB167" s="177">
        <f>IFERROR(__xludf.DUMMYFUNCTION("""COMPUTED_VALUE"""),355.85)</f>
        <v>355.85</v>
      </c>
      <c r="AC167" s="177">
        <f>IFERROR(__xludf.DUMMYFUNCTION("""COMPUTED_VALUE"""),339.65)</f>
        <v>339.65</v>
      </c>
      <c r="AD167" s="177">
        <f>IFERROR(__xludf.DUMMYFUNCTION("""COMPUTED_VALUE"""),340.95)</f>
        <v>340.95</v>
      </c>
      <c r="AE167" s="177">
        <f>IFERROR(__xludf.DUMMYFUNCTION("""COMPUTED_VALUE"""),2.3264396E7)</f>
        <v>23264396</v>
      </c>
      <c r="AF167" s="177">
        <f t="shared" si="3"/>
        <v>0.01061487189</v>
      </c>
      <c r="AG167" s="177"/>
      <c r="AH167" s="177"/>
      <c r="AI167" s="189"/>
      <c r="AJ167" s="140"/>
      <c r="AK167" s="140"/>
      <c r="AL167" s="176">
        <f>IFERROR(__xludf.DUMMYFUNCTION("""COMPUTED_VALUE"""),45622.64583333333)</f>
        <v>45622.64583</v>
      </c>
      <c r="AM167" s="177">
        <f>IFERROR(__xludf.DUMMYFUNCTION("""COMPUTED_VALUE"""),4309.8)</f>
        <v>4309.8</v>
      </c>
      <c r="AN167" s="177">
        <f>IFERROR(__xludf.DUMMYFUNCTION("""COMPUTED_VALUE"""),4408.35)</f>
        <v>4408.35</v>
      </c>
      <c r="AO167" s="177">
        <f>IFERROR(__xludf.DUMMYFUNCTION("""COMPUTED_VALUE"""),4301.05)</f>
        <v>4301.05</v>
      </c>
      <c r="AP167" s="177">
        <f>IFERROR(__xludf.DUMMYFUNCTION("""COMPUTED_VALUE"""),4364.55)</f>
        <v>4364.55</v>
      </c>
      <c r="AQ167" s="177">
        <f>IFERROR(__xludf.DUMMYFUNCTION("""COMPUTED_VALUE"""),1967056.0)</f>
        <v>1967056</v>
      </c>
      <c r="AR167" s="177">
        <f t="shared" si="4"/>
        <v>0.01724001333</v>
      </c>
      <c r="AS167" s="177"/>
      <c r="AT167" s="177"/>
      <c r="AU167" s="189"/>
      <c r="AV167" s="140"/>
      <c r="AW167" s="140"/>
      <c r="AX167" s="176">
        <f>IFERROR(__xludf.DUMMYFUNCTION("""COMPUTED_VALUE"""),45622.64583333333)</f>
        <v>45622.64583</v>
      </c>
      <c r="AY167" s="177">
        <f>IFERROR(__xludf.DUMMYFUNCTION("""COMPUTED_VALUE"""),480.0)</f>
        <v>480</v>
      </c>
      <c r="AZ167" s="177">
        <f>IFERROR(__xludf.DUMMYFUNCTION("""COMPUTED_VALUE"""),482.65)</f>
        <v>482.65</v>
      </c>
      <c r="BA167" s="177">
        <f>IFERROR(__xludf.DUMMYFUNCTION("""COMPUTED_VALUE"""),474.1)</f>
        <v>474.1</v>
      </c>
      <c r="BB167" s="177">
        <f>IFERROR(__xludf.DUMMYFUNCTION("""COMPUTED_VALUE"""),477.0)</f>
        <v>477</v>
      </c>
      <c r="BC167" s="177">
        <f>IFERROR(__xludf.DUMMYFUNCTION("""COMPUTED_VALUE"""),6539846.0)</f>
        <v>6539846</v>
      </c>
      <c r="BD167" s="177">
        <f t="shared" si="5"/>
        <v>0.0004193751372</v>
      </c>
      <c r="BE167" s="177"/>
      <c r="BF167" s="177"/>
      <c r="BG167" s="189"/>
      <c r="BH167" s="140"/>
      <c r="BI167" s="140"/>
      <c r="BJ167" s="140"/>
      <c r="BK167" s="140"/>
      <c r="BL167" s="140"/>
      <c r="BM167" s="140"/>
      <c r="BN167" s="140"/>
      <c r="BO167" s="140"/>
      <c r="BP167" s="140"/>
      <c r="BQ167" s="140"/>
      <c r="BR167" s="140"/>
      <c r="BS167" s="140"/>
      <c r="BT167" s="140"/>
      <c r="BU167" s="140"/>
      <c r="BV167" s="140"/>
      <c r="BW167" s="140"/>
      <c r="BX167" s="140"/>
      <c r="BY167" s="140"/>
    </row>
    <row r="168" ht="15.75" customHeight="1">
      <c r="A168" s="168"/>
      <c r="B168" s="169">
        <v>45623.0</v>
      </c>
      <c r="C168" s="170">
        <v>7138.78</v>
      </c>
      <c r="D168" s="170">
        <v>7213.52</v>
      </c>
      <c r="E168" s="170">
        <v>7123.12</v>
      </c>
      <c r="F168" s="170">
        <v>7158.78</v>
      </c>
      <c r="G168" s="171" t="s">
        <v>238</v>
      </c>
      <c r="H168" s="172">
        <f t="shared" si="1"/>
        <v>0.002974198313</v>
      </c>
      <c r="I168" s="172"/>
      <c r="J168" s="172"/>
      <c r="K168" s="188"/>
      <c r="L168" s="140"/>
      <c r="M168" s="140"/>
      <c r="N168" s="176">
        <f>IFERROR(__xludf.DUMMYFUNCTION("""COMPUTED_VALUE"""),45623.64583333333)</f>
        <v>45623.64583</v>
      </c>
      <c r="O168" s="177">
        <f>IFERROR(__xludf.DUMMYFUNCTION("""COMPUTED_VALUE"""),1298.5)</f>
        <v>1298.5</v>
      </c>
      <c r="P168" s="177">
        <f>IFERROR(__xludf.DUMMYFUNCTION("""COMPUTED_VALUE"""),1310.85)</f>
        <v>1310.85</v>
      </c>
      <c r="Q168" s="177">
        <f>IFERROR(__xludf.DUMMYFUNCTION("""COMPUTED_VALUE"""),1297.85)</f>
        <v>1297.85</v>
      </c>
      <c r="R168" s="177">
        <f>IFERROR(__xludf.DUMMYFUNCTION("""COMPUTED_VALUE"""),1300.7)</f>
        <v>1300.7</v>
      </c>
      <c r="S168" s="177">
        <f>IFERROR(__xludf.DUMMYFUNCTION("""COMPUTED_VALUE"""),2.1938082E7)</f>
        <v>21938082</v>
      </c>
      <c r="T168" s="177">
        <f t="shared" si="2"/>
        <v>-0.003262144777</v>
      </c>
      <c r="U168" s="178"/>
      <c r="V168" s="177"/>
      <c r="W168" s="189"/>
      <c r="X168" s="140"/>
      <c r="Y168" s="140"/>
      <c r="Z168" s="176">
        <f>IFERROR(__xludf.DUMMYFUNCTION("""COMPUTED_VALUE"""),45623.64583333333)</f>
        <v>45623.64583</v>
      </c>
      <c r="AA168" s="177">
        <f>IFERROR(__xludf.DUMMYFUNCTION("""COMPUTED_VALUE"""),341.0)</f>
        <v>341</v>
      </c>
      <c r="AB168" s="177">
        <f>IFERROR(__xludf.DUMMYFUNCTION("""COMPUTED_VALUE"""),352.15)</f>
        <v>352.15</v>
      </c>
      <c r="AC168" s="177">
        <f>IFERROR(__xludf.DUMMYFUNCTION("""COMPUTED_VALUE"""),340.8)</f>
        <v>340.8</v>
      </c>
      <c r="AD168" s="177">
        <f>IFERROR(__xludf.DUMMYFUNCTION("""COMPUTED_VALUE"""),349.75)</f>
        <v>349.75</v>
      </c>
      <c r="AE168" s="177">
        <f>IFERROR(__xludf.DUMMYFUNCTION("""COMPUTED_VALUE"""),5617102.0)</f>
        <v>5617102</v>
      </c>
      <c r="AF168" s="177">
        <f t="shared" si="3"/>
        <v>0.02548277458</v>
      </c>
      <c r="AG168" s="177"/>
      <c r="AH168" s="177"/>
      <c r="AI168" s="189"/>
      <c r="AJ168" s="140"/>
      <c r="AK168" s="140"/>
      <c r="AL168" s="176">
        <f>IFERROR(__xludf.DUMMYFUNCTION("""COMPUTED_VALUE"""),45623.64583333333)</f>
        <v>45623.64583</v>
      </c>
      <c r="AM168" s="177">
        <f>IFERROR(__xludf.DUMMYFUNCTION("""COMPUTED_VALUE"""),4376.0)</f>
        <v>4376</v>
      </c>
      <c r="AN168" s="177">
        <f>IFERROR(__xludf.DUMMYFUNCTION("""COMPUTED_VALUE"""),4488.7)</f>
        <v>4488.7</v>
      </c>
      <c r="AO168" s="177">
        <f>IFERROR(__xludf.DUMMYFUNCTION("""COMPUTED_VALUE"""),4355.0)</f>
        <v>4355</v>
      </c>
      <c r="AP168" s="177">
        <f>IFERROR(__xludf.DUMMYFUNCTION("""COMPUTED_VALUE"""),4474.65)</f>
        <v>4474.65</v>
      </c>
      <c r="AQ168" s="177">
        <f>IFERROR(__xludf.DUMMYFUNCTION("""COMPUTED_VALUE"""),2144888.0)</f>
        <v>2144888</v>
      </c>
      <c r="AR168" s="177">
        <f t="shared" si="4"/>
        <v>0.02491304518</v>
      </c>
      <c r="AS168" s="177"/>
      <c r="AT168" s="177"/>
      <c r="AU168" s="189"/>
      <c r="AV168" s="140"/>
      <c r="AW168" s="140"/>
      <c r="AX168" s="176">
        <f>IFERROR(__xludf.DUMMYFUNCTION("""COMPUTED_VALUE"""),45623.64583333333)</f>
        <v>45623.64583</v>
      </c>
      <c r="AY168" s="177">
        <f>IFERROR(__xludf.DUMMYFUNCTION("""COMPUTED_VALUE"""),477.5)</f>
        <v>477.5</v>
      </c>
      <c r="AZ168" s="177">
        <f>IFERROR(__xludf.DUMMYFUNCTION("""COMPUTED_VALUE"""),480.1)</f>
        <v>480.1</v>
      </c>
      <c r="BA168" s="177">
        <f>IFERROR(__xludf.DUMMYFUNCTION("""COMPUTED_VALUE"""),473.0)</f>
        <v>473</v>
      </c>
      <c r="BB168" s="177">
        <f>IFERROR(__xludf.DUMMYFUNCTION("""COMPUTED_VALUE"""),476.95)</f>
        <v>476.95</v>
      </c>
      <c r="BC168" s="177">
        <f>IFERROR(__xludf.DUMMYFUNCTION("""COMPUTED_VALUE"""),7067013.0)</f>
        <v>7067013</v>
      </c>
      <c r="BD168" s="177">
        <f t="shared" si="5"/>
        <v>-0.0001048272971</v>
      </c>
      <c r="BE168" s="177"/>
      <c r="BF168" s="177"/>
      <c r="BG168" s="189"/>
      <c r="BH168" s="140"/>
      <c r="BI168" s="140"/>
      <c r="BJ168" s="140"/>
      <c r="BK168" s="140"/>
      <c r="BL168" s="140"/>
      <c r="BM168" s="140"/>
      <c r="BN168" s="140"/>
      <c r="BO168" s="140"/>
      <c r="BP168" s="140"/>
      <c r="BQ168" s="140"/>
      <c r="BR168" s="140"/>
      <c r="BS168" s="140"/>
      <c r="BT168" s="140"/>
      <c r="BU168" s="140"/>
      <c r="BV168" s="140"/>
      <c r="BW168" s="140"/>
      <c r="BX168" s="140"/>
      <c r="BY168" s="140"/>
    </row>
    <row r="169" ht="15.75" customHeight="1">
      <c r="A169" s="168"/>
      <c r="B169" s="169">
        <v>45624.0</v>
      </c>
      <c r="C169" s="170">
        <v>7154.78</v>
      </c>
      <c r="D169" s="170">
        <v>7199.12</v>
      </c>
      <c r="E169" s="170">
        <v>7113.52</v>
      </c>
      <c r="F169" s="170">
        <v>7170.78</v>
      </c>
      <c r="G169" s="171" t="s">
        <v>238</v>
      </c>
      <c r="H169" s="172">
        <f t="shared" si="1"/>
        <v>0.001674859913</v>
      </c>
      <c r="I169" s="172"/>
      <c r="J169" s="172"/>
      <c r="K169" s="188"/>
      <c r="L169" s="140"/>
      <c r="M169" s="140"/>
      <c r="N169" s="176">
        <f>IFERROR(__xludf.DUMMYFUNCTION("""COMPUTED_VALUE"""),45624.64583333333)</f>
        <v>45624.64583</v>
      </c>
      <c r="O169" s="177">
        <f>IFERROR(__xludf.DUMMYFUNCTION("""COMPUTED_VALUE"""),1301.05)</f>
        <v>1301.05</v>
      </c>
      <c r="P169" s="177">
        <f>IFERROR(__xludf.DUMMYFUNCTION("""COMPUTED_VALUE"""),1310.5)</f>
        <v>1310.5</v>
      </c>
      <c r="Q169" s="177">
        <f>IFERROR(__xludf.DUMMYFUNCTION("""COMPUTED_VALUE"""),1282.3)</f>
        <v>1282.3</v>
      </c>
      <c r="R169" s="177">
        <f>IFERROR(__xludf.DUMMYFUNCTION("""COMPUTED_VALUE"""),1286.35)</f>
        <v>1286.35</v>
      </c>
      <c r="S169" s="177">
        <f>IFERROR(__xludf.DUMMYFUNCTION("""COMPUTED_VALUE"""),2.2803745E7)</f>
        <v>22803745</v>
      </c>
      <c r="T169" s="177">
        <f t="shared" si="2"/>
        <v>-0.01109383056</v>
      </c>
      <c r="U169" s="178"/>
      <c r="V169" s="177"/>
      <c r="W169" s="189"/>
      <c r="X169" s="140"/>
      <c r="Y169" s="140"/>
      <c r="Z169" s="176">
        <f>IFERROR(__xludf.DUMMYFUNCTION("""COMPUTED_VALUE"""),45624.64583333333)</f>
        <v>45624.64583</v>
      </c>
      <c r="AA169" s="177">
        <f>IFERROR(__xludf.DUMMYFUNCTION("""COMPUTED_VALUE"""),349.0)</f>
        <v>349</v>
      </c>
      <c r="AB169" s="177">
        <f>IFERROR(__xludf.DUMMYFUNCTION("""COMPUTED_VALUE"""),354.5)</f>
        <v>354.5</v>
      </c>
      <c r="AC169" s="177">
        <f>IFERROR(__xludf.DUMMYFUNCTION("""COMPUTED_VALUE"""),345.6)</f>
        <v>345.6</v>
      </c>
      <c r="AD169" s="177">
        <f>IFERROR(__xludf.DUMMYFUNCTION("""COMPUTED_VALUE"""),348.25)</f>
        <v>348.25</v>
      </c>
      <c r="AE169" s="177">
        <f>IFERROR(__xludf.DUMMYFUNCTION("""COMPUTED_VALUE"""),5759041.0)</f>
        <v>5759041</v>
      </c>
      <c r="AF169" s="177">
        <f t="shared" si="3"/>
        <v>-0.004298000886</v>
      </c>
      <c r="AG169" s="177"/>
      <c r="AH169" s="177"/>
      <c r="AI169" s="189"/>
      <c r="AJ169" s="140"/>
      <c r="AK169" s="140"/>
      <c r="AL169" s="176">
        <f>IFERROR(__xludf.DUMMYFUNCTION("""COMPUTED_VALUE"""),45624.64583333333)</f>
        <v>45624.64583</v>
      </c>
      <c r="AM169" s="177">
        <f>IFERROR(__xludf.DUMMYFUNCTION("""COMPUTED_VALUE"""),4500.0)</f>
        <v>4500</v>
      </c>
      <c r="AN169" s="177">
        <f>IFERROR(__xludf.DUMMYFUNCTION("""COMPUTED_VALUE"""),4529.5)</f>
        <v>4529.5</v>
      </c>
      <c r="AO169" s="177">
        <f>IFERROR(__xludf.DUMMYFUNCTION("""COMPUTED_VALUE"""),4451.25)</f>
        <v>4451.25</v>
      </c>
      <c r="AP169" s="177">
        <f>IFERROR(__xludf.DUMMYFUNCTION("""COMPUTED_VALUE"""),4466.85)</f>
        <v>4466.85</v>
      </c>
      <c r="AQ169" s="177">
        <f>IFERROR(__xludf.DUMMYFUNCTION("""COMPUTED_VALUE"""),1454277.0)</f>
        <v>1454277</v>
      </c>
      <c r="AR169" s="177">
        <f t="shared" si="4"/>
        <v>-0.001744674155</v>
      </c>
      <c r="AS169" s="177"/>
      <c r="AT169" s="177"/>
      <c r="AU169" s="189"/>
      <c r="AV169" s="140"/>
      <c r="AW169" s="140"/>
      <c r="AX169" s="176">
        <f>IFERROR(__xludf.DUMMYFUNCTION("""COMPUTED_VALUE"""),45624.64583333333)</f>
        <v>45624.64583</v>
      </c>
      <c r="AY169" s="177">
        <f>IFERROR(__xludf.DUMMYFUNCTION("""COMPUTED_VALUE"""),477.0)</f>
        <v>477</v>
      </c>
      <c r="AZ169" s="177">
        <f>IFERROR(__xludf.DUMMYFUNCTION("""COMPUTED_VALUE"""),483.8)</f>
        <v>483.8</v>
      </c>
      <c r="BA169" s="177">
        <f>IFERROR(__xludf.DUMMYFUNCTION("""COMPUTED_VALUE"""),470.55)</f>
        <v>470.55</v>
      </c>
      <c r="BB169" s="177">
        <f>IFERROR(__xludf.DUMMYFUNCTION("""COMPUTED_VALUE"""),474.9)</f>
        <v>474.9</v>
      </c>
      <c r="BC169" s="177">
        <f>IFERROR(__xludf.DUMMYFUNCTION("""COMPUTED_VALUE"""),1.4412539E7)</f>
        <v>14412539</v>
      </c>
      <c r="BD169" s="177">
        <f t="shared" si="5"/>
        <v>-0.004307408036</v>
      </c>
      <c r="BE169" s="177"/>
      <c r="BF169" s="177"/>
      <c r="BG169" s="189"/>
      <c r="BH169" s="140"/>
      <c r="BI169" s="140"/>
      <c r="BJ169" s="140"/>
      <c r="BK169" s="140"/>
      <c r="BL169" s="140"/>
      <c r="BM169" s="140"/>
      <c r="BN169" s="140"/>
      <c r="BO169" s="140"/>
      <c r="BP169" s="140"/>
      <c r="BQ169" s="140"/>
      <c r="BR169" s="140"/>
      <c r="BS169" s="140"/>
      <c r="BT169" s="140"/>
      <c r="BU169" s="140"/>
      <c r="BV169" s="140"/>
      <c r="BW169" s="140"/>
      <c r="BX169" s="140"/>
      <c r="BY169" s="140"/>
    </row>
    <row r="170" ht="15.75" customHeight="1">
      <c r="A170" s="168"/>
      <c r="B170" s="169">
        <v>45625.0</v>
      </c>
      <c r="C170" s="170">
        <v>7173.12</v>
      </c>
      <c r="D170" s="170">
        <v>7245.52</v>
      </c>
      <c r="E170" s="170">
        <v>7153.12</v>
      </c>
      <c r="F170" s="170">
        <v>7213.52</v>
      </c>
      <c r="G170" s="171" t="s">
        <v>238</v>
      </c>
      <c r="H170" s="172">
        <f t="shared" si="1"/>
        <v>0.005942607673</v>
      </c>
      <c r="I170" s="172"/>
      <c r="J170" s="172"/>
      <c r="K170" s="188"/>
      <c r="L170" s="140"/>
      <c r="M170" s="140"/>
      <c r="N170" s="176">
        <f>IFERROR(__xludf.DUMMYFUNCTION("""COMPUTED_VALUE"""),45625.64583333333)</f>
        <v>45625.64583</v>
      </c>
      <c r="O170" s="177">
        <f>IFERROR(__xludf.DUMMYFUNCTION("""COMPUTED_VALUE"""),1283.1)</f>
        <v>1283.1</v>
      </c>
      <c r="P170" s="177">
        <f>IFERROR(__xludf.DUMMYFUNCTION("""COMPUTED_VALUE"""),1303.25)</f>
        <v>1303.25</v>
      </c>
      <c r="Q170" s="177">
        <f>IFERROR(__xludf.DUMMYFUNCTION("""COMPUTED_VALUE"""),1283.1)</f>
        <v>1283.1</v>
      </c>
      <c r="R170" s="177">
        <f>IFERROR(__xludf.DUMMYFUNCTION("""COMPUTED_VALUE"""),1300.1)</f>
        <v>1300.1</v>
      </c>
      <c r="S170" s="177">
        <f>IFERROR(__xludf.DUMMYFUNCTION("""COMPUTED_VALUE"""),1.1397228E7)</f>
        <v>11397228</v>
      </c>
      <c r="T170" s="177">
        <f t="shared" si="2"/>
        <v>0.01063243406</v>
      </c>
      <c r="U170" s="178"/>
      <c r="V170" s="177"/>
      <c r="W170" s="189"/>
      <c r="X170" s="140"/>
      <c r="Y170" s="140"/>
      <c r="Z170" s="176">
        <f>IFERROR(__xludf.DUMMYFUNCTION("""COMPUTED_VALUE"""),45625.64583333333)</f>
        <v>45625.64583</v>
      </c>
      <c r="AA170" s="177">
        <f>IFERROR(__xludf.DUMMYFUNCTION("""COMPUTED_VALUE"""),347.15)</f>
        <v>347.15</v>
      </c>
      <c r="AB170" s="177">
        <f>IFERROR(__xludf.DUMMYFUNCTION("""COMPUTED_VALUE"""),353.7)</f>
        <v>353.7</v>
      </c>
      <c r="AC170" s="177">
        <f>IFERROR(__xludf.DUMMYFUNCTION("""COMPUTED_VALUE"""),345.5)</f>
        <v>345.5</v>
      </c>
      <c r="AD170" s="177">
        <f>IFERROR(__xludf.DUMMYFUNCTION("""COMPUTED_VALUE"""),349.35)</f>
        <v>349.35</v>
      </c>
      <c r="AE170" s="177">
        <f>IFERROR(__xludf.DUMMYFUNCTION("""COMPUTED_VALUE"""),4666533.0)</f>
        <v>4666533</v>
      </c>
      <c r="AF170" s="177">
        <f t="shared" si="3"/>
        <v>0.003153672339</v>
      </c>
      <c r="AG170" s="177"/>
      <c r="AH170" s="177"/>
      <c r="AI170" s="189"/>
      <c r="AJ170" s="140"/>
      <c r="AK170" s="140"/>
      <c r="AL170" s="176">
        <f>IFERROR(__xludf.DUMMYFUNCTION("""COMPUTED_VALUE"""),45625.64583333333)</f>
        <v>45625.64583</v>
      </c>
      <c r="AM170" s="177">
        <f>IFERROR(__xludf.DUMMYFUNCTION("""COMPUTED_VALUE"""),4459.0)</f>
        <v>4459</v>
      </c>
      <c r="AN170" s="177">
        <f>IFERROR(__xludf.DUMMYFUNCTION("""COMPUTED_VALUE"""),4499.0)</f>
        <v>4499</v>
      </c>
      <c r="AO170" s="177">
        <f>IFERROR(__xludf.DUMMYFUNCTION("""COMPUTED_VALUE"""),4420.7)</f>
        <v>4420.7</v>
      </c>
      <c r="AP170" s="177">
        <f>IFERROR(__xludf.DUMMYFUNCTION("""COMPUTED_VALUE"""),4476.85)</f>
        <v>4476.85</v>
      </c>
      <c r="AQ170" s="177">
        <f>IFERROR(__xludf.DUMMYFUNCTION("""COMPUTED_VALUE"""),967791.0)</f>
        <v>967791</v>
      </c>
      <c r="AR170" s="177">
        <f t="shared" si="4"/>
        <v>0.002236211896</v>
      </c>
      <c r="AS170" s="177"/>
      <c r="AT170" s="177"/>
      <c r="AU170" s="189"/>
      <c r="AV170" s="140"/>
      <c r="AW170" s="140"/>
      <c r="AX170" s="176">
        <f>IFERROR(__xludf.DUMMYFUNCTION("""COMPUTED_VALUE"""),45625.64583333333)</f>
        <v>45625.64583</v>
      </c>
      <c r="AY170" s="177">
        <f>IFERROR(__xludf.DUMMYFUNCTION("""COMPUTED_VALUE"""),473.2)</f>
        <v>473.2</v>
      </c>
      <c r="AZ170" s="177">
        <f>IFERROR(__xludf.DUMMYFUNCTION("""COMPUTED_VALUE"""),478.9)</f>
        <v>478.9</v>
      </c>
      <c r="BA170" s="177">
        <f>IFERROR(__xludf.DUMMYFUNCTION("""COMPUTED_VALUE"""),472.6)</f>
        <v>472.6</v>
      </c>
      <c r="BB170" s="177">
        <f>IFERROR(__xludf.DUMMYFUNCTION("""COMPUTED_VALUE"""),476.75)</f>
        <v>476.75</v>
      </c>
      <c r="BC170" s="177">
        <f>IFERROR(__xludf.DUMMYFUNCTION("""COMPUTED_VALUE"""),8346687.0)</f>
        <v>8346687</v>
      </c>
      <c r="BD170" s="177">
        <f t="shared" si="5"/>
        <v>0.003887988925</v>
      </c>
      <c r="BE170" s="177"/>
      <c r="BF170" s="177"/>
      <c r="BG170" s="189"/>
      <c r="BH170" s="140"/>
      <c r="BI170" s="140"/>
      <c r="BJ170" s="140"/>
      <c r="BK170" s="140"/>
      <c r="BL170" s="140"/>
      <c r="BM170" s="140"/>
      <c r="BN170" s="140"/>
      <c r="BO170" s="140"/>
      <c r="BP170" s="140"/>
      <c r="BQ170" s="140"/>
      <c r="BR170" s="140"/>
      <c r="BS170" s="140"/>
      <c r="BT170" s="140"/>
      <c r="BU170" s="140"/>
      <c r="BV170" s="140"/>
      <c r="BW170" s="140"/>
      <c r="BX170" s="140"/>
      <c r="BY170" s="140"/>
    </row>
    <row r="171" ht="15.75" customHeight="1">
      <c r="A171" s="168"/>
      <c r="B171" s="169">
        <v>45628.0</v>
      </c>
      <c r="C171" s="170">
        <v>7215.12</v>
      </c>
      <c r="D171" s="170">
        <v>7223.52</v>
      </c>
      <c r="E171" s="170">
        <v>7131.12</v>
      </c>
      <c r="F171" s="170">
        <v>7186.12</v>
      </c>
      <c r="G171" s="171" t="s">
        <v>238</v>
      </c>
      <c r="H171" s="172">
        <f t="shared" si="1"/>
        <v>-0.00380565529</v>
      </c>
      <c r="I171" s="172"/>
      <c r="J171" s="172"/>
      <c r="K171" s="188"/>
      <c r="L171" s="140"/>
      <c r="M171" s="140"/>
      <c r="N171" s="176">
        <f>IFERROR(__xludf.DUMMYFUNCTION("""COMPUTED_VALUE"""),45628.64583333333)</f>
        <v>45628.64583</v>
      </c>
      <c r="O171" s="177">
        <f>IFERROR(__xludf.DUMMYFUNCTION("""COMPUTED_VALUE"""),1299.9)</f>
        <v>1299.9</v>
      </c>
      <c r="P171" s="177">
        <f>IFERROR(__xludf.DUMMYFUNCTION("""COMPUTED_VALUE"""),1310.55)</f>
        <v>1310.55</v>
      </c>
      <c r="Q171" s="177">
        <f>IFERROR(__xludf.DUMMYFUNCTION("""COMPUTED_VALUE"""),1289.15)</f>
        <v>1289.15</v>
      </c>
      <c r="R171" s="177">
        <f>IFERROR(__xludf.DUMMYFUNCTION("""COMPUTED_VALUE"""),1304.65)</f>
        <v>1304.65</v>
      </c>
      <c r="S171" s="177">
        <f>IFERROR(__xludf.DUMMYFUNCTION("""COMPUTED_VALUE"""),9626400.0)</f>
        <v>9626400</v>
      </c>
      <c r="T171" s="177">
        <f t="shared" si="2"/>
        <v>0.003493620983</v>
      </c>
      <c r="U171" s="178"/>
      <c r="V171" s="177"/>
      <c r="W171" s="189"/>
      <c r="X171" s="140"/>
      <c r="Y171" s="140"/>
      <c r="Z171" s="176">
        <f>IFERROR(__xludf.DUMMYFUNCTION("""COMPUTED_VALUE"""),45628.64583333333)</f>
        <v>45628.64583</v>
      </c>
      <c r="AA171" s="177">
        <f>IFERROR(__xludf.DUMMYFUNCTION("""COMPUTED_VALUE"""),350.0)</f>
        <v>350</v>
      </c>
      <c r="AB171" s="177">
        <f>IFERROR(__xludf.DUMMYFUNCTION("""COMPUTED_VALUE"""),350.3)</f>
        <v>350.3</v>
      </c>
      <c r="AC171" s="177">
        <f>IFERROR(__xludf.DUMMYFUNCTION("""COMPUTED_VALUE"""),345.6)</f>
        <v>345.6</v>
      </c>
      <c r="AD171" s="177">
        <f>IFERROR(__xludf.DUMMYFUNCTION("""COMPUTED_VALUE"""),346.65)</f>
        <v>346.65</v>
      </c>
      <c r="AE171" s="177">
        <f>IFERROR(__xludf.DUMMYFUNCTION("""COMPUTED_VALUE"""),3309131.0)</f>
        <v>3309131</v>
      </c>
      <c r="AF171" s="177">
        <f t="shared" si="3"/>
        <v>-0.00775865961</v>
      </c>
      <c r="AG171" s="177"/>
      <c r="AH171" s="177"/>
      <c r="AI171" s="189"/>
      <c r="AJ171" s="140"/>
      <c r="AK171" s="140"/>
      <c r="AL171" s="176">
        <f>IFERROR(__xludf.DUMMYFUNCTION("""COMPUTED_VALUE"""),45628.64583333333)</f>
        <v>45628.64583</v>
      </c>
      <c r="AM171" s="177">
        <f>IFERROR(__xludf.DUMMYFUNCTION("""COMPUTED_VALUE"""),4475.0)</f>
        <v>4475</v>
      </c>
      <c r="AN171" s="177">
        <f>IFERROR(__xludf.DUMMYFUNCTION("""COMPUTED_VALUE"""),4526.45)</f>
        <v>4526.45</v>
      </c>
      <c r="AO171" s="177">
        <f>IFERROR(__xludf.DUMMYFUNCTION("""COMPUTED_VALUE"""),4444.0)</f>
        <v>4444</v>
      </c>
      <c r="AP171" s="177">
        <f>IFERROR(__xludf.DUMMYFUNCTION("""COMPUTED_VALUE"""),4504.75)</f>
        <v>4504.75</v>
      </c>
      <c r="AQ171" s="177">
        <f>IFERROR(__xludf.DUMMYFUNCTION("""COMPUTED_VALUE"""),1068673.0)</f>
        <v>1068673</v>
      </c>
      <c r="AR171" s="177">
        <f t="shared" si="4"/>
        <v>0.006212721506</v>
      </c>
      <c r="AS171" s="177"/>
      <c r="AT171" s="177"/>
      <c r="AU171" s="189"/>
      <c r="AV171" s="140"/>
      <c r="AW171" s="140"/>
      <c r="AX171" s="176">
        <f>IFERROR(__xludf.DUMMYFUNCTION("""COMPUTED_VALUE"""),45628.64583333333)</f>
        <v>45628.64583</v>
      </c>
      <c r="AY171" s="177">
        <f>IFERROR(__xludf.DUMMYFUNCTION("""COMPUTED_VALUE"""),476.0)</f>
        <v>476</v>
      </c>
      <c r="AZ171" s="177">
        <f>IFERROR(__xludf.DUMMYFUNCTION("""COMPUTED_VALUE"""),479.3)</f>
        <v>479.3</v>
      </c>
      <c r="BA171" s="177">
        <f>IFERROR(__xludf.DUMMYFUNCTION("""COMPUTED_VALUE"""),473.4)</f>
        <v>473.4</v>
      </c>
      <c r="BB171" s="177">
        <f>IFERROR(__xludf.DUMMYFUNCTION("""COMPUTED_VALUE"""),477.2)</f>
        <v>477.2</v>
      </c>
      <c r="BC171" s="177">
        <f>IFERROR(__xludf.DUMMYFUNCTION("""COMPUTED_VALUE"""),5478598.0)</f>
        <v>5478598</v>
      </c>
      <c r="BD171" s="177">
        <f t="shared" si="5"/>
        <v>0.0009434457432</v>
      </c>
      <c r="BE171" s="177"/>
      <c r="BF171" s="177"/>
      <c r="BG171" s="189"/>
      <c r="BH171" s="140"/>
      <c r="BI171" s="140"/>
      <c r="BJ171" s="140"/>
      <c r="BK171" s="140"/>
      <c r="BL171" s="140"/>
      <c r="BM171" s="140"/>
      <c r="BN171" s="140"/>
      <c r="BO171" s="140"/>
      <c r="BP171" s="140"/>
      <c r="BQ171" s="140"/>
      <c r="BR171" s="140"/>
      <c r="BS171" s="140"/>
      <c r="BT171" s="140"/>
      <c r="BU171" s="140"/>
      <c r="BV171" s="140"/>
      <c r="BW171" s="140"/>
      <c r="BX171" s="140"/>
      <c r="BY171" s="140"/>
    </row>
    <row r="172" ht="15.75" customHeight="1">
      <c r="A172" s="168"/>
      <c r="B172" s="169">
        <v>45629.0</v>
      </c>
      <c r="C172" s="170">
        <v>7190.78</v>
      </c>
      <c r="D172" s="170">
        <v>7231.52</v>
      </c>
      <c r="E172" s="170">
        <v>7179.12</v>
      </c>
      <c r="F172" s="170">
        <v>7195.52</v>
      </c>
      <c r="G172" s="171" t="s">
        <v>238</v>
      </c>
      <c r="H172" s="172">
        <f t="shared" si="1"/>
        <v>0.00130722245</v>
      </c>
      <c r="I172" s="172"/>
      <c r="J172" s="172"/>
      <c r="K172" s="188"/>
      <c r="L172" s="140"/>
      <c r="M172" s="140"/>
      <c r="N172" s="176">
        <f>IFERROR(__xludf.DUMMYFUNCTION("""COMPUTED_VALUE"""),45629.64583333333)</f>
        <v>45629.64583</v>
      </c>
      <c r="O172" s="177">
        <f>IFERROR(__xludf.DUMMYFUNCTION("""COMPUTED_VALUE"""),1303.95)</f>
        <v>1303.95</v>
      </c>
      <c r="P172" s="177">
        <f>IFERROR(__xludf.DUMMYFUNCTION("""COMPUTED_VALUE"""),1312.8)</f>
        <v>1312.8</v>
      </c>
      <c r="Q172" s="177">
        <f>IFERROR(__xludf.DUMMYFUNCTION("""COMPUTED_VALUE"""),1296.1)</f>
        <v>1296.1</v>
      </c>
      <c r="R172" s="177">
        <f>IFERROR(__xludf.DUMMYFUNCTION("""COMPUTED_VALUE"""),1308.4)</f>
        <v>1308.4</v>
      </c>
      <c r="S172" s="177">
        <f>IFERROR(__xludf.DUMMYFUNCTION("""COMPUTED_VALUE"""),1.1509276E7)</f>
        <v>11509276</v>
      </c>
      <c r="T172" s="177">
        <f t="shared" si="2"/>
        <v>0.002870211113</v>
      </c>
      <c r="U172" s="178"/>
      <c r="V172" s="177"/>
      <c r="W172" s="189"/>
      <c r="X172" s="140"/>
      <c r="Y172" s="140"/>
      <c r="Z172" s="176">
        <f>IFERROR(__xludf.DUMMYFUNCTION("""COMPUTED_VALUE"""),45629.64583333333)</f>
        <v>45629.64583</v>
      </c>
      <c r="AA172" s="177">
        <f>IFERROR(__xludf.DUMMYFUNCTION("""COMPUTED_VALUE"""),350.5)</f>
        <v>350.5</v>
      </c>
      <c r="AB172" s="177">
        <f>IFERROR(__xludf.DUMMYFUNCTION("""COMPUTED_VALUE"""),356.8)</f>
        <v>356.8</v>
      </c>
      <c r="AC172" s="177">
        <f>IFERROR(__xludf.DUMMYFUNCTION("""COMPUTED_VALUE"""),345.5)</f>
        <v>345.5</v>
      </c>
      <c r="AD172" s="177">
        <f>IFERROR(__xludf.DUMMYFUNCTION("""COMPUTED_VALUE"""),353.9)</f>
        <v>353.9</v>
      </c>
      <c r="AE172" s="177">
        <f>IFERROR(__xludf.DUMMYFUNCTION("""COMPUTED_VALUE"""),5656362.0)</f>
        <v>5656362</v>
      </c>
      <c r="AF172" s="177">
        <f t="shared" si="3"/>
        <v>0.02069876196</v>
      </c>
      <c r="AG172" s="177"/>
      <c r="AH172" s="177"/>
      <c r="AI172" s="189"/>
      <c r="AJ172" s="140"/>
      <c r="AK172" s="140"/>
      <c r="AL172" s="176">
        <f>IFERROR(__xludf.DUMMYFUNCTION("""COMPUTED_VALUE"""),45629.64583333333)</f>
        <v>45629.64583</v>
      </c>
      <c r="AM172" s="177">
        <f>IFERROR(__xludf.DUMMYFUNCTION("""COMPUTED_VALUE"""),4520.0)</f>
        <v>4520</v>
      </c>
      <c r="AN172" s="177">
        <f>IFERROR(__xludf.DUMMYFUNCTION("""COMPUTED_VALUE"""),4545.0)</f>
        <v>4545</v>
      </c>
      <c r="AO172" s="177">
        <f>IFERROR(__xludf.DUMMYFUNCTION("""COMPUTED_VALUE"""),4481.4)</f>
        <v>4481.4</v>
      </c>
      <c r="AP172" s="177">
        <f>IFERROR(__xludf.DUMMYFUNCTION("""COMPUTED_VALUE"""),4518.85)</f>
        <v>4518.85</v>
      </c>
      <c r="AQ172" s="177">
        <f>IFERROR(__xludf.DUMMYFUNCTION("""COMPUTED_VALUE"""),1089664.0)</f>
        <v>1089664</v>
      </c>
      <c r="AR172" s="177">
        <f t="shared" si="4"/>
        <v>0.003125141069</v>
      </c>
      <c r="AS172" s="177"/>
      <c r="AT172" s="177"/>
      <c r="AU172" s="189"/>
      <c r="AV172" s="140"/>
      <c r="AW172" s="140"/>
      <c r="AX172" s="176">
        <f>IFERROR(__xludf.DUMMYFUNCTION("""COMPUTED_VALUE"""),45629.64583333333)</f>
        <v>45629.64583</v>
      </c>
      <c r="AY172" s="177">
        <f>IFERROR(__xludf.DUMMYFUNCTION("""COMPUTED_VALUE"""),466.0)</f>
        <v>466</v>
      </c>
      <c r="AZ172" s="177">
        <f>IFERROR(__xludf.DUMMYFUNCTION("""COMPUTED_VALUE"""),473.4)</f>
        <v>473.4</v>
      </c>
      <c r="BA172" s="177">
        <f>IFERROR(__xludf.DUMMYFUNCTION("""COMPUTED_VALUE"""),462.75)</f>
        <v>462.75</v>
      </c>
      <c r="BB172" s="177">
        <f>IFERROR(__xludf.DUMMYFUNCTION("""COMPUTED_VALUE"""),472.55)</f>
        <v>472.55</v>
      </c>
      <c r="BC172" s="177">
        <f>IFERROR(__xludf.DUMMYFUNCTION("""COMPUTED_VALUE"""),2.2218251E7)</f>
        <v>22218251</v>
      </c>
      <c r="BD172" s="177">
        <f t="shared" si="5"/>
        <v>-0.009792128783</v>
      </c>
      <c r="BE172" s="177"/>
      <c r="BF172" s="177"/>
      <c r="BG172" s="189"/>
      <c r="BH172" s="140"/>
      <c r="BI172" s="140"/>
      <c r="BJ172" s="140"/>
      <c r="BK172" s="140"/>
      <c r="BL172" s="140"/>
      <c r="BM172" s="140"/>
      <c r="BN172" s="140"/>
      <c r="BO172" s="140"/>
      <c r="BP172" s="140"/>
      <c r="BQ172" s="140"/>
      <c r="BR172" s="140"/>
      <c r="BS172" s="140"/>
      <c r="BT172" s="140"/>
      <c r="BU172" s="140"/>
      <c r="BV172" s="140"/>
      <c r="BW172" s="140"/>
      <c r="BX172" s="140"/>
      <c r="BY172" s="140"/>
    </row>
    <row r="173" ht="15.75" customHeight="1">
      <c r="A173" s="168"/>
      <c r="B173" s="169">
        <v>45630.0</v>
      </c>
      <c r="C173" s="170">
        <v>7196.78</v>
      </c>
      <c r="D173" s="170">
        <v>7235.52</v>
      </c>
      <c r="E173" s="170">
        <v>7173.52</v>
      </c>
      <c r="F173" s="170">
        <v>7214.12</v>
      </c>
      <c r="G173" s="171" t="s">
        <v>238</v>
      </c>
      <c r="H173" s="172">
        <f t="shared" si="1"/>
        <v>0.002581606526</v>
      </c>
      <c r="I173" s="172"/>
      <c r="J173" s="172"/>
      <c r="K173" s="188"/>
      <c r="L173" s="140"/>
      <c r="M173" s="140"/>
      <c r="N173" s="176">
        <f>IFERROR(__xludf.DUMMYFUNCTION("""COMPUTED_VALUE"""),45630.64583333333)</f>
        <v>45630.64583</v>
      </c>
      <c r="O173" s="177">
        <f>IFERROR(__xludf.DUMMYFUNCTION("""COMPUTED_VALUE"""),1302.6)</f>
        <v>1302.6</v>
      </c>
      <c r="P173" s="177">
        <f>IFERROR(__xludf.DUMMYFUNCTION("""COMPUTED_VALUE"""),1320.0)</f>
        <v>1320</v>
      </c>
      <c r="Q173" s="177">
        <f>IFERROR(__xludf.DUMMYFUNCTION("""COMPUTED_VALUE"""),1301.7)</f>
        <v>1301.7</v>
      </c>
      <c r="R173" s="177">
        <f>IFERROR(__xludf.DUMMYFUNCTION("""COMPUTED_VALUE"""),1316.05)</f>
        <v>1316.05</v>
      </c>
      <c r="S173" s="177">
        <f>IFERROR(__xludf.DUMMYFUNCTION("""COMPUTED_VALUE"""),1.1570281E7)</f>
        <v>11570281</v>
      </c>
      <c r="T173" s="177">
        <f t="shared" si="2"/>
        <v>0.00582980942</v>
      </c>
      <c r="U173" s="178"/>
      <c r="V173" s="177"/>
      <c r="W173" s="189"/>
      <c r="X173" s="140"/>
      <c r="Y173" s="140"/>
      <c r="Z173" s="176">
        <f>IFERROR(__xludf.DUMMYFUNCTION("""COMPUTED_VALUE"""),45630.64583333333)</f>
        <v>45630.64583</v>
      </c>
      <c r="AA173" s="177">
        <f>IFERROR(__xludf.DUMMYFUNCTION("""COMPUTED_VALUE"""),354.9)</f>
        <v>354.9</v>
      </c>
      <c r="AB173" s="177">
        <f>IFERROR(__xludf.DUMMYFUNCTION("""COMPUTED_VALUE"""),361.0)</f>
        <v>361</v>
      </c>
      <c r="AC173" s="177">
        <f>IFERROR(__xludf.DUMMYFUNCTION("""COMPUTED_VALUE"""),348.35)</f>
        <v>348.35</v>
      </c>
      <c r="AD173" s="177">
        <f>IFERROR(__xludf.DUMMYFUNCTION("""COMPUTED_VALUE"""),357.2)</f>
        <v>357.2</v>
      </c>
      <c r="AE173" s="177">
        <f>IFERROR(__xludf.DUMMYFUNCTION("""COMPUTED_VALUE"""),7749633.0)</f>
        <v>7749633</v>
      </c>
      <c r="AF173" s="177">
        <f t="shared" si="3"/>
        <v>0.009281461651</v>
      </c>
      <c r="AG173" s="177"/>
      <c r="AH173" s="177"/>
      <c r="AI173" s="189"/>
      <c r="AJ173" s="140"/>
      <c r="AK173" s="140"/>
      <c r="AL173" s="176">
        <f>IFERROR(__xludf.DUMMYFUNCTION("""COMPUTED_VALUE"""),45630.64583333333)</f>
        <v>45630.64583</v>
      </c>
      <c r="AM173" s="177">
        <f>IFERROR(__xludf.DUMMYFUNCTION("""COMPUTED_VALUE"""),4605.85)</f>
        <v>4605.85</v>
      </c>
      <c r="AN173" s="177">
        <f>IFERROR(__xludf.DUMMYFUNCTION("""COMPUTED_VALUE"""),4627.0)</f>
        <v>4627</v>
      </c>
      <c r="AO173" s="177">
        <f>IFERROR(__xludf.DUMMYFUNCTION("""COMPUTED_VALUE"""),4490.0)</f>
        <v>4490</v>
      </c>
      <c r="AP173" s="177">
        <f>IFERROR(__xludf.DUMMYFUNCTION("""COMPUTED_VALUE"""),4521.35)</f>
        <v>4521.35</v>
      </c>
      <c r="AQ173" s="177">
        <f>IFERROR(__xludf.DUMMYFUNCTION("""COMPUTED_VALUE"""),2420334.0)</f>
        <v>2420334</v>
      </c>
      <c r="AR173" s="177">
        <f t="shared" si="4"/>
        <v>0.0005530851228</v>
      </c>
      <c r="AS173" s="177"/>
      <c r="AT173" s="177"/>
      <c r="AU173" s="189"/>
      <c r="AV173" s="140"/>
      <c r="AW173" s="140"/>
      <c r="AX173" s="176">
        <f>IFERROR(__xludf.DUMMYFUNCTION("""COMPUTED_VALUE"""),45630.64583333333)</f>
        <v>45630.64583</v>
      </c>
      <c r="AY173" s="177">
        <f>IFERROR(__xludf.DUMMYFUNCTION("""COMPUTED_VALUE"""),474.4)</f>
        <v>474.4</v>
      </c>
      <c r="AZ173" s="177">
        <f>IFERROR(__xludf.DUMMYFUNCTION("""COMPUTED_VALUE"""),478.2)</f>
        <v>478.2</v>
      </c>
      <c r="BA173" s="177">
        <f>IFERROR(__xludf.DUMMYFUNCTION("""COMPUTED_VALUE"""),466.4)</f>
        <v>466.4</v>
      </c>
      <c r="BB173" s="177">
        <f>IFERROR(__xludf.DUMMYFUNCTION("""COMPUTED_VALUE"""),467.1)</f>
        <v>467.1</v>
      </c>
      <c r="BC173" s="177">
        <f>IFERROR(__xludf.DUMMYFUNCTION("""COMPUTED_VALUE"""),1.3439484E7)</f>
        <v>13439484</v>
      </c>
      <c r="BD173" s="177">
        <f t="shared" si="5"/>
        <v>-0.01160019393</v>
      </c>
      <c r="BE173" s="177"/>
      <c r="BF173" s="177"/>
      <c r="BG173" s="189"/>
      <c r="BH173" s="140"/>
      <c r="BI173" s="140"/>
      <c r="BJ173" s="140"/>
      <c r="BK173" s="140"/>
      <c r="BL173" s="140"/>
      <c r="BM173" s="140"/>
      <c r="BN173" s="140"/>
      <c r="BO173" s="140"/>
      <c r="BP173" s="140"/>
      <c r="BQ173" s="140"/>
      <c r="BR173" s="140"/>
      <c r="BS173" s="140"/>
      <c r="BT173" s="140"/>
      <c r="BU173" s="140"/>
      <c r="BV173" s="140"/>
      <c r="BW173" s="140"/>
      <c r="BX173" s="140"/>
      <c r="BY173" s="140"/>
    </row>
    <row r="174" ht="15.75" customHeight="1">
      <c r="A174" s="168"/>
      <c r="B174" s="169">
        <v>45631.0</v>
      </c>
      <c r="C174" s="170">
        <v>7217.12</v>
      </c>
      <c r="D174" s="170">
        <v>7233.52</v>
      </c>
      <c r="E174" s="170">
        <v>7145.52</v>
      </c>
      <c r="F174" s="170">
        <v>7163.12</v>
      </c>
      <c r="G174" s="171" t="s">
        <v>238</v>
      </c>
      <c r="H174" s="172">
        <f t="shared" si="1"/>
        <v>-0.007094576416</v>
      </c>
      <c r="I174" s="172"/>
      <c r="J174" s="172"/>
      <c r="K174" s="188"/>
      <c r="L174" s="140"/>
      <c r="M174" s="140"/>
      <c r="N174" s="176">
        <f>IFERROR(__xludf.DUMMYFUNCTION("""COMPUTED_VALUE"""),45631.64583333333)</f>
        <v>45631.64583</v>
      </c>
      <c r="O174" s="177">
        <f>IFERROR(__xludf.DUMMYFUNCTION("""COMPUTED_VALUE"""),1316.25)</f>
        <v>1316.25</v>
      </c>
      <c r="P174" s="177">
        <f>IFERROR(__xludf.DUMMYFUNCTION("""COMPUTED_VALUE"""),1342.9)</f>
        <v>1342.9</v>
      </c>
      <c r="Q174" s="177">
        <f>IFERROR(__xludf.DUMMYFUNCTION("""COMPUTED_VALUE"""),1308.6)</f>
        <v>1308.6</v>
      </c>
      <c r="R174" s="177">
        <f>IFERROR(__xludf.DUMMYFUNCTION("""COMPUTED_VALUE"""),1336.5)</f>
        <v>1336.5</v>
      </c>
      <c r="S174" s="177">
        <f>IFERROR(__xludf.DUMMYFUNCTION("""COMPUTED_VALUE"""),1.9210697E7)</f>
        <v>19210697</v>
      </c>
      <c r="T174" s="177">
        <f t="shared" si="2"/>
        <v>0.01541943049</v>
      </c>
      <c r="U174" s="178"/>
      <c r="V174" s="177"/>
      <c r="W174" s="189"/>
      <c r="X174" s="140"/>
      <c r="Y174" s="140"/>
      <c r="Z174" s="176">
        <f>IFERROR(__xludf.DUMMYFUNCTION("""COMPUTED_VALUE"""),45631.64583333333)</f>
        <v>45631.64583</v>
      </c>
      <c r="AA174" s="177">
        <f>IFERROR(__xludf.DUMMYFUNCTION("""COMPUTED_VALUE"""),375.0)</f>
        <v>375</v>
      </c>
      <c r="AB174" s="177">
        <f>IFERROR(__xludf.DUMMYFUNCTION("""COMPUTED_VALUE"""),375.0)</f>
        <v>375</v>
      </c>
      <c r="AC174" s="177">
        <f>IFERROR(__xludf.DUMMYFUNCTION("""COMPUTED_VALUE"""),360.0)</f>
        <v>360</v>
      </c>
      <c r="AD174" s="177">
        <f>IFERROR(__xludf.DUMMYFUNCTION("""COMPUTED_VALUE"""),363.55)</f>
        <v>363.55</v>
      </c>
      <c r="AE174" s="177">
        <f>IFERROR(__xludf.DUMMYFUNCTION("""COMPUTED_VALUE"""),4.884819E7)</f>
        <v>48848190</v>
      </c>
      <c r="AF174" s="177">
        <f t="shared" si="3"/>
        <v>0.01762099009</v>
      </c>
      <c r="AG174" s="177"/>
      <c r="AH174" s="177"/>
      <c r="AI174" s="189"/>
      <c r="AJ174" s="140"/>
      <c r="AK174" s="140"/>
      <c r="AL174" s="176">
        <f>IFERROR(__xludf.DUMMYFUNCTION("""COMPUTED_VALUE"""),45631.64583333333)</f>
        <v>45631.64583</v>
      </c>
      <c r="AM174" s="177">
        <f>IFERROR(__xludf.DUMMYFUNCTION("""COMPUTED_VALUE"""),4540.0)</f>
        <v>4540</v>
      </c>
      <c r="AN174" s="177">
        <f>IFERROR(__xludf.DUMMYFUNCTION("""COMPUTED_VALUE"""),4577.0)</f>
        <v>4577</v>
      </c>
      <c r="AO174" s="177">
        <f>IFERROR(__xludf.DUMMYFUNCTION("""COMPUTED_VALUE"""),4513.25)</f>
        <v>4513.25</v>
      </c>
      <c r="AP174" s="177">
        <f>IFERROR(__xludf.DUMMYFUNCTION("""COMPUTED_VALUE"""),4568.85)</f>
        <v>4568.85</v>
      </c>
      <c r="AQ174" s="177">
        <f>IFERROR(__xludf.DUMMYFUNCTION("""COMPUTED_VALUE"""),1129143.0)</f>
        <v>1129143</v>
      </c>
      <c r="AR174" s="177">
        <f t="shared" si="4"/>
        <v>0.01045091028</v>
      </c>
      <c r="AS174" s="177"/>
      <c r="AT174" s="177"/>
      <c r="AU174" s="189"/>
      <c r="AV174" s="140"/>
      <c r="AW174" s="140"/>
      <c r="AX174" s="176">
        <f>IFERROR(__xludf.DUMMYFUNCTION("""COMPUTED_VALUE"""),45631.64583333333)</f>
        <v>45631.64583</v>
      </c>
      <c r="AY174" s="177">
        <f>IFERROR(__xludf.DUMMYFUNCTION("""COMPUTED_VALUE"""),467.55)</f>
        <v>467.55</v>
      </c>
      <c r="AZ174" s="177">
        <f>IFERROR(__xludf.DUMMYFUNCTION("""COMPUTED_VALUE"""),472.75)</f>
        <v>472.75</v>
      </c>
      <c r="BA174" s="177">
        <f>IFERROR(__xludf.DUMMYFUNCTION("""COMPUTED_VALUE"""),462.5)</f>
        <v>462.5</v>
      </c>
      <c r="BB174" s="177">
        <f>IFERROR(__xludf.DUMMYFUNCTION("""COMPUTED_VALUE"""),467.5)</f>
        <v>467.5</v>
      </c>
      <c r="BC174" s="177">
        <f>IFERROR(__xludf.DUMMYFUNCTION("""COMPUTED_VALUE"""),2.6415053E7)</f>
        <v>26415053</v>
      </c>
      <c r="BD174" s="177">
        <f t="shared" si="5"/>
        <v>0.0008559812207</v>
      </c>
      <c r="BE174" s="177"/>
      <c r="BF174" s="177"/>
      <c r="BG174" s="189"/>
      <c r="BH174" s="140"/>
      <c r="BI174" s="140"/>
      <c r="BJ174" s="140"/>
      <c r="BK174" s="140"/>
      <c r="BL174" s="140"/>
      <c r="BM174" s="140"/>
      <c r="BN174" s="140"/>
      <c r="BO174" s="140"/>
      <c r="BP174" s="140"/>
      <c r="BQ174" s="140"/>
      <c r="BR174" s="140"/>
      <c r="BS174" s="140"/>
      <c r="BT174" s="140"/>
      <c r="BU174" s="140"/>
      <c r="BV174" s="140"/>
      <c r="BW174" s="140"/>
      <c r="BX174" s="140"/>
      <c r="BY174" s="140"/>
    </row>
    <row r="175" ht="15.75" customHeight="1">
      <c r="A175" s="168"/>
      <c r="B175" s="169">
        <v>45632.0</v>
      </c>
      <c r="C175" s="170">
        <v>7168.12</v>
      </c>
      <c r="D175" s="170">
        <v>7203.52</v>
      </c>
      <c r="E175" s="170">
        <v>7117.12</v>
      </c>
      <c r="F175" s="170">
        <v>7167.12</v>
      </c>
      <c r="G175" s="171" t="s">
        <v>238</v>
      </c>
      <c r="H175" s="172">
        <f t="shared" si="1"/>
        <v>0.0005582600297</v>
      </c>
      <c r="I175" s="172"/>
      <c r="J175" s="172"/>
      <c r="K175" s="188"/>
      <c r="L175" s="140"/>
      <c r="M175" s="140"/>
      <c r="N175" s="176">
        <f>IFERROR(__xludf.DUMMYFUNCTION("""COMPUTED_VALUE"""),45632.64583333333)</f>
        <v>45632.64583</v>
      </c>
      <c r="O175" s="177">
        <f>IFERROR(__xludf.DUMMYFUNCTION("""COMPUTED_VALUE"""),1342.5)</f>
        <v>1342.5</v>
      </c>
      <c r="P175" s="177">
        <f>IFERROR(__xludf.DUMMYFUNCTION("""COMPUTED_VALUE"""),1347.1)</f>
        <v>1347.1</v>
      </c>
      <c r="Q175" s="177">
        <f>IFERROR(__xludf.DUMMYFUNCTION("""COMPUTED_VALUE"""),1326.7)</f>
        <v>1326.7</v>
      </c>
      <c r="R175" s="177">
        <f>IFERROR(__xludf.DUMMYFUNCTION("""COMPUTED_VALUE"""),1328.75)</f>
        <v>1328.75</v>
      </c>
      <c r="S175" s="177">
        <f>IFERROR(__xludf.DUMMYFUNCTION("""COMPUTED_VALUE"""),8942672.0)</f>
        <v>8942672</v>
      </c>
      <c r="T175" s="177">
        <f t="shared" si="2"/>
        <v>-0.005815605923</v>
      </c>
      <c r="U175" s="178"/>
      <c r="V175" s="177"/>
      <c r="W175" s="189"/>
      <c r="X175" s="140"/>
      <c r="Y175" s="140"/>
      <c r="Z175" s="176">
        <f>IFERROR(__xludf.DUMMYFUNCTION("""COMPUTED_VALUE"""),45632.64583333333)</f>
        <v>45632.64583</v>
      </c>
      <c r="AA175" s="177">
        <f>IFERROR(__xludf.DUMMYFUNCTION("""COMPUTED_VALUE"""),368.0)</f>
        <v>368</v>
      </c>
      <c r="AB175" s="177">
        <f>IFERROR(__xludf.DUMMYFUNCTION("""COMPUTED_VALUE"""),373.25)</f>
        <v>373.25</v>
      </c>
      <c r="AC175" s="177">
        <f>IFERROR(__xludf.DUMMYFUNCTION("""COMPUTED_VALUE"""),363.0)</f>
        <v>363</v>
      </c>
      <c r="AD175" s="177">
        <f>IFERROR(__xludf.DUMMYFUNCTION("""COMPUTED_VALUE"""),364.65)</f>
        <v>364.65</v>
      </c>
      <c r="AE175" s="177">
        <f>IFERROR(__xludf.DUMMYFUNCTION("""COMPUTED_VALUE"""),1.6816288E7)</f>
        <v>16816288</v>
      </c>
      <c r="AF175" s="177">
        <f t="shared" si="3"/>
        <v>0.003021150334</v>
      </c>
      <c r="AG175" s="177"/>
      <c r="AH175" s="177"/>
      <c r="AI175" s="189"/>
      <c r="AJ175" s="140"/>
      <c r="AK175" s="140"/>
      <c r="AL175" s="176">
        <f>IFERROR(__xludf.DUMMYFUNCTION("""COMPUTED_VALUE"""),45632.64583333333)</f>
        <v>45632.64583</v>
      </c>
      <c r="AM175" s="177">
        <f>IFERROR(__xludf.DUMMYFUNCTION("""COMPUTED_VALUE"""),4584.4)</f>
        <v>4584.4</v>
      </c>
      <c r="AN175" s="177">
        <f>IFERROR(__xludf.DUMMYFUNCTION("""COMPUTED_VALUE"""),4611.1)</f>
        <v>4611.1</v>
      </c>
      <c r="AO175" s="177">
        <f>IFERROR(__xludf.DUMMYFUNCTION("""COMPUTED_VALUE"""),4550.0)</f>
        <v>4550</v>
      </c>
      <c r="AP175" s="177">
        <f>IFERROR(__xludf.DUMMYFUNCTION("""COMPUTED_VALUE"""),4559.65)</f>
        <v>4559.65</v>
      </c>
      <c r="AQ175" s="177">
        <f>IFERROR(__xludf.DUMMYFUNCTION("""COMPUTED_VALUE"""),912032.0)</f>
        <v>912032</v>
      </c>
      <c r="AR175" s="177">
        <f t="shared" si="4"/>
        <v>-0.002015665907</v>
      </c>
      <c r="AS175" s="177"/>
      <c r="AT175" s="177"/>
      <c r="AU175" s="189"/>
      <c r="AV175" s="140"/>
      <c r="AW175" s="140"/>
      <c r="AX175" s="176">
        <f>IFERROR(__xludf.DUMMYFUNCTION("""COMPUTED_VALUE"""),45632.64583333333)</f>
        <v>45632.64583</v>
      </c>
      <c r="AY175" s="177">
        <f>IFERROR(__xludf.DUMMYFUNCTION("""COMPUTED_VALUE"""),470.0)</f>
        <v>470</v>
      </c>
      <c r="AZ175" s="177">
        <f>IFERROR(__xludf.DUMMYFUNCTION("""COMPUTED_VALUE"""),474.95)</f>
        <v>474.95</v>
      </c>
      <c r="BA175" s="177">
        <f>IFERROR(__xludf.DUMMYFUNCTION("""COMPUTED_VALUE"""),467.7)</f>
        <v>467.7</v>
      </c>
      <c r="BB175" s="177">
        <f>IFERROR(__xludf.DUMMYFUNCTION("""COMPUTED_VALUE"""),471.15)</f>
        <v>471.15</v>
      </c>
      <c r="BC175" s="177">
        <f>IFERROR(__xludf.DUMMYFUNCTION("""COMPUTED_VALUE"""),7551407.0)</f>
        <v>7551407</v>
      </c>
      <c r="BD175" s="177">
        <f t="shared" si="5"/>
        <v>0.007777165924</v>
      </c>
      <c r="BE175" s="177"/>
      <c r="BF175" s="177"/>
      <c r="BG175" s="189"/>
      <c r="BH175" s="140"/>
      <c r="BI175" s="140"/>
      <c r="BJ175" s="140"/>
      <c r="BK175" s="140"/>
      <c r="BL175" s="140"/>
      <c r="BM175" s="140"/>
      <c r="BN175" s="140"/>
      <c r="BO175" s="140"/>
      <c r="BP175" s="140"/>
      <c r="BQ175" s="140"/>
      <c r="BR175" s="140"/>
      <c r="BS175" s="140"/>
      <c r="BT175" s="140"/>
      <c r="BU175" s="140"/>
      <c r="BV175" s="140"/>
      <c r="BW175" s="140"/>
      <c r="BX175" s="140"/>
      <c r="BY175" s="140"/>
    </row>
    <row r="176" ht="15.75" customHeight="1">
      <c r="A176" s="168"/>
      <c r="B176" s="169">
        <v>45635.0</v>
      </c>
      <c r="C176" s="170">
        <v>7175.12</v>
      </c>
      <c r="D176" s="170">
        <v>7302.12</v>
      </c>
      <c r="E176" s="170">
        <v>7154.12</v>
      </c>
      <c r="F176" s="170">
        <v>7252.12</v>
      </c>
      <c r="G176" s="171" t="s">
        <v>238</v>
      </c>
      <c r="H176" s="172">
        <f t="shared" si="1"/>
        <v>0.01178993964</v>
      </c>
      <c r="I176" s="172"/>
      <c r="J176" s="172"/>
      <c r="K176" s="188"/>
      <c r="L176" s="140"/>
      <c r="M176" s="140"/>
      <c r="N176" s="176">
        <f>IFERROR(__xludf.DUMMYFUNCTION("""COMPUTED_VALUE"""),45635.64583333333)</f>
        <v>45635.64583</v>
      </c>
      <c r="O176" s="177">
        <f>IFERROR(__xludf.DUMMYFUNCTION("""COMPUTED_VALUE"""),1322.1)</f>
        <v>1322.1</v>
      </c>
      <c r="P176" s="177">
        <f>IFERROR(__xludf.DUMMYFUNCTION("""COMPUTED_VALUE"""),1329.05)</f>
        <v>1329.05</v>
      </c>
      <c r="Q176" s="177">
        <f>IFERROR(__xludf.DUMMYFUNCTION("""COMPUTED_VALUE"""),1320.25)</f>
        <v>1320.25</v>
      </c>
      <c r="R176" s="177">
        <f>IFERROR(__xludf.DUMMYFUNCTION("""COMPUTED_VALUE"""),1322.3)</f>
        <v>1322.3</v>
      </c>
      <c r="S176" s="177">
        <f>IFERROR(__xludf.DUMMYFUNCTION("""COMPUTED_VALUE"""),8000764.0)</f>
        <v>8000764</v>
      </c>
      <c r="T176" s="177">
        <f t="shared" si="2"/>
        <v>-0.004866006093</v>
      </c>
      <c r="U176" s="178"/>
      <c r="V176" s="177"/>
      <c r="W176" s="189"/>
      <c r="X176" s="140"/>
      <c r="Y176" s="140"/>
      <c r="Z176" s="176">
        <f>IFERROR(__xludf.DUMMYFUNCTION("""COMPUTED_VALUE"""),45635.64583333333)</f>
        <v>45635.64583</v>
      </c>
      <c r="AA176" s="177">
        <f>IFERROR(__xludf.DUMMYFUNCTION("""COMPUTED_VALUE"""),364.75)</f>
        <v>364.75</v>
      </c>
      <c r="AB176" s="177">
        <f>IFERROR(__xludf.DUMMYFUNCTION("""COMPUTED_VALUE"""),366.8)</f>
        <v>366.8</v>
      </c>
      <c r="AC176" s="177">
        <f>IFERROR(__xludf.DUMMYFUNCTION("""COMPUTED_VALUE"""),358.95)</f>
        <v>358.95</v>
      </c>
      <c r="AD176" s="177">
        <f>IFERROR(__xludf.DUMMYFUNCTION("""COMPUTED_VALUE"""),362.15)</f>
        <v>362.15</v>
      </c>
      <c r="AE176" s="177">
        <f>IFERROR(__xludf.DUMMYFUNCTION("""COMPUTED_VALUE"""),1.4327412E7)</f>
        <v>14327412</v>
      </c>
      <c r="AF176" s="177">
        <f t="shared" si="3"/>
        <v>-0.006879498789</v>
      </c>
      <c r="AG176" s="177"/>
      <c r="AH176" s="177"/>
      <c r="AI176" s="189"/>
      <c r="AJ176" s="140"/>
      <c r="AK176" s="140"/>
      <c r="AL176" s="176">
        <f>IFERROR(__xludf.DUMMYFUNCTION("""COMPUTED_VALUE"""),45635.64583333333)</f>
        <v>45635.64583</v>
      </c>
      <c r="AM176" s="177">
        <f>IFERROR(__xludf.DUMMYFUNCTION("""COMPUTED_VALUE"""),4561.0)</f>
        <v>4561</v>
      </c>
      <c r="AN176" s="177">
        <f>IFERROR(__xludf.DUMMYFUNCTION("""COMPUTED_VALUE"""),4646.95)</f>
        <v>4646.95</v>
      </c>
      <c r="AO176" s="177">
        <f>IFERROR(__xludf.DUMMYFUNCTION("""COMPUTED_VALUE"""),4551.0)</f>
        <v>4551</v>
      </c>
      <c r="AP176" s="177">
        <f>IFERROR(__xludf.DUMMYFUNCTION("""COMPUTED_VALUE"""),4618.95)</f>
        <v>4618.95</v>
      </c>
      <c r="AQ176" s="177">
        <f>IFERROR(__xludf.DUMMYFUNCTION("""COMPUTED_VALUE"""),1524379.0)</f>
        <v>1524379</v>
      </c>
      <c r="AR176" s="177">
        <f t="shared" si="4"/>
        <v>0.01292154034</v>
      </c>
      <c r="AS176" s="177"/>
      <c r="AT176" s="177"/>
      <c r="AU176" s="189"/>
      <c r="AV176" s="140"/>
      <c r="AW176" s="140"/>
      <c r="AX176" s="176">
        <f>IFERROR(__xludf.DUMMYFUNCTION("""COMPUTED_VALUE"""),45635.64583333333)</f>
        <v>45635.64583</v>
      </c>
      <c r="AY176" s="177">
        <f>IFERROR(__xludf.DUMMYFUNCTION("""COMPUTED_VALUE"""),471.5)</f>
        <v>471.5</v>
      </c>
      <c r="AZ176" s="177">
        <f>IFERROR(__xludf.DUMMYFUNCTION("""COMPUTED_VALUE"""),472.0)</f>
        <v>472</v>
      </c>
      <c r="BA176" s="177">
        <f>IFERROR(__xludf.DUMMYFUNCTION("""COMPUTED_VALUE"""),462.95)</f>
        <v>462.95</v>
      </c>
      <c r="BB176" s="177">
        <f>IFERROR(__xludf.DUMMYFUNCTION("""COMPUTED_VALUE"""),464.95)</f>
        <v>464.95</v>
      </c>
      <c r="BC176" s="177">
        <f>IFERROR(__xludf.DUMMYFUNCTION("""COMPUTED_VALUE"""),1.1703384E7)</f>
        <v>11703384</v>
      </c>
      <c r="BD176" s="177">
        <f t="shared" si="5"/>
        <v>-0.01324664173</v>
      </c>
      <c r="BE176" s="177"/>
      <c r="BF176" s="177"/>
      <c r="BG176" s="189"/>
      <c r="BH176" s="140"/>
      <c r="BI176" s="140"/>
      <c r="BJ176" s="140"/>
      <c r="BK176" s="140"/>
      <c r="BL176" s="140"/>
      <c r="BM176" s="140"/>
      <c r="BN176" s="140"/>
      <c r="BO176" s="140"/>
      <c r="BP176" s="140"/>
      <c r="BQ176" s="140"/>
      <c r="BR176" s="140"/>
      <c r="BS176" s="140"/>
      <c r="BT176" s="140"/>
      <c r="BU176" s="140"/>
      <c r="BV176" s="140"/>
      <c r="BW176" s="140"/>
      <c r="BX176" s="140"/>
      <c r="BY176" s="140"/>
    </row>
    <row r="177" ht="15.75" customHeight="1">
      <c r="A177" s="168"/>
      <c r="B177" s="169">
        <v>45636.0</v>
      </c>
      <c r="C177" s="170">
        <v>7258.12</v>
      </c>
      <c r="D177" s="170">
        <v>7356.12</v>
      </c>
      <c r="E177" s="170">
        <v>7249.12</v>
      </c>
      <c r="F177" s="170">
        <v>7346.78</v>
      </c>
      <c r="G177" s="171" t="s">
        <v>238</v>
      </c>
      <c r="H177" s="172">
        <f t="shared" si="1"/>
        <v>0.01296828208</v>
      </c>
      <c r="I177" s="172"/>
      <c r="J177" s="172"/>
      <c r="K177" s="188"/>
      <c r="L177" s="140"/>
      <c r="M177" s="140"/>
      <c r="N177" s="176">
        <f>IFERROR(__xludf.DUMMYFUNCTION("""COMPUTED_VALUE"""),45636.64583333333)</f>
        <v>45636.64583</v>
      </c>
      <c r="O177" s="177">
        <f>IFERROR(__xludf.DUMMYFUNCTION("""COMPUTED_VALUE"""),1319.0)</f>
        <v>1319</v>
      </c>
      <c r="P177" s="177">
        <f>IFERROR(__xludf.DUMMYFUNCTION("""COMPUTED_VALUE"""),1332.0)</f>
        <v>1332</v>
      </c>
      <c r="Q177" s="177">
        <f>IFERROR(__xludf.DUMMYFUNCTION("""COMPUTED_VALUE"""),1315.25)</f>
        <v>1315.25</v>
      </c>
      <c r="R177" s="177">
        <f>IFERROR(__xludf.DUMMYFUNCTION("""COMPUTED_VALUE"""),1330.45)</f>
        <v>1330.45</v>
      </c>
      <c r="S177" s="177">
        <f>IFERROR(__xludf.DUMMYFUNCTION("""COMPUTED_VALUE"""),8218214.0)</f>
        <v>8218214</v>
      </c>
      <c r="T177" s="177">
        <f t="shared" si="2"/>
        <v>0.006144586292</v>
      </c>
      <c r="U177" s="178"/>
      <c r="V177" s="177"/>
      <c r="W177" s="189"/>
      <c r="X177" s="140"/>
      <c r="Y177" s="140"/>
      <c r="Z177" s="176">
        <f>IFERROR(__xludf.DUMMYFUNCTION("""COMPUTED_VALUE"""),45636.64583333333)</f>
        <v>45636.64583</v>
      </c>
      <c r="AA177" s="177">
        <f>IFERROR(__xludf.DUMMYFUNCTION("""COMPUTED_VALUE"""),362.45)</f>
        <v>362.45</v>
      </c>
      <c r="AB177" s="177">
        <f>IFERROR(__xludf.DUMMYFUNCTION("""COMPUTED_VALUE"""),362.75)</f>
        <v>362.75</v>
      </c>
      <c r="AC177" s="177">
        <f>IFERROR(__xludf.DUMMYFUNCTION("""COMPUTED_VALUE"""),355.0)</f>
        <v>355</v>
      </c>
      <c r="AD177" s="177">
        <f>IFERROR(__xludf.DUMMYFUNCTION("""COMPUTED_VALUE"""),360.05)</f>
        <v>360.05</v>
      </c>
      <c r="AE177" s="177">
        <f>IFERROR(__xludf.DUMMYFUNCTION("""COMPUTED_VALUE"""),9563283.0)</f>
        <v>9563283</v>
      </c>
      <c r="AF177" s="177">
        <f t="shared" si="3"/>
        <v>-0.005815579946</v>
      </c>
      <c r="AG177" s="177"/>
      <c r="AH177" s="177"/>
      <c r="AI177" s="189"/>
      <c r="AJ177" s="140"/>
      <c r="AK177" s="140"/>
      <c r="AL177" s="176">
        <f>IFERROR(__xludf.DUMMYFUNCTION("""COMPUTED_VALUE"""),45636.64583333333)</f>
        <v>45636.64583</v>
      </c>
      <c r="AM177" s="177">
        <f>IFERROR(__xludf.DUMMYFUNCTION("""COMPUTED_VALUE"""),4627.0)</f>
        <v>4627</v>
      </c>
      <c r="AN177" s="177">
        <f>IFERROR(__xludf.DUMMYFUNCTION("""COMPUTED_VALUE"""),4649.9)</f>
        <v>4649.9</v>
      </c>
      <c r="AO177" s="177">
        <f>IFERROR(__xludf.DUMMYFUNCTION("""COMPUTED_VALUE"""),4601.0)</f>
        <v>4601</v>
      </c>
      <c r="AP177" s="177">
        <f>IFERROR(__xludf.DUMMYFUNCTION("""COMPUTED_VALUE"""),4627.7)</f>
        <v>4627.7</v>
      </c>
      <c r="AQ177" s="177">
        <f>IFERROR(__xludf.DUMMYFUNCTION("""COMPUTED_VALUE"""),1313990.0)</f>
        <v>1313990</v>
      </c>
      <c r="AR177" s="177">
        <f t="shared" si="4"/>
        <v>0.001892577877</v>
      </c>
      <c r="AS177" s="177"/>
      <c r="AT177" s="177"/>
      <c r="AU177" s="189"/>
      <c r="AV177" s="140"/>
      <c r="AW177" s="140"/>
      <c r="AX177" s="176">
        <f>IFERROR(__xludf.DUMMYFUNCTION("""COMPUTED_VALUE"""),45636.64583333333)</f>
        <v>45636.64583</v>
      </c>
      <c r="AY177" s="177">
        <f>IFERROR(__xludf.DUMMYFUNCTION("""COMPUTED_VALUE"""),465.35)</f>
        <v>465.35</v>
      </c>
      <c r="AZ177" s="177">
        <f>IFERROR(__xludf.DUMMYFUNCTION("""COMPUTED_VALUE"""),466.45)</f>
        <v>466.45</v>
      </c>
      <c r="BA177" s="177">
        <f>IFERROR(__xludf.DUMMYFUNCTION("""COMPUTED_VALUE"""),462.6)</f>
        <v>462.6</v>
      </c>
      <c r="BB177" s="177">
        <f>IFERROR(__xludf.DUMMYFUNCTION("""COMPUTED_VALUE"""),465.45)</f>
        <v>465.45</v>
      </c>
      <c r="BC177" s="177">
        <f>IFERROR(__xludf.DUMMYFUNCTION("""COMPUTED_VALUE"""),8823805.0)</f>
        <v>8823805</v>
      </c>
      <c r="BD177" s="177">
        <f t="shared" si="5"/>
        <v>0.001074806638</v>
      </c>
      <c r="BE177" s="177"/>
      <c r="BF177" s="177"/>
      <c r="BG177" s="189"/>
      <c r="BH177" s="140"/>
      <c r="BI177" s="140"/>
      <c r="BJ177" s="140"/>
      <c r="BK177" s="140"/>
      <c r="BL177" s="140"/>
      <c r="BM177" s="140"/>
      <c r="BN177" s="140"/>
      <c r="BO177" s="140"/>
      <c r="BP177" s="140"/>
      <c r="BQ177" s="140"/>
      <c r="BR177" s="140"/>
      <c r="BS177" s="140"/>
      <c r="BT177" s="140"/>
      <c r="BU177" s="140"/>
      <c r="BV177" s="140"/>
      <c r="BW177" s="140"/>
      <c r="BX177" s="140"/>
      <c r="BY177" s="140"/>
    </row>
    <row r="178" ht="15.75" customHeight="1">
      <c r="A178" s="168"/>
      <c r="B178" s="169">
        <v>45637.0</v>
      </c>
      <c r="C178" s="170">
        <v>7351.12</v>
      </c>
      <c r="D178" s="170">
        <v>7421.12</v>
      </c>
      <c r="E178" s="170">
        <v>7297.12</v>
      </c>
      <c r="F178" s="170">
        <v>7404.78</v>
      </c>
      <c r="G178" s="171" t="s">
        <v>238</v>
      </c>
      <c r="H178" s="172">
        <f t="shared" si="1"/>
        <v>0.007863615628</v>
      </c>
      <c r="I178" s="172"/>
      <c r="J178" s="172"/>
      <c r="K178" s="188"/>
      <c r="L178" s="140"/>
      <c r="M178" s="140"/>
      <c r="N178" s="176">
        <f>IFERROR(__xludf.DUMMYFUNCTION("""COMPUTED_VALUE"""),45637.64583333333)</f>
        <v>45637.64583</v>
      </c>
      <c r="O178" s="177">
        <f>IFERROR(__xludf.DUMMYFUNCTION("""COMPUTED_VALUE"""),1324.7)</f>
        <v>1324.7</v>
      </c>
      <c r="P178" s="177">
        <f>IFERROR(__xludf.DUMMYFUNCTION("""COMPUTED_VALUE"""),1331.25)</f>
        <v>1331.25</v>
      </c>
      <c r="Q178" s="177">
        <f>IFERROR(__xludf.DUMMYFUNCTION("""COMPUTED_VALUE"""),1316.0)</f>
        <v>1316</v>
      </c>
      <c r="R178" s="177">
        <f>IFERROR(__xludf.DUMMYFUNCTION("""COMPUTED_VALUE"""),1327.5)</f>
        <v>1327.5</v>
      </c>
      <c r="S178" s="177">
        <f>IFERROR(__xludf.DUMMYFUNCTION("""COMPUTED_VALUE"""),8138066.0)</f>
        <v>8138066</v>
      </c>
      <c r="T178" s="177">
        <f t="shared" si="2"/>
        <v>-0.002219756738</v>
      </c>
      <c r="U178" s="178"/>
      <c r="V178" s="177"/>
      <c r="W178" s="189"/>
      <c r="X178" s="140"/>
      <c r="Y178" s="140"/>
      <c r="Z178" s="176">
        <f>IFERROR(__xludf.DUMMYFUNCTION("""COMPUTED_VALUE"""),45637.64583333333)</f>
        <v>45637.64583</v>
      </c>
      <c r="AA178" s="177">
        <f>IFERROR(__xludf.DUMMYFUNCTION("""COMPUTED_VALUE"""),360.0)</f>
        <v>360</v>
      </c>
      <c r="AB178" s="177">
        <f>IFERROR(__xludf.DUMMYFUNCTION("""COMPUTED_VALUE"""),362.75)</f>
        <v>362.75</v>
      </c>
      <c r="AC178" s="177">
        <f>IFERROR(__xludf.DUMMYFUNCTION("""COMPUTED_VALUE"""),358.2)</f>
        <v>358.2</v>
      </c>
      <c r="AD178" s="177">
        <f>IFERROR(__xludf.DUMMYFUNCTION("""COMPUTED_VALUE"""),359.6)</f>
        <v>359.6</v>
      </c>
      <c r="AE178" s="177">
        <f>IFERROR(__xludf.DUMMYFUNCTION("""COMPUTED_VALUE"""),5852606.0)</f>
        <v>5852606</v>
      </c>
      <c r="AF178" s="177">
        <f t="shared" si="3"/>
        <v>-0.001250608097</v>
      </c>
      <c r="AG178" s="177"/>
      <c r="AH178" s="177"/>
      <c r="AI178" s="189"/>
      <c r="AJ178" s="140"/>
      <c r="AK178" s="140"/>
      <c r="AL178" s="176">
        <f>IFERROR(__xludf.DUMMYFUNCTION("""COMPUTED_VALUE"""),45637.64583333333)</f>
        <v>45637.64583</v>
      </c>
      <c r="AM178" s="177">
        <f>IFERROR(__xludf.DUMMYFUNCTION("""COMPUTED_VALUE"""),4624.55)</f>
        <v>4624.55</v>
      </c>
      <c r="AN178" s="177">
        <f>IFERROR(__xludf.DUMMYFUNCTION("""COMPUTED_VALUE"""),4660.0)</f>
        <v>4660</v>
      </c>
      <c r="AO178" s="177">
        <f>IFERROR(__xludf.DUMMYFUNCTION("""COMPUTED_VALUE"""),4591.55)</f>
        <v>4591.55</v>
      </c>
      <c r="AP178" s="177">
        <f>IFERROR(__xludf.DUMMYFUNCTION("""COMPUTED_VALUE"""),4649.7)</f>
        <v>4649.7</v>
      </c>
      <c r="AQ178" s="177">
        <f>IFERROR(__xludf.DUMMYFUNCTION("""COMPUTED_VALUE"""),767757.0)</f>
        <v>767757</v>
      </c>
      <c r="AR178" s="177">
        <f t="shared" si="4"/>
        <v>0.004742716976</v>
      </c>
      <c r="AS178" s="177"/>
      <c r="AT178" s="177"/>
      <c r="AU178" s="189"/>
      <c r="AV178" s="140"/>
      <c r="AW178" s="140"/>
      <c r="AX178" s="176">
        <f>IFERROR(__xludf.DUMMYFUNCTION("""COMPUTED_VALUE"""),45637.64583333333)</f>
        <v>45637.64583</v>
      </c>
      <c r="AY178" s="177">
        <f>IFERROR(__xludf.DUMMYFUNCTION("""COMPUTED_VALUE"""),467.2)</f>
        <v>467.2</v>
      </c>
      <c r="AZ178" s="177">
        <f>IFERROR(__xludf.DUMMYFUNCTION("""COMPUTED_VALUE"""),468.2)</f>
        <v>468.2</v>
      </c>
      <c r="BA178" s="177">
        <f>IFERROR(__xludf.DUMMYFUNCTION("""COMPUTED_VALUE"""),464.7)</f>
        <v>464.7</v>
      </c>
      <c r="BB178" s="177">
        <f>IFERROR(__xludf.DUMMYFUNCTION("""COMPUTED_VALUE"""),465.25)</f>
        <v>465.25</v>
      </c>
      <c r="BC178" s="177">
        <f>IFERROR(__xludf.DUMMYFUNCTION("""COMPUTED_VALUE"""),6745816.0)</f>
        <v>6745816</v>
      </c>
      <c r="BD178" s="177">
        <f t="shared" si="5"/>
        <v>-0.0004297840401</v>
      </c>
      <c r="BE178" s="177"/>
      <c r="BF178" s="177"/>
      <c r="BG178" s="189"/>
      <c r="BH178" s="140"/>
      <c r="BI178" s="140"/>
      <c r="BJ178" s="140"/>
      <c r="BK178" s="140"/>
      <c r="BL178" s="140"/>
      <c r="BM178" s="140"/>
      <c r="BN178" s="140"/>
      <c r="BO178" s="140"/>
      <c r="BP178" s="140"/>
      <c r="BQ178" s="140"/>
      <c r="BR178" s="140"/>
      <c r="BS178" s="140"/>
      <c r="BT178" s="140"/>
      <c r="BU178" s="140"/>
      <c r="BV178" s="140"/>
      <c r="BW178" s="140"/>
      <c r="BX178" s="140"/>
      <c r="BY178" s="140"/>
    </row>
    <row r="179" ht="15.75" customHeight="1">
      <c r="A179" s="168"/>
      <c r="B179" s="169">
        <v>45638.0</v>
      </c>
      <c r="C179" s="170">
        <v>7408.78</v>
      </c>
      <c r="D179" s="170">
        <v>7436.78</v>
      </c>
      <c r="E179" s="170">
        <v>7299.12</v>
      </c>
      <c r="F179" s="170">
        <v>7309.52</v>
      </c>
      <c r="G179" s="171" t="s">
        <v>238</v>
      </c>
      <c r="H179" s="172">
        <f t="shared" si="1"/>
        <v>-0.01294812949</v>
      </c>
      <c r="I179" s="172"/>
      <c r="J179" s="172"/>
      <c r="K179" s="188"/>
      <c r="L179" s="140"/>
      <c r="M179" s="140"/>
      <c r="N179" s="176">
        <f>IFERROR(__xludf.DUMMYFUNCTION("""COMPUTED_VALUE"""),45638.64583333333)</f>
        <v>45638.64583</v>
      </c>
      <c r="O179" s="177">
        <f>IFERROR(__xludf.DUMMYFUNCTION("""COMPUTED_VALUE"""),1321.55)</f>
        <v>1321.55</v>
      </c>
      <c r="P179" s="177">
        <f>IFERROR(__xludf.DUMMYFUNCTION("""COMPUTED_VALUE"""),1338.75)</f>
        <v>1338.75</v>
      </c>
      <c r="Q179" s="177">
        <f>IFERROR(__xludf.DUMMYFUNCTION("""COMPUTED_VALUE"""),1321.55)</f>
        <v>1321.55</v>
      </c>
      <c r="R179" s="177">
        <f>IFERROR(__xludf.DUMMYFUNCTION("""COMPUTED_VALUE"""),1329.25)</f>
        <v>1329.25</v>
      </c>
      <c r="S179" s="177">
        <f>IFERROR(__xludf.DUMMYFUNCTION("""COMPUTED_VALUE"""),9076896.0)</f>
        <v>9076896</v>
      </c>
      <c r="T179" s="177">
        <f t="shared" si="2"/>
        <v>0.001317399268</v>
      </c>
      <c r="U179" s="178"/>
      <c r="V179" s="177"/>
      <c r="W179" s="189"/>
      <c r="X179" s="140"/>
      <c r="Y179" s="140"/>
      <c r="Z179" s="176">
        <f>IFERROR(__xludf.DUMMYFUNCTION("""COMPUTED_VALUE"""),45638.64583333333)</f>
        <v>45638.64583</v>
      </c>
      <c r="AA179" s="177">
        <f>IFERROR(__xludf.DUMMYFUNCTION("""COMPUTED_VALUE"""),358.85)</f>
        <v>358.85</v>
      </c>
      <c r="AB179" s="177">
        <f>IFERROR(__xludf.DUMMYFUNCTION("""COMPUTED_VALUE"""),359.1)</f>
        <v>359.1</v>
      </c>
      <c r="AC179" s="177">
        <f>IFERROR(__xludf.DUMMYFUNCTION("""COMPUTED_VALUE"""),342.75)</f>
        <v>342.75</v>
      </c>
      <c r="AD179" s="177">
        <f>IFERROR(__xludf.DUMMYFUNCTION("""COMPUTED_VALUE"""),343.85)</f>
        <v>343.85</v>
      </c>
      <c r="AE179" s="177">
        <f>IFERROR(__xludf.DUMMYFUNCTION("""COMPUTED_VALUE"""),1.4316251E7)</f>
        <v>14316251</v>
      </c>
      <c r="AF179" s="177">
        <f t="shared" si="3"/>
        <v>-0.04478678683</v>
      </c>
      <c r="AG179" s="177"/>
      <c r="AH179" s="177"/>
      <c r="AI179" s="189"/>
      <c r="AJ179" s="140"/>
      <c r="AK179" s="140"/>
      <c r="AL179" s="176">
        <f>IFERROR(__xludf.DUMMYFUNCTION("""COMPUTED_VALUE"""),45638.64583333333)</f>
        <v>45638.64583</v>
      </c>
      <c r="AM179" s="177">
        <f>IFERROR(__xludf.DUMMYFUNCTION("""COMPUTED_VALUE"""),4650.0)</f>
        <v>4650</v>
      </c>
      <c r="AN179" s="177">
        <f>IFERROR(__xludf.DUMMYFUNCTION("""COMPUTED_VALUE"""),4723.45)</f>
        <v>4723.45</v>
      </c>
      <c r="AO179" s="177">
        <f>IFERROR(__xludf.DUMMYFUNCTION("""COMPUTED_VALUE"""),4645.0)</f>
        <v>4645</v>
      </c>
      <c r="AP179" s="177">
        <f>IFERROR(__xludf.DUMMYFUNCTION("""COMPUTED_VALUE"""),4660.55)</f>
        <v>4660.55</v>
      </c>
      <c r="AQ179" s="177">
        <f>IFERROR(__xludf.DUMMYFUNCTION("""COMPUTED_VALUE"""),1327850.0)</f>
        <v>1327850</v>
      </c>
      <c r="AR179" s="177">
        <f t="shared" si="4"/>
        <v>0.002330765535</v>
      </c>
      <c r="AS179" s="177"/>
      <c r="AT179" s="177"/>
      <c r="AU179" s="189"/>
      <c r="AV179" s="140"/>
      <c r="AW179" s="140"/>
      <c r="AX179" s="176">
        <f>IFERROR(__xludf.DUMMYFUNCTION("""COMPUTED_VALUE"""),45638.64583333333)</f>
        <v>45638.64583</v>
      </c>
      <c r="AY179" s="177">
        <f>IFERROR(__xludf.DUMMYFUNCTION("""COMPUTED_VALUE"""),465.5)</f>
        <v>465.5</v>
      </c>
      <c r="AZ179" s="177">
        <f>IFERROR(__xludf.DUMMYFUNCTION("""COMPUTED_VALUE"""),467.9)</f>
        <v>467.9</v>
      </c>
      <c r="BA179" s="177">
        <f>IFERROR(__xludf.DUMMYFUNCTION("""COMPUTED_VALUE"""),459.15)</f>
        <v>459.15</v>
      </c>
      <c r="BB179" s="177">
        <f>IFERROR(__xludf.DUMMYFUNCTION("""COMPUTED_VALUE"""),460.6)</f>
        <v>460.6</v>
      </c>
      <c r="BC179" s="177">
        <f>IFERROR(__xludf.DUMMYFUNCTION("""COMPUTED_VALUE"""),1.2884401E7)</f>
        <v>12884401</v>
      </c>
      <c r="BD179" s="177">
        <f t="shared" si="5"/>
        <v>-0.01004490814</v>
      </c>
      <c r="BE179" s="177"/>
      <c r="BF179" s="177"/>
      <c r="BG179" s="189"/>
      <c r="BH179" s="140"/>
      <c r="BI179" s="140"/>
      <c r="BJ179" s="140"/>
      <c r="BK179" s="140"/>
      <c r="BL179" s="140"/>
      <c r="BM179" s="140"/>
      <c r="BN179" s="140"/>
      <c r="BO179" s="140"/>
      <c r="BP179" s="140"/>
      <c r="BQ179" s="140"/>
      <c r="BR179" s="140"/>
      <c r="BS179" s="140"/>
      <c r="BT179" s="140"/>
      <c r="BU179" s="140"/>
      <c r="BV179" s="140"/>
      <c r="BW179" s="140"/>
      <c r="BX179" s="140"/>
      <c r="BY179" s="140"/>
    </row>
    <row r="180" ht="15.75" customHeight="1">
      <c r="A180" s="168"/>
      <c r="B180" s="169">
        <v>45639.0</v>
      </c>
      <c r="C180" s="170">
        <v>7311.52</v>
      </c>
      <c r="D180" s="170">
        <v>7349.52</v>
      </c>
      <c r="E180" s="170">
        <v>7214.12</v>
      </c>
      <c r="F180" s="170">
        <v>7219.12</v>
      </c>
      <c r="G180" s="171" t="s">
        <v>238</v>
      </c>
      <c r="H180" s="172">
        <f t="shared" si="1"/>
        <v>-0.01244454631</v>
      </c>
      <c r="I180" s="172"/>
      <c r="J180" s="172"/>
      <c r="K180" s="188"/>
      <c r="L180" s="140"/>
      <c r="M180" s="140"/>
      <c r="N180" s="176">
        <f>IFERROR(__xludf.DUMMYFUNCTION("""COMPUTED_VALUE"""),45639.64583333333)</f>
        <v>45639.64583</v>
      </c>
      <c r="O180" s="177">
        <f>IFERROR(__xludf.DUMMYFUNCTION("""COMPUTED_VALUE"""),1325.35)</f>
        <v>1325.35</v>
      </c>
      <c r="P180" s="177">
        <f>IFERROR(__xludf.DUMMYFUNCTION("""COMPUTED_VALUE"""),1347.15)</f>
        <v>1347.15</v>
      </c>
      <c r="Q180" s="177">
        <f>IFERROR(__xludf.DUMMYFUNCTION("""COMPUTED_VALUE"""),1313.5)</f>
        <v>1313.5</v>
      </c>
      <c r="R180" s="177">
        <f>IFERROR(__xludf.DUMMYFUNCTION("""COMPUTED_VALUE"""),1344.9)</f>
        <v>1344.9</v>
      </c>
      <c r="S180" s="177">
        <f>IFERROR(__xludf.DUMMYFUNCTION("""COMPUTED_VALUE"""),1.3536684E7)</f>
        <v>13536684</v>
      </c>
      <c r="T180" s="177">
        <f t="shared" si="2"/>
        <v>0.01170478745</v>
      </c>
      <c r="U180" s="178"/>
      <c r="V180" s="177"/>
      <c r="W180" s="189"/>
      <c r="X180" s="140"/>
      <c r="Y180" s="140"/>
      <c r="Z180" s="176">
        <f>IFERROR(__xludf.DUMMYFUNCTION("""COMPUTED_VALUE"""),45639.64583333333)</f>
        <v>45639.64583</v>
      </c>
      <c r="AA180" s="177">
        <f>IFERROR(__xludf.DUMMYFUNCTION("""COMPUTED_VALUE"""),342.0)</f>
        <v>342</v>
      </c>
      <c r="AB180" s="177">
        <f>IFERROR(__xludf.DUMMYFUNCTION("""COMPUTED_VALUE"""),351.2)</f>
        <v>351.2</v>
      </c>
      <c r="AC180" s="177">
        <f>IFERROR(__xludf.DUMMYFUNCTION("""COMPUTED_VALUE"""),335.35)</f>
        <v>335.35</v>
      </c>
      <c r="AD180" s="177">
        <f>IFERROR(__xludf.DUMMYFUNCTION("""COMPUTED_VALUE"""),350.0)</f>
        <v>350</v>
      </c>
      <c r="AE180" s="177">
        <f>IFERROR(__xludf.DUMMYFUNCTION("""COMPUTED_VALUE"""),1.3444504E7)</f>
        <v>13444504</v>
      </c>
      <c r="AF180" s="177">
        <f t="shared" si="3"/>
        <v>0.01772763872</v>
      </c>
      <c r="AG180" s="177"/>
      <c r="AH180" s="177"/>
      <c r="AI180" s="189"/>
      <c r="AJ180" s="140"/>
      <c r="AK180" s="140"/>
      <c r="AL180" s="176">
        <f>IFERROR(__xludf.DUMMYFUNCTION("""COMPUTED_VALUE"""),45639.64583333333)</f>
        <v>45639.64583</v>
      </c>
      <c r="AM180" s="177">
        <f>IFERROR(__xludf.DUMMYFUNCTION("""COMPUTED_VALUE"""),4754.5)</f>
        <v>4754.5</v>
      </c>
      <c r="AN180" s="177">
        <f>IFERROR(__xludf.DUMMYFUNCTION("""COMPUTED_VALUE"""),4755.0)</f>
        <v>4755</v>
      </c>
      <c r="AO180" s="177">
        <f>IFERROR(__xludf.DUMMYFUNCTION("""COMPUTED_VALUE"""),4660.55)</f>
        <v>4660.55</v>
      </c>
      <c r="AP180" s="177">
        <f>IFERROR(__xludf.DUMMYFUNCTION("""COMPUTED_VALUE"""),4669.65)</f>
        <v>4669.65</v>
      </c>
      <c r="AQ180" s="177">
        <f>IFERROR(__xludf.DUMMYFUNCTION("""COMPUTED_VALUE"""),3312042.0)</f>
        <v>3312042</v>
      </c>
      <c r="AR180" s="177">
        <f t="shared" si="4"/>
        <v>0.001950655481</v>
      </c>
      <c r="AS180" s="177"/>
      <c r="AT180" s="177"/>
      <c r="AU180" s="189"/>
      <c r="AV180" s="140"/>
      <c r="AW180" s="140"/>
      <c r="AX180" s="176">
        <f>IFERROR(__xludf.DUMMYFUNCTION("""COMPUTED_VALUE"""),45639.64583333333)</f>
        <v>45639.64583</v>
      </c>
      <c r="AY180" s="177">
        <f>IFERROR(__xludf.DUMMYFUNCTION("""COMPUTED_VALUE"""),460.0)</f>
        <v>460</v>
      </c>
      <c r="AZ180" s="177">
        <f>IFERROR(__xludf.DUMMYFUNCTION("""COMPUTED_VALUE"""),474.4)</f>
        <v>474.4</v>
      </c>
      <c r="BA180" s="177">
        <f>IFERROR(__xludf.DUMMYFUNCTION("""COMPUTED_VALUE"""),451.65)</f>
        <v>451.65</v>
      </c>
      <c r="BB180" s="177">
        <f>IFERROR(__xludf.DUMMYFUNCTION("""COMPUTED_VALUE"""),470.0)</f>
        <v>470</v>
      </c>
      <c r="BC180" s="177">
        <f>IFERROR(__xludf.DUMMYFUNCTION("""COMPUTED_VALUE"""),3.1753858E7)</f>
        <v>31753858</v>
      </c>
      <c r="BD180" s="177">
        <f t="shared" si="5"/>
        <v>0.02020270732</v>
      </c>
      <c r="BE180" s="177"/>
      <c r="BF180" s="177"/>
      <c r="BG180" s="189"/>
      <c r="BH180" s="140"/>
      <c r="BI180" s="140"/>
      <c r="BJ180" s="140"/>
      <c r="BK180" s="140"/>
      <c r="BL180" s="140"/>
      <c r="BM180" s="140"/>
      <c r="BN180" s="140"/>
      <c r="BO180" s="140"/>
      <c r="BP180" s="140"/>
      <c r="BQ180" s="140"/>
      <c r="BR180" s="140"/>
      <c r="BS180" s="140"/>
      <c r="BT180" s="140"/>
      <c r="BU180" s="140"/>
      <c r="BV180" s="140"/>
      <c r="BW180" s="140"/>
      <c r="BX180" s="140"/>
      <c r="BY180" s="140"/>
    </row>
    <row r="181" ht="15.75" customHeight="1">
      <c r="A181" s="168"/>
      <c r="B181" s="169">
        <v>45642.0</v>
      </c>
      <c r="C181" s="170">
        <v>7222.78</v>
      </c>
      <c r="D181" s="170">
        <v>7274.78</v>
      </c>
      <c r="E181" s="170">
        <v>7207.12</v>
      </c>
      <c r="F181" s="170">
        <v>7237.52</v>
      </c>
      <c r="G181" s="171" t="s">
        <v>238</v>
      </c>
      <c r="H181" s="172">
        <f t="shared" si="1"/>
        <v>0.002545544461</v>
      </c>
      <c r="I181" s="172"/>
      <c r="J181" s="172"/>
      <c r="K181" s="188"/>
      <c r="L181" s="140"/>
      <c r="M181" s="140"/>
      <c r="N181" s="176">
        <f>IFERROR(__xludf.DUMMYFUNCTION("""COMPUTED_VALUE"""),45642.64583333333)</f>
        <v>45642.64583</v>
      </c>
      <c r="O181" s="177">
        <f>IFERROR(__xludf.DUMMYFUNCTION("""COMPUTED_VALUE"""),1344.9)</f>
        <v>1344.9</v>
      </c>
      <c r="P181" s="177">
        <f>IFERROR(__xludf.DUMMYFUNCTION("""COMPUTED_VALUE"""),1350.45)</f>
        <v>1350.45</v>
      </c>
      <c r="Q181" s="177">
        <f>IFERROR(__xludf.DUMMYFUNCTION("""COMPUTED_VALUE"""),1340.05)</f>
        <v>1340.05</v>
      </c>
      <c r="R181" s="177">
        <f>IFERROR(__xludf.DUMMYFUNCTION("""COMPUTED_VALUE"""),1346.1)</f>
        <v>1346.1</v>
      </c>
      <c r="S181" s="177">
        <f>IFERROR(__xludf.DUMMYFUNCTION("""COMPUTED_VALUE"""),9071006.0)</f>
        <v>9071006</v>
      </c>
      <c r="T181" s="177">
        <f t="shared" si="2"/>
        <v>0.0008918618205</v>
      </c>
      <c r="U181" s="178"/>
      <c r="V181" s="177"/>
      <c r="W181" s="189"/>
      <c r="X181" s="140"/>
      <c r="Y181" s="140"/>
      <c r="Z181" s="176">
        <f>IFERROR(__xludf.DUMMYFUNCTION("""COMPUTED_VALUE"""),45642.64583333333)</f>
        <v>45642.64583</v>
      </c>
      <c r="AA181" s="177">
        <f>IFERROR(__xludf.DUMMYFUNCTION("""COMPUTED_VALUE"""),351.0)</f>
        <v>351</v>
      </c>
      <c r="AB181" s="177">
        <f>IFERROR(__xludf.DUMMYFUNCTION("""COMPUTED_VALUE"""),355.9)</f>
        <v>355.9</v>
      </c>
      <c r="AC181" s="177">
        <f>IFERROR(__xludf.DUMMYFUNCTION("""COMPUTED_VALUE"""),349.55)</f>
        <v>349.55</v>
      </c>
      <c r="AD181" s="177">
        <f>IFERROR(__xludf.DUMMYFUNCTION("""COMPUTED_VALUE"""),353.0)</f>
        <v>353</v>
      </c>
      <c r="AE181" s="177">
        <f>IFERROR(__xludf.DUMMYFUNCTION("""COMPUTED_VALUE"""),5191999.0)</f>
        <v>5191999</v>
      </c>
      <c r="AF181" s="177">
        <f t="shared" si="3"/>
        <v>0.00853490245</v>
      </c>
      <c r="AG181" s="177"/>
      <c r="AH181" s="177"/>
      <c r="AI181" s="189"/>
      <c r="AJ181" s="140"/>
      <c r="AK181" s="140"/>
      <c r="AL181" s="176">
        <f>IFERROR(__xludf.DUMMYFUNCTION("""COMPUTED_VALUE"""),45642.64583333333)</f>
        <v>45642.64583</v>
      </c>
      <c r="AM181" s="177">
        <f>IFERROR(__xludf.DUMMYFUNCTION("""COMPUTED_VALUE"""),4692.1)</f>
        <v>4692.1</v>
      </c>
      <c r="AN181" s="177">
        <f>IFERROR(__xludf.DUMMYFUNCTION("""COMPUTED_VALUE"""),4699.0)</f>
        <v>4699</v>
      </c>
      <c r="AO181" s="177">
        <f>IFERROR(__xludf.DUMMYFUNCTION("""COMPUTED_VALUE"""),4651.15)</f>
        <v>4651.15</v>
      </c>
      <c r="AP181" s="177">
        <f>IFERROR(__xludf.DUMMYFUNCTION("""COMPUTED_VALUE"""),4676.35)</f>
        <v>4676.35</v>
      </c>
      <c r="AQ181" s="177">
        <f>IFERROR(__xludf.DUMMYFUNCTION("""COMPUTED_VALUE"""),741557.0)</f>
        <v>741557</v>
      </c>
      <c r="AR181" s="177">
        <f t="shared" si="4"/>
        <v>0.001433768703</v>
      </c>
      <c r="AS181" s="177"/>
      <c r="AT181" s="177"/>
      <c r="AU181" s="189"/>
      <c r="AV181" s="140"/>
      <c r="AW181" s="140"/>
      <c r="AX181" s="176">
        <f>IFERROR(__xludf.DUMMYFUNCTION("""COMPUTED_VALUE"""),45642.64583333333)</f>
        <v>45642.64583</v>
      </c>
      <c r="AY181" s="177">
        <f>IFERROR(__xludf.DUMMYFUNCTION("""COMPUTED_VALUE"""),470.25)</f>
        <v>470.25</v>
      </c>
      <c r="AZ181" s="177">
        <f>IFERROR(__xludf.DUMMYFUNCTION("""COMPUTED_VALUE"""),474.4)</f>
        <v>474.4</v>
      </c>
      <c r="BA181" s="177">
        <f>IFERROR(__xludf.DUMMYFUNCTION("""COMPUTED_VALUE"""),468.0)</f>
        <v>468</v>
      </c>
      <c r="BB181" s="177">
        <f>IFERROR(__xludf.DUMMYFUNCTION("""COMPUTED_VALUE"""),470.1)</f>
        <v>470.1</v>
      </c>
      <c r="BC181" s="177">
        <f>IFERROR(__xludf.DUMMYFUNCTION("""COMPUTED_VALUE"""),9007264.0)</f>
        <v>9007264</v>
      </c>
      <c r="BD181" s="177">
        <f t="shared" si="5"/>
        <v>0.000212743326</v>
      </c>
      <c r="BE181" s="177"/>
      <c r="BF181" s="177"/>
      <c r="BG181" s="189"/>
      <c r="BH181" s="140"/>
      <c r="BI181" s="140"/>
      <c r="BJ181" s="140"/>
      <c r="BK181" s="140"/>
      <c r="BL181" s="140"/>
      <c r="BM181" s="140"/>
      <c r="BN181" s="140"/>
      <c r="BO181" s="140"/>
      <c r="BP181" s="140"/>
      <c r="BQ181" s="140"/>
      <c r="BR181" s="140"/>
      <c r="BS181" s="140"/>
      <c r="BT181" s="140"/>
      <c r="BU181" s="140"/>
      <c r="BV181" s="140"/>
      <c r="BW181" s="140"/>
      <c r="BX181" s="140"/>
      <c r="BY181" s="140"/>
    </row>
    <row r="182" ht="15.75" customHeight="1">
      <c r="A182" s="168"/>
      <c r="B182" s="169">
        <v>45643.0</v>
      </c>
      <c r="C182" s="170">
        <v>7243.12</v>
      </c>
      <c r="D182" s="170">
        <v>7258.12</v>
      </c>
      <c r="E182" s="170">
        <v>7188.78</v>
      </c>
      <c r="F182" s="170">
        <v>7222.12</v>
      </c>
      <c r="G182" s="171" t="s">
        <v>238</v>
      </c>
      <c r="H182" s="172">
        <f t="shared" si="1"/>
        <v>-0.002130067667</v>
      </c>
      <c r="I182" s="172"/>
      <c r="J182" s="172"/>
      <c r="K182" s="188"/>
      <c r="L182" s="140"/>
      <c r="M182" s="140"/>
      <c r="N182" s="176">
        <f>IFERROR(__xludf.DUMMYFUNCTION("""COMPUTED_VALUE"""),45643.64583333333)</f>
        <v>45643.64583</v>
      </c>
      <c r="O182" s="177">
        <f>IFERROR(__xludf.DUMMYFUNCTION("""COMPUTED_VALUE"""),1342.0)</f>
        <v>1342</v>
      </c>
      <c r="P182" s="177">
        <f>IFERROR(__xludf.DUMMYFUNCTION("""COMPUTED_VALUE"""),1348.1)</f>
        <v>1348.1</v>
      </c>
      <c r="Q182" s="177">
        <f>IFERROR(__xludf.DUMMYFUNCTION("""COMPUTED_VALUE"""),1326.05)</f>
        <v>1326.05</v>
      </c>
      <c r="R182" s="177">
        <f>IFERROR(__xludf.DUMMYFUNCTION("""COMPUTED_VALUE"""),1333.75)</f>
        <v>1333.75</v>
      </c>
      <c r="S182" s="177">
        <f>IFERROR(__xludf.DUMMYFUNCTION("""COMPUTED_VALUE"""),9879257.0)</f>
        <v>9879257</v>
      </c>
      <c r="T182" s="177">
        <f t="shared" si="2"/>
        <v>-0.009216999034</v>
      </c>
      <c r="U182" s="178"/>
      <c r="V182" s="177"/>
      <c r="W182" s="189"/>
      <c r="X182" s="140"/>
      <c r="Y182" s="140"/>
      <c r="Z182" s="176">
        <f>IFERROR(__xludf.DUMMYFUNCTION("""COMPUTED_VALUE"""),45643.64583333333)</f>
        <v>45643.64583</v>
      </c>
      <c r="AA182" s="177">
        <f>IFERROR(__xludf.DUMMYFUNCTION("""COMPUTED_VALUE"""),359.3)</f>
        <v>359.3</v>
      </c>
      <c r="AB182" s="177">
        <f>IFERROR(__xludf.DUMMYFUNCTION("""COMPUTED_VALUE"""),359.3)</f>
        <v>359.3</v>
      </c>
      <c r="AC182" s="177">
        <f>IFERROR(__xludf.DUMMYFUNCTION("""COMPUTED_VALUE"""),343.9)</f>
        <v>343.9</v>
      </c>
      <c r="AD182" s="177">
        <f>IFERROR(__xludf.DUMMYFUNCTION("""COMPUTED_VALUE"""),345.85)</f>
        <v>345.85</v>
      </c>
      <c r="AE182" s="177">
        <f>IFERROR(__xludf.DUMMYFUNCTION("""COMPUTED_VALUE"""),1.0729278E7)</f>
        <v>10729278</v>
      </c>
      <c r="AF182" s="177">
        <f t="shared" si="3"/>
        <v>-0.02046290189</v>
      </c>
      <c r="AG182" s="177"/>
      <c r="AH182" s="177"/>
      <c r="AI182" s="189"/>
      <c r="AJ182" s="140"/>
      <c r="AK182" s="140"/>
      <c r="AL182" s="176">
        <f>IFERROR(__xludf.DUMMYFUNCTION("""COMPUTED_VALUE"""),45643.64583333333)</f>
        <v>45643.64583</v>
      </c>
      <c r="AM182" s="177">
        <f>IFERROR(__xludf.DUMMYFUNCTION("""COMPUTED_VALUE"""),4676.0)</f>
        <v>4676</v>
      </c>
      <c r="AN182" s="177">
        <f>IFERROR(__xludf.DUMMYFUNCTION("""COMPUTED_VALUE"""),4716.0)</f>
        <v>4716</v>
      </c>
      <c r="AO182" s="177">
        <f>IFERROR(__xludf.DUMMYFUNCTION("""COMPUTED_VALUE"""),4605.4)</f>
        <v>4605.4</v>
      </c>
      <c r="AP182" s="177">
        <f>IFERROR(__xludf.DUMMYFUNCTION("""COMPUTED_VALUE"""),4622.6)</f>
        <v>4622.6</v>
      </c>
      <c r="AQ182" s="177">
        <f>IFERROR(__xludf.DUMMYFUNCTION("""COMPUTED_VALUE"""),936875.0)</f>
        <v>936875</v>
      </c>
      <c r="AR182" s="177">
        <f t="shared" si="4"/>
        <v>-0.01156057375</v>
      </c>
      <c r="AS182" s="177"/>
      <c r="AT182" s="177"/>
      <c r="AU182" s="189"/>
      <c r="AV182" s="140"/>
      <c r="AW182" s="140"/>
      <c r="AX182" s="176">
        <f>IFERROR(__xludf.DUMMYFUNCTION("""COMPUTED_VALUE"""),45643.64583333333)</f>
        <v>45643.64583</v>
      </c>
      <c r="AY182" s="177">
        <f>IFERROR(__xludf.DUMMYFUNCTION("""COMPUTED_VALUE"""),470.0)</f>
        <v>470</v>
      </c>
      <c r="AZ182" s="177">
        <f>IFERROR(__xludf.DUMMYFUNCTION("""COMPUTED_VALUE"""),475.8)</f>
        <v>475.8</v>
      </c>
      <c r="BA182" s="177">
        <f>IFERROR(__xludf.DUMMYFUNCTION("""COMPUTED_VALUE"""),463.05)</f>
        <v>463.05</v>
      </c>
      <c r="BB182" s="177">
        <f>IFERROR(__xludf.DUMMYFUNCTION("""COMPUTED_VALUE"""),469.55)</f>
        <v>469.55</v>
      </c>
      <c r="BC182" s="177">
        <f>IFERROR(__xludf.DUMMYFUNCTION("""COMPUTED_VALUE"""),1.9844152E7)</f>
        <v>19844152</v>
      </c>
      <c r="BD182" s="177">
        <f t="shared" si="5"/>
        <v>-0.001170648779</v>
      </c>
      <c r="BE182" s="177"/>
      <c r="BF182" s="177"/>
      <c r="BG182" s="189"/>
      <c r="BH182" s="140"/>
      <c r="BI182" s="140"/>
      <c r="BJ182" s="140"/>
      <c r="BK182" s="140"/>
      <c r="BL182" s="140"/>
      <c r="BM182" s="140"/>
      <c r="BN182" s="140"/>
      <c r="BO182" s="140"/>
      <c r="BP182" s="140"/>
      <c r="BQ182" s="140"/>
      <c r="BR182" s="140"/>
      <c r="BS182" s="140"/>
      <c r="BT182" s="140"/>
      <c r="BU182" s="140"/>
      <c r="BV182" s="140"/>
      <c r="BW182" s="140"/>
      <c r="BX182" s="140"/>
      <c r="BY182" s="140"/>
    </row>
    <row r="183" ht="15.75" customHeight="1">
      <c r="A183" s="168"/>
      <c r="B183" s="169">
        <v>45644.0</v>
      </c>
      <c r="C183" s="170">
        <v>7223.12</v>
      </c>
      <c r="D183" s="170">
        <v>7239.12</v>
      </c>
      <c r="E183" s="170">
        <v>7052.78</v>
      </c>
      <c r="F183" s="170">
        <v>7053.12</v>
      </c>
      <c r="G183" s="171" t="s">
        <v>238</v>
      </c>
      <c r="H183" s="172">
        <f t="shared" si="1"/>
        <v>-0.0236784665</v>
      </c>
      <c r="I183" s="172"/>
      <c r="J183" s="172"/>
      <c r="K183" s="188"/>
      <c r="L183" s="140"/>
      <c r="M183" s="140"/>
      <c r="N183" s="176">
        <f>IFERROR(__xludf.DUMMYFUNCTION("""COMPUTED_VALUE"""),45644.64583333333)</f>
        <v>45644.64583</v>
      </c>
      <c r="O183" s="177">
        <f>IFERROR(__xludf.DUMMYFUNCTION("""COMPUTED_VALUE"""),1325.25)</f>
        <v>1325.25</v>
      </c>
      <c r="P183" s="177">
        <f>IFERROR(__xludf.DUMMYFUNCTION("""COMPUTED_VALUE"""),1334.95)</f>
        <v>1334.95</v>
      </c>
      <c r="Q183" s="177">
        <f>IFERROR(__xludf.DUMMYFUNCTION("""COMPUTED_VALUE"""),1307.45)</f>
        <v>1307.45</v>
      </c>
      <c r="R183" s="177">
        <f>IFERROR(__xludf.DUMMYFUNCTION("""COMPUTED_VALUE"""),1314.15)</f>
        <v>1314.15</v>
      </c>
      <c r="S183" s="177">
        <f>IFERROR(__xludf.DUMMYFUNCTION("""COMPUTED_VALUE"""),8510595.0)</f>
        <v>8510595</v>
      </c>
      <c r="T183" s="177">
        <f t="shared" si="2"/>
        <v>-0.01480445484</v>
      </c>
      <c r="U183" s="178"/>
      <c r="V183" s="177"/>
      <c r="W183" s="189"/>
      <c r="X183" s="140"/>
      <c r="Y183" s="140"/>
      <c r="Z183" s="176">
        <f>IFERROR(__xludf.DUMMYFUNCTION("""COMPUTED_VALUE"""),45644.64583333333)</f>
        <v>45644.64583</v>
      </c>
      <c r="AA183" s="177">
        <f>IFERROR(__xludf.DUMMYFUNCTION("""COMPUTED_VALUE"""),344.7)</f>
        <v>344.7</v>
      </c>
      <c r="AB183" s="177">
        <f>IFERROR(__xludf.DUMMYFUNCTION("""COMPUTED_VALUE"""),346.8)</f>
        <v>346.8</v>
      </c>
      <c r="AC183" s="177">
        <f>IFERROR(__xludf.DUMMYFUNCTION("""COMPUTED_VALUE"""),339.9)</f>
        <v>339.9</v>
      </c>
      <c r="AD183" s="177">
        <f>IFERROR(__xludf.DUMMYFUNCTION("""COMPUTED_VALUE"""),340.75)</f>
        <v>340.75</v>
      </c>
      <c r="AE183" s="177">
        <f>IFERROR(__xludf.DUMMYFUNCTION("""COMPUTED_VALUE"""),3077237.0)</f>
        <v>3077237</v>
      </c>
      <c r="AF183" s="177">
        <f t="shared" si="3"/>
        <v>-0.01485608447</v>
      </c>
      <c r="AG183" s="177"/>
      <c r="AH183" s="177"/>
      <c r="AI183" s="189"/>
      <c r="AJ183" s="140"/>
      <c r="AK183" s="140"/>
      <c r="AL183" s="176">
        <f>IFERROR(__xludf.DUMMYFUNCTION("""COMPUTED_VALUE"""),45644.64583333333)</f>
        <v>45644.64583</v>
      </c>
      <c r="AM183" s="177">
        <f>IFERROR(__xludf.DUMMYFUNCTION("""COMPUTED_VALUE"""),4624.4)</f>
        <v>4624.4</v>
      </c>
      <c r="AN183" s="177">
        <f>IFERROR(__xludf.DUMMYFUNCTION("""COMPUTED_VALUE"""),4628.0)</f>
        <v>4628</v>
      </c>
      <c r="AO183" s="177">
        <f>IFERROR(__xludf.DUMMYFUNCTION("""COMPUTED_VALUE"""),4472.35)</f>
        <v>4472.35</v>
      </c>
      <c r="AP183" s="177">
        <f>IFERROR(__xludf.DUMMYFUNCTION("""COMPUTED_VALUE"""),4482.85)</f>
        <v>4482.85</v>
      </c>
      <c r="AQ183" s="177">
        <f>IFERROR(__xludf.DUMMYFUNCTION("""COMPUTED_VALUE"""),1240240.0)</f>
        <v>1240240</v>
      </c>
      <c r="AR183" s="177">
        <f t="shared" si="4"/>
        <v>-0.03069831248</v>
      </c>
      <c r="AS183" s="177"/>
      <c r="AT183" s="177"/>
      <c r="AU183" s="189"/>
      <c r="AV183" s="140"/>
      <c r="AW183" s="140"/>
      <c r="AX183" s="176">
        <f>IFERROR(__xludf.DUMMYFUNCTION("""COMPUTED_VALUE"""),45644.64583333333)</f>
        <v>45644.64583</v>
      </c>
      <c r="AY183" s="177">
        <f>IFERROR(__xludf.DUMMYFUNCTION("""COMPUTED_VALUE"""),472.7)</f>
        <v>472.7</v>
      </c>
      <c r="AZ183" s="177">
        <f>IFERROR(__xludf.DUMMYFUNCTION("""COMPUTED_VALUE"""),473.8)</f>
        <v>473.8</v>
      </c>
      <c r="BA183" s="177">
        <f>IFERROR(__xludf.DUMMYFUNCTION("""COMPUTED_VALUE"""),466.9)</f>
        <v>466.9</v>
      </c>
      <c r="BB183" s="177">
        <f>IFERROR(__xludf.DUMMYFUNCTION("""COMPUTED_VALUE"""),470.5)</f>
        <v>470.5</v>
      </c>
      <c r="BC183" s="177">
        <f>IFERROR(__xludf.DUMMYFUNCTION("""COMPUTED_VALUE"""),1.2365167E7)</f>
        <v>12365167</v>
      </c>
      <c r="BD183" s="177">
        <f t="shared" si="5"/>
        <v>0.002021169775</v>
      </c>
      <c r="BE183" s="177"/>
      <c r="BF183" s="177"/>
      <c r="BG183" s="189"/>
      <c r="BH183" s="140"/>
      <c r="BI183" s="140"/>
      <c r="BJ183" s="140"/>
      <c r="BK183" s="140"/>
      <c r="BL183" s="140"/>
      <c r="BM183" s="140"/>
      <c r="BN183" s="140"/>
      <c r="BO183" s="140"/>
      <c r="BP183" s="140"/>
      <c r="BQ183" s="140"/>
      <c r="BR183" s="140"/>
      <c r="BS183" s="140"/>
      <c r="BT183" s="140"/>
      <c r="BU183" s="140"/>
      <c r="BV183" s="140"/>
      <c r="BW183" s="140"/>
      <c r="BX183" s="140"/>
      <c r="BY183" s="140"/>
    </row>
    <row r="184" ht="15.75" customHeight="1">
      <c r="A184" s="168"/>
      <c r="B184" s="169">
        <v>45645.0</v>
      </c>
      <c r="C184" s="170">
        <v>7056.78</v>
      </c>
      <c r="D184" s="170">
        <v>7187.52</v>
      </c>
      <c r="E184" s="170">
        <v>7051.52</v>
      </c>
      <c r="F184" s="170">
        <v>7095.52</v>
      </c>
      <c r="G184" s="171" t="s">
        <v>238</v>
      </c>
      <c r="H184" s="172">
        <f t="shared" si="1"/>
        <v>0.005993526858</v>
      </c>
      <c r="I184" s="172"/>
      <c r="J184" s="172"/>
      <c r="K184" s="188"/>
      <c r="L184" s="140"/>
      <c r="M184" s="140"/>
      <c r="N184" s="176">
        <f>IFERROR(__xludf.DUMMYFUNCTION("""COMPUTED_VALUE"""),45645.64583333333)</f>
        <v>45645.64583</v>
      </c>
      <c r="O184" s="177">
        <f>IFERROR(__xludf.DUMMYFUNCTION("""COMPUTED_VALUE"""),1286.0)</f>
        <v>1286</v>
      </c>
      <c r="P184" s="177">
        <f>IFERROR(__xludf.DUMMYFUNCTION("""COMPUTED_VALUE"""),1303.0)</f>
        <v>1303</v>
      </c>
      <c r="Q184" s="177">
        <f>IFERROR(__xludf.DUMMYFUNCTION("""COMPUTED_VALUE"""),1284.45)</f>
        <v>1284.45</v>
      </c>
      <c r="R184" s="177">
        <f>IFERROR(__xludf.DUMMYFUNCTION("""COMPUTED_VALUE"""),1286.9)</f>
        <v>1286.9</v>
      </c>
      <c r="S184" s="177">
        <f>IFERROR(__xludf.DUMMYFUNCTION("""COMPUTED_VALUE"""),1.1517304E7)</f>
        <v>11517304</v>
      </c>
      <c r="T184" s="177">
        <f t="shared" si="2"/>
        <v>-0.02095384328</v>
      </c>
      <c r="U184" s="178"/>
      <c r="V184" s="177"/>
      <c r="W184" s="189"/>
      <c r="X184" s="140"/>
      <c r="Y184" s="140"/>
      <c r="Z184" s="176">
        <f>IFERROR(__xludf.DUMMYFUNCTION("""COMPUTED_VALUE"""),45645.64583333333)</f>
        <v>45645.64583</v>
      </c>
      <c r="AA184" s="177">
        <f>IFERROR(__xludf.DUMMYFUNCTION("""COMPUTED_VALUE"""),335.0)</f>
        <v>335</v>
      </c>
      <c r="AB184" s="177">
        <f>IFERROR(__xludf.DUMMYFUNCTION("""COMPUTED_VALUE"""),347.35)</f>
        <v>347.35</v>
      </c>
      <c r="AC184" s="177">
        <f>IFERROR(__xludf.DUMMYFUNCTION("""COMPUTED_VALUE"""),332.6)</f>
        <v>332.6</v>
      </c>
      <c r="AD184" s="177">
        <f>IFERROR(__xludf.DUMMYFUNCTION("""COMPUTED_VALUE"""),346.4)</f>
        <v>346.4</v>
      </c>
      <c r="AE184" s="177">
        <f>IFERROR(__xludf.DUMMYFUNCTION("""COMPUTED_VALUE"""),9661691.0)</f>
        <v>9661691</v>
      </c>
      <c r="AF184" s="177">
        <f t="shared" si="3"/>
        <v>0.01644510611</v>
      </c>
      <c r="AG184" s="177"/>
      <c r="AH184" s="177"/>
      <c r="AI184" s="189"/>
      <c r="AJ184" s="140"/>
      <c r="AK184" s="140"/>
      <c r="AL184" s="176">
        <f>IFERROR(__xludf.DUMMYFUNCTION("""COMPUTED_VALUE"""),45645.64583333333)</f>
        <v>45645.64583</v>
      </c>
      <c r="AM184" s="177">
        <f>IFERROR(__xludf.DUMMYFUNCTION("""COMPUTED_VALUE"""),4399.45)</f>
        <v>4399.45</v>
      </c>
      <c r="AN184" s="177">
        <f>IFERROR(__xludf.DUMMYFUNCTION("""COMPUTED_VALUE"""),4442.95)</f>
        <v>4442.95</v>
      </c>
      <c r="AO184" s="177">
        <f>IFERROR(__xludf.DUMMYFUNCTION("""COMPUTED_VALUE"""),4375.0)</f>
        <v>4375</v>
      </c>
      <c r="AP184" s="177">
        <f>IFERROR(__xludf.DUMMYFUNCTION("""COMPUTED_VALUE"""),4385.1)</f>
        <v>4385.1</v>
      </c>
      <c r="AQ184" s="177">
        <f>IFERROR(__xludf.DUMMYFUNCTION("""COMPUTED_VALUE"""),1084324.0)</f>
        <v>1084324</v>
      </c>
      <c r="AR184" s="177">
        <f t="shared" si="4"/>
        <v>-0.0220465743</v>
      </c>
      <c r="AS184" s="177"/>
      <c r="AT184" s="177"/>
      <c r="AU184" s="189"/>
      <c r="AV184" s="140"/>
      <c r="AW184" s="140"/>
      <c r="AX184" s="176">
        <f>IFERROR(__xludf.DUMMYFUNCTION("""COMPUTED_VALUE"""),45645.64583333333)</f>
        <v>45645.64583</v>
      </c>
      <c r="AY184" s="177">
        <f>IFERROR(__xludf.DUMMYFUNCTION("""COMPUTED_VALUE"""),469.0)</f>
        <v>469</v>
      </c>
      <c r="AZ184" s="177">
        <f>IFERROR(__xludf.DUMMYFUNCTION("""COMPUTED_VALUE"""),474.35)</f>
        <v>474.35</v>
      </c>
      <c r="BA184" s="177">
        <f>IFERROR(__xludf.DUMMYFUNCTION("""COMPUTED_VALUE"""),465.3)</f>
        <v>465.3</v>
      </c>
      <c r="BB184" s="177">
        <f>IFERROR(__xludf.DUMMYFUNCTION("""COMPUTED_VALUE"""),466.55)</f>
        <v>466.55</v>
      </c>
      <c r="BC184" s="177">
        <f>IFERROR(__xludf.DUMMYFUNCTION("""COMPUTED_VALUE"""),1.459927E7)</f>
        <v>14599270</v>
      </c>
      <c r="BD184" s="177">
        <f t="shared" si="5"/>
        <v>-0.008430763345</v>
      </c>
      <c r="BE184" s="177"/>
      <c r="BF184" s="177"/>
      <c r="BG184" s="189"/>
      <c r="BH184" s="140"/>
      <c r="BI184" s="140"/>
      <c r="BJ184" s="140"/>
      <c r="BK184" s="140"/>
      <c r="BL184" s="140"/>
      <c r="BM184" s="140"/>
      <c r="BN184" s="140"/>
      <c r="BO184" s="140"/>
      <c r="BP184" s="140"/>
      <c r="BQ184" s="140"/>
      <c r="BR184" s="140"/>
      <c r="BS184" s="140"/>
      <c r="BT184" s="140"/>
      <c r="BU184" s="140"/>
      <c r="BV184" s="140"/>
      <c r="BW184" s="140"/>
      <c r="BX184" s="140"/>
      <c r="BY184" s="140"/>
    </row>
    <row r="185" ht="15.75" customHeight="1">
      <c r="A185" s="168"/>
      <c r="B185" s="169">
        <v>45646.0</v>
      </c>
      <c r="C185" s="170">
        <v>7098.78</v>
      </c>
      <c r="D185" s="170">
        <v>7189.52</v>
      </c>
      <c r="E185" s="170">
        <v>7085.52</v>
      </c>
      <c r="F185" s="170">
        <v>7157.52</v>
      </c>
      <c r="G185" s="171" t="s">
        <v>238</v>
      </c>
      <c r="H185" s="172">
        <f t="shared" si="1"/>
        <v>0.008699953282</v>
      </c>
      <c r="I185" s="172"/>
      <c r="J185" s="172"/>
      <c r="K185" s="188"/>
      <c r="L185" s="140"/>
      <c r="M185" s="140"/>
      <c r="N185" s="176">
        <f>IFERROR(__xludf.DUMMYFUNCTION("""COMPUTED_VALUE"""),45646.64583333333)</f>
        <v>45646.64583</v>
      </c>
      <c r="O185" s="177">
        <f>IFERROR(__xludf.DUMMYFUNCTION("""COMPUTED_VALUE"""),1283.95)</f>
        <v>1283.95</v>
      </c>
      <c r="P185" s="177">
        <f>IFERROR(__xludf.DUMMYFUNCTION("""COMPUTED_VALUE"""),1297.75)</f>
        <v>1297.75</v>
      </c>
      <c r="Q185" s="177">
        <f>IFERROR(__xludf.DUMMYFUNCTION("""COMPUTED_VALUE"""),1272.4)</f>
        <v>1272.4</v>
      </c>
      <c r="R185" s="177">
        <f>IFERROR(__xludf.DUMMYFUNCTION("""COMPUTED_VALUE"""),1288.4)</f>
        <v>1288.4</v>
      </c>
      <c r="S185" s="177">
        <f>IFERROR(__xludf.DUMMYFUNCTION("""COMPUTED_VALUE"""),5.8491181E7)</f>
        <v>58491181</v>
      </c>
      <c r="T185" s="177">
        <f t="shared" si="2"/>
        <v>0.001164912957</v>
      </c>
      <c r="U185" s="178"/>
      <c r="V185" s="177"/>
      <c r="W185" s="189"/>
      <c r="X185" s="140"/>
      <c r="Y185" s="140"/>
      <c r="Z185" s="176">
        <f>IFERROR(__xludf.DUMMYFUNCTION("""COMPUTED_VALUE"""),45646.64583333333)</f>
        <v>45646.64583</v>
      </c>
      <c r="AA185" s="177">
        <f>IFERROR(__xludf.DUMMYFUNCTION("""COMPUTED_VALUE"""),346.5)</f>
        <v>346.5</v>
      </c>
      <c r="AB185" s="177">
        <f>IFERROR(__xludf.DUMMYFUNCTION("""COMPUTED_VALUE"""),348.75)</f>
        <v>348.75</v>
      </c>
      <c r="AC185" s="177">
        <f>IFERROR(__xludf.DUMMYFUNCTION("""COMPUTED_VALUE"""),335.2)</f>
        <v>335.2</v>
      </c>
      <c r="AD185" s="177">
        <f>IFERROR(__xludf.DUMMYFUNCTION("""COMPUTED_VALUE"""),337.1)</f>
        <v>337.1</v>
      </c>
      <c r="AE185" s="177">
        <f>IFERROR(__xludf.DUMMYFUNCTION("""COMPUTED_VALUE"""),7046688.0)</f>
        <v>7046688</v>
      </c>
      <c r="AF185" s="177">
        <f t="shared" si="3"/>
        <v>-0.02721455445</v>
      </c>
      <c r="AG185" s="177"/>
      <c r="AH185" s="177"/>
      <c r="AI185" s="189"/>
      <c r="AJ185" s="140"/>
      <c r="AK185" s="140"/>
      <c r="AL185" s="176">
        <f>IFERROR(__xludf.DUMMYFUNCTION("""COMPUTED_VALUE"""),45646.64583333333)</f>
        <v>45646.64583</v>
      </c>
      <c r="AM185" s="177">
        <f>IFERROR(__xludf.DUMMYFUNCTION("""COMPUTED_VALUE"""),4385.0)</f>
        <v>4385</v>
      </c>
      <c r="AN185" s="177">
        <f>IFERROR(__xludf.DUMMYFUNCTION("""COMPUTED_VALUE"""),4420.0)</f>
        <v>4420</v>
      </c>
      <c r="AO185" s="177">
        <f>IFERROR(__xludf.DUMMYFUNCTION("""COMPUTED_VALUE"""),4175.0)</f>
        <v>4175</v>
      </c>
      <c r="AP185" s="177">
        <f>IFERROR(__xludf.DUMMYFUNCTION("""COMPUTED_VALUE"""),4190.2)</f>
        <v>4190.2</v>
      </c>
      <c r="AQ185" s="177">
        <f>IFERROR(__xludf.DUMMYFUNCTION("""COMPUTED_VALUE"""),1598164.0)</f>
        <v>1598164</v>
      </c>
      <c r="AR185" s="177">
        <f t="shared" si="4"/>
        <v>-0.04546396509</v>
      </c>
      <c r="AS185" s="177"/>
      <c r="AT185" s="177"/>
      <c r="AU185" s="189"/>
      <c r="AV185" s="140"/>
      <c r="AW185" s="140"/>
      <c r="AX185" s="176">
        <f>IFERROR(__xludf.DUMMYFUNCTION("""COMPUTED_VALUE"""),45646.64583333333)</f>
        <v>45646.64583</v>
      </c>
      <c r="AY185" s="177">
        <f>IFERROR(__xludf.DUMMYFUNCTION("""COMPUTED_VALUE"""),466.5)</f>
        <v>466.5</v>
      </c>
      <c r="AZ185" s="177">
        <f>IFERROR(__xludf.DUMMYFUNCTION("""COMPUTED_VALUE"""),467.45)</f>
        <v>467.45</v>
      </c>
      <c r="BA185" s="177">
        <f>IFERROR(__xludf.DUMMYFUNCTION("""COMPUTED_VALUE"""),459.3)</f>
        <v>459.3</v>
      </c>
      <c r="BB185" s="177">
        <f>IFERROR(__xludf.DUMMYFUNCTION("""COMPUTED_VALUE"""),464.65)</f>
        <v>464.65</v>
      </c>
      <c r="BC185" s="177">
        <f>IFERROR(__xludf.DUMMYFUNCTION("""COMPUTED_VALUE"""),1.9481288E7)</f>
        <v>19481288</v>
      </c>
      <c r="BD185" s="177">
        <f t="shared" si="5"/>
        <v>-0.004080761677</v>
      </c>
      <c r="BE185" s="177"/>
      <c r="BF185" s="177"/>
      <c r="BG185" s="189"/>
      <c r="BH185" s="140"/>
      <c r="BI185" s="140"/>
      <c r="BJ185" s="140"/>
      <c r="BK185" s="140"/>
      <c r="BL185" s="140"/>
      <c r="BM185" s="140"/>
      <c r="BN185" s="140"/>
      <c r="BO185" s="140"/>
      <c r="BP185" s="140"/>
      <c r="BQ185" s="140"/>
      <c r="BR185" s="140"/>
      <c r="BS185" s="140"/>
      <c r="BT185" s="140"/>
      <c r="BU185" s="140"/>
      <c r="BV185" s="140"/>
      <c r="BW185" s="140"/>
      <c r="BX185" s="140"/>
      <c r="BY185" s="140"/>
    </row>
    <row r="186" ht="15.75" customHeight="1">
      <c r="A186" s="168"/>
      <c r="B186" s="169">
        <v>45649.0</v>
      </c>
      <c r="C186" s="170">
        <v>7161.52</v>
      </c>
      <c r="D186" s="170">
        <v>7202.78</v>
      </c>
      <c r="E186" s="170">
        <v>7133.12</v>
      </c>
      <c r="F186" s="170">
        <v>7146.12</v>
      </c>
      <c r="G186" s="171" t="s">
        <v>238</v>
      </c>
      <c r="H186" s="172">
        <f t="shared" si="1"/>
        <v>-0.001594000186</v>
      </c>
      <c r="I186" s="172"/>
      <c r="J186" s="172"/>
      <c r="K186" s="188"/>
      <c r="L186" s="140"/>
      <c r="M186" s="140"/>
      <c r="N186" s="176">
        <f>IFERROR(__xludf.DUMMYFUNCTION("""COMPUTED_VALUE"""),45649.64583333333)</f>
        <v>45649.64583</v>
      </c>
      <c r="O186" s="177">
        <f>IFERROR(__xludf.DUMMYFUNCTION("""COMPUTED_VALUE"""),1294.65)</f>
        <v>1294.65</v>
      </c>
      <c r="P186" s="177">
        <f>IFERROR(__xludf.DUMMYFUNCTION("""COMPUTED_VALUE"""),1307.0)</f>
        <v>1307</v>
      </c>
      <c r="Q186" s="177">
        <f>IFERROR(__xludf.DUMMYFUNCTION("""COMPUTED_VALUE"""),1287.05)</f>
        <v>1287.05</v>
      </c>
      <c r="R186" s="177">
        <f>IFERROR(__xludf.DUMMYFUNCTION("""COMPUTED_VALUE"""),1296.8)</f>
        <v>1296.8</v>
      </c>
      <c r="S186" s="177">
        <f>IFERROR(__xludf.DUMMYFUNCTION("""COMPUTED_VALUE"""),6827512.0)</f>
        <v>6827512</v>
      </c>
      <c r="T186" s="177">
        <f t="shared" si="2"/>
        <v>0.006498552964</v>
      </c>
      <c r="U186" s="178"/>
      <c r="V186" s="177"/>
      <c r="W186" s="189"/>
      <c r="X186" s="140"/>
      <c r="Y186" s="140"/>
      <c r="Z186" s="176">
        <f>IFERROR(__xludf.DUMMYFUNCTION("""COMPUTED_VALUE"""),45649.64583333333)</f>
        <v>45649.64583</v>
      </c>
      <c r="AA186" s="177">
        <f>IFERROR(__xludf.DUMMYFUNCTION("""COMPUTED_VALUE"""),339.0)</f>
        <v>339</v>
      </c>
      <c r="AB186" s="177">
        <f>IFERROR(__xludf.DUMMYFUNCTION("""COMPUTED_VALUE"""),339.0)</f>
        <v>339</v>
      </c>
      <c r="AC186" s="177">
        <f>IFERROR(__xludf.DUMMYFUNCTION("""COMPUTED_VALUE"""),333.1)</f>
        <v>333.1</v>
      </c>
      <c r="AD186" s="177">
        <f>IFERROR(__xludf.DUMMYFUNCTION("""COMPUTED_VALUE"""),335.0)</f>
        <v>335</v>
      </c>
      <c r="AE186" s="177">
        <f>IFERROR(__xludf.DUMMYFUNCTION("""COMPUTED_VALUE"""),4070412.0)</f>
        <v>4070412</v>
      </c>
      <c r="AF186" s="177">
        <f t="shared" si="3"/>
        <v>-0.006249090415</v>
      </c>
      <c r="AG186" s="177"/>
      <c r="AH186" s="177"/>
      <c r="AI186" s="189"/>
      <c r="AJ186" s="140"/>
      <c r="AK186" s="140"/>
      <c r="AL186" s="176">
        <f>IFERROR(__xludf.DUMMYFUNCTION("""COMPUTED_VALUE"""),45649.64583333333)</f>
        <v>45649.64583</v>
      </c>
      <c r="AM186" s="177">
        <f>IFERROR(__xludf.DUMMYFUNCTION("""COMPUTED_VALUE"""),4239.0)</f>
        <v>4239</v>
      </c>
      <c r="AN186" s="177">
        <f>IFERROR(__xludf.DUMMYFUNCTION("""COMPUTED_VALUE"""),4249.85)</f>
        <v>4249.85</v>
      </c>
      <c r="AO186" s="177">
        <f>IFERROR(__xludf.DUMMYFUNCTION("""COMPUTED_VALUE"""),4150.0)</f>
        <v>4150</v>
      </c>
      <c r="AP186" s="177">
        <f>IFERROR(__xludf.DUMMYFUNCTION("""COMPUTED_VALUE"""),4226.0)</f>
        <v>4226</v>
      </c>
      <c r="AQ186" s="177">
        <f>IFERROR(__xludf.DUMMYFUNCTION("""COMPUTED_VALUE"""),947680.0)</f>
        <v>947680</v>
      </c>
      <c r="AR186" s="177">
        <f t="shared" si="4"/>
        <v>0.008507453702</v>
      </c>
      <c r="AS186" s="177"/>
      <c r="AT186" s="177"/>
      <c r="AU186" s="189"/>
      <c r="AV186" s="140"/>
      <c r="AW186" s="140"/>
      <c r="AX186" s="176">
        <f>IFERROR(__xludf.DUMMYFUNCTION("""COMPUTED_VALUE"""),45649.64583333333)</f>
        <v>45649.64583</v>
      </c>
      <c r="AY186" s="177">
        <f>IFERROR(__xludf.DUMMYFUNCTION("""COMPUTED_VALUE"""),471.2)</f>
        <v>471.2</v>
      </c>
      <c r="AZ186" s="177">
        <f>IFERROR(__xludf.DUMMYFUNCTION("""COMPUTED_VALUE"""),477.7)</f>
        <v>477.7</v>
      </c>
      <c r="BA186" s="177">
        <f>IFERROR(__xludf.DUMMYFUNCTION("""COMPUTED_VALUE"""),467.6)</f>
        <v>467.6</v>
      </c>
      <c r="BB186" s="177">
        <f>IFERROR(__xludf.DUMMYFUNCTION("""COMPUTED_VALUE"""),474.25)</f>
        <v>474.25</v>
      </c>
      <c r="BC186" s="177">
        <f>IFERROR(__xludf.DUMMYFUNCTION("""COMPUTED_VALUE"""),1.8837469E7)</f>
        <v>18837469</v>
      </c>
      <c r="BD186" s="177">
        <f t="shared" si="5"/>
        <v>0.02045017481</v>
      </c>
      <c r="BE186" s="177"/>
      <c r="BF186" s="177"/>
      <c r="BG186" s="189"/>
      <c r="BH186" s="140"/>
      <c r="BI186" s="140"/>
      <c r="BJ186" s="140"/>
      <c r="BK186" s="140"/>
      <c r="BL186" s="140"/>
      <c r="BM186" s="140"/>
      <c r="BN186" s="140"/>
      <c r="BO186" s="140"/>
      <c r="BP186" s="140"/>
      <c r="BQ186" s="140"/>
      <c r="BR186" s="140"/>
      <c r="BS186" s="140"/>
      <c r="BT186" s="140"/>
      <c r="BU186" s="140"/>
      <c r="BV186" s="140"/>
      <c r="BW186" s="140"/>
      <c r="BX186" s="140"/>
      <c r="BY186" s="140"/>
    </row>
    <row r="187" ht="15.75" customHeight="1">
      <c r="A187" s="168"/>
      <c r="B187" s="169">
        <v>45650.0</v>
      </c>
      <c r="C187" s="170">
        <v>7148.78</v>
      </c>
      <c r="D187" s="170">
        <v>7181.12</v>
      </c>
      <c r="E187" s="170">
        <v>7142.12</v>
      </c>
      <c r="F187" s="170">
        <v>7155.52</v>
      </c>
      <c r="G187" s="171" t="s">
        <v>238</v>
      </c>
      <c r="H187" s="172">
        <f t="shared" si="1"/>
        <v>0.001314534746</v>
      </c>
      <c r="I187" s="172"/>
      <c r="J187" s="172"/>
      <c r="K187" s="188"/>
      <c r="L187" s="140"/>
      <c r="M187" s="140"/>
      <c r="N187" s="176">
        <f>IFERROR(__xludf.DUMMYFUNCTION("""COMPUTED_VALUE"""),45650.64583333333)</f>
        <v>45650.64583</v>
      </c>
      <c r="O187" s="177">
        <f>IFERROR(__xludf.DUMMYFUNCTION("""COMPUTED_VALUE"""),1296.8)</f>
        <v>1296.8</v>
      </c>
      <c r="P187" s="177">
        <f>IFERROR(__xludf.DUMMYFUNCTION("""COMPUTED_VALUE"""),1304.5)</f>
        <v>1304.5</v>
      </c>
      <c r="Q187" s="177">
        <f>IFERROR(__xludf.DUMMYFUNCTION("""COMPUTED_VALUE"""),1290.25)</f>
        <v>1290.25</v>
      </c>
      <c r="R187" s="177">
        <f>IFERROR(__xludf.DUMMYFUNCTION("""COMPUTED_VALUE"""),1297.25)</f>
        <v>1297.25</v>
      </c>
      <c r="S187" s="177">
        <f>IFERROR(__xludf.DUMMYFUNCTION("""COMPUTED_VALUE"""),7138516.0)</f>
        <v>7138516</v>
      </c>
      <c r="T187" s="177">
        <f t="shared" si="2"/>
        <v>0.0003469478264</v>
      </c>
      <c r="U187" s="178"/>
      <c r="V187" s="177"/>
      <c r="W187" s="189"/>
      <c r="X187" s="140"/>
      <c r="Y187" s="140"/>
      <c r="Z187" s="176">
        <f>IFERROR(__xludf.DUMMYFUNCTION("""COMPUTED_VALUE"""),45650.64583333333)</f>
        <v>45650.64583</v>
      </c>
      <c r="AA187" s="177">
        <f>IFERROR(__xludf.DUMMYFUNCTION("""COMPUTED_VALUE"""),336.0)</f>
        <v>336</v>
      </c>
      <c r="AB187" s="177">
        <f>IFERROR(__xludf.DUMMYFUNCTION("""COMPUTED_VALUE"""),337.5)</f>
        <v>337.5</v>
      </c>
      <c r="AC187" s="177">
        <f>IFERROR(__xludf.DUMMYFUNCTION("""COMPUTED_VALUE"""),327.15)</f>
        <v>327.15</v>
      </c>
      <c r="AD187" s="177">
        <f>IFERROR(__xludf.DUMMYFUNCTION("""COMPUTED_VALUE"""),333.55)</f>
        <v>333.55</v>
      </c>
      <c r="AE187" s="177">
        <f>IFERROR(__xludf.DUMMYFUNCTION("""COMPUTED_VALUE"""),5404134.0)</f>
        <v>5404134</v>
      </c>
      <c r="AF187" s="177">
        <f t="shared" si="3"/>
        <v>-0.00433775267</v>
      </c>
      <c r="AG187" s="177"/>
      <c r="AH187" s="177"/>
      <c r="AI187" s="189"/>
      <c r="AJ187" s="140"/>
      <c r="AK187" s="140"/>
      <c r="AL187" s="176">
        <f>IFERROR(__xludf.DUMMYFUNCTION("""COMPUTED_VALUE"""),45650.64583333333)</f>
        <v>45650.64583</v>
      </c>
      <c r="AM187" s="177">
        <f>IFERROR(__xludf.DUMMYFUNCTION("""COMPUTED_VALUE"""),4255.0)</f>
        <v>4255</v>
      </c>
      <c r="AN187" s="177">
        <f>IFERROR(__xludf.DUMMYFUNCTION("""COMPUTED_VALUE"""),4281.5)</f>
        <v>4281.5</v>
      </c>
      <c r="AO187" s="177">
        <f>IFERROR(__xludf.DUMMYFUNCTION("""COMPUTED_VALUE"""),4205.75)</f>
        <v>4205.75</v>
      </c>
      <c r="AP187" s="177">
        <f>IFERROR(__xludf.DUMMYFUNCTION("""COMPUTED_VALUE"""),4216.2)</f>
        <v>4216.2</v>
      </c>
      <c r="AQ187" s="177">
        <f>IFERROR(__xludf.DUMMYFUNCTION("""COMPUTED_VALUE"""),947702.0)</f>
        <v>947702</v>
      </c>
      <c r="AR187" s="177">
        <f t="shared" si="4"/>
        <v>-0.00232167075</v>
      </c>
      <c r="AS187" s="177"/>
      <c r="AT187" s="177"/>
      <c r="AU187" s="189"/>
      <c r="AV187" s="140"/>
      <c r="AW187" s="140"/>
      <c r="AX187" s="176">
        <f>IFERROR(__xludf.DUMMYFUNCTION("""COMPUTED_VALUE"""),45650.64583333333)</f>
        <v>45650.64583</v>
      </c>
      <c r="AY187" s="177">
        <f>IFERROR(__xludf.DUMMYFUNCTION("""COMPUTED_VALUE"""),474.9)</f>
        <v>474.9</v>
      </c>
      <c r="AZ187" s="177">
        <f>IFERROR(__xludf.DUMMYFUNCTION("""COMPUTED_VALUE"""),480.25)</f>
        <v>480.25</v>
      </c>
      <c r="BA187" s="177">
        <f>IFERROR(__xludf.DUMMYFUNCTION("""COMPUTED_VALUE"""),472.65)</f>
        <v>472.65</v>
      </c>
      <c r="BB187" s="177">
        <f>IFERROR(__xludf.DUMMYFUNCTION("""COMPUTED_VALUE"""),478.45)</f>
        <v>478.45</v>
      </c>
      <c r="BC187" s="177">
        <f>IFERROR(__xludf.DUMMYFUNCTION("""COMPUTED_VALUE"""),1.1564497E7)</f>
        <v>11564497</v>
      </c>
      <c r="BD187" s="177">
        <f t="shared" si="5"/>
        <v>0.00881710341</v>
      </c>
      <c r="BE187" s="177"/>
      <c r="BF187" s="177"/>
      <c r="BG187" s="189"/>
      <c r="BH187" s="140"/>
      <c r="BI187" s="140"/>
      <c r="BJ187" s="140"/>
      <c r="BK187" s="140"/>
      <c r="BL187" s="140"/>
      <c r="BM187" s="140"/>
      <c r="BN187" s="140"/>
      <c r="BO187" s="140"/>
      <c r="BP187" s="140"/>
      <c r="BQ187" s="140"/>
      <c r="BR187" s="140"/>
      <c r="BS187" s="140"/>
      <c r="BT187" s="140"/>
      <c r="BU187" s="140"/>
      <c r="BV187" s="140"/>
      <c r="BW187" s="140"/>
      <c r="BX187" s="140"/>
      <c r="BY187" s="140"/>
    </row>
    <row r="188" ht="15.75" customHeight="1">
      <c r="A188" s="168"/>
      <c r="B188" s="169">
        <v>45652.0</v>
      </c>
      <c r="C188" s="170">
        <v>7164.78</v>
      </c>
      <c r="D188" s="170">
        <v>7234.78</v>
      </c>
      <c r="E188" s="170">
        <v>7161.12</v>
      </c>
      <c r="F188" s="170">
        <v>7215.12</v>
      </c>
      <c r="G188" s="171" t="s">
        <v>238</v>
      </c>
      <c r="H188" s="172">
        <f t="shared" si="1"/>
        <v>0.008294737287</v>
      </c>
      <c r="I188" s="172"/>
      <c r="J188" s="172"/>
      <c r="K188" s="188"/>
      <c r="L188" s="140"/>
      <c r="M188" s="140"/>
      <c r="N188" s="176">
        <f>IFERROR(__xludf.DUMMYFUNCTION("""COMPUTED_VALUE"""),45652.64583333333)</f>
        <v>45652.64583</v>
      </c>
      <c r="O188" s="177">
        <f>IFERROR(__xludf.DUMMYFUNCTION("""COMPUTED_VALUE"""),1307.0)</f>
        <v>1307</v>
      </c>
      <c r="P188" s="177">
        <f>IFERROR(__xludf.DUMMYFUNCTION("""COMPUTED_VALUE"""),1312.75)</f>
        <v>1312.75</v>
      </c>
      <c r="Q188" s="177">
        <f>IFERROR(__xludf.DUMMYFUNCTION("""COMPUTED_VALUE"""),1289.2)</f>
        <v>1289.2</v>
      </c>
      <c r="R188" s="177">
        <f>IFERROR(__xludf.DUMMYFUNCTION("""COMPUTED_VALUE"""),1297.35)</f>
        <v>1297.35</v>
      </c>
      <c r="S188" s="177">
        <f>IFERROR(__xludf.DUMMYFUNCTION("""COMPUTED_VALUE"""),7338444.0)</f>
        <v>7338444</v>
      </c>
      <c r="T188" s="177">
        <f t="shared" si="2"/>
        <v>0.00007708317278</v>
      </c>
      <c r="U188" s="178"/>
      <c r="V188" s="177"/>
      <c r="W188" s="189"/>
      <c r="X188" s="140"/>
      <c r="Y188" s="140"/>
      <c r="Z188" s="176">
        <f>IFERROR(__xludf.DUMMYFUNCTION("""COMPUTED_VALUE"""),45652.64583333333)</f>
        <v>45652.64583</v>
      </c>
      <c r="AA188" s="177">
        <f>IFERROR(__xludf.DUMMYFUNCTION("""COMPUTED_VALUE"""),334.65)</f>
        <v>334.65</v>
      </c>
      <c r="AB188" s="177">
        <f>IFERROR(__xludf.DUMMYFUNCTION("""COMPUTED_VALUE"""),336.05)</f>
        <v>336.05</v>
      </c>
      <c r="AC188" s="177">
        <f>IFERROR(__xludf.DUMMYFUNCTION("""COMPUTED_VALUE"""),331.4)</f>
        <v>331.4</v>
      </c>
      <c r="AD188" s="177">
        <f>IFERROR(__xludf.DUMMYFUNCTION("""COMPUTED_VALUE"""),332.35)</f>
        <v>332.35</v>
      </c>
      <c r="AE188" s="177">
        <f>IFERROR(__xludf.DUMMYFUNCTION("""COMPUTED_VALUE"""),6062223.0)</f>
        <v>6062223</v>
      </c>
      <c r="AF188" s="177">
        <f t="shared" si="3"/>
        <v>-0.003604148668</v>
      </c>
      <c r="AG188" s="177"/>
      <c r="AH188" s="177"/>
      <c r="AI188" s="189"/>
      <c r="AJ188" s="140"/>
      <c r="AK188" s="140"/>
      <c r="AL188" s="176">
        <f>IFERROR(__xludf.DUMMYFUNCTION("""COMPUTED_VALUE"""),45652.64583333333)</f>
        <v>45652.64583</v>
      </c>
      <c r="AM188" s="177">
        <f>IFERROR(__xludf.DUMMYFUNCTION("""COMPUTED_VALUE"""),4233.0)</f>
        <v>4233</v>
      </c>
      <c r="AN188" s="177">
        <f>IFERROR(__xludf.DUMMYFUNCTION("""COMPUTED_VALUE"""),4245.0)</f>
        <v>4245</v>
      </c>
      <c r="AO188" s="177">
        <f>IFERROR(__xludf.DUMMYFUNCTION("""COMPUTED_VALUE"""),4195.0)</f>
        <v>4195</v>
      </c>
      <c r="AP188" s="177">
        <f>IFERROR(__xludf.DUMMYFUNCTION("""COMPUTED_VALUE"""),4229.2)</f>
        <v>4229.2</v>
      </c>
      <c r="AQ188" s="177">
        <f>IFERROR(__xludf.DUMMYFUNCTION("""COMPUTED_VALUE"""),637396.0)</f>
        <v>637396</v>
      </c>
      <c r="AR188" s="177">
        <f t="shared" si="4"/>
        <v>0.003078601432</v>
      </c>
      <c r="AS188" s="177"/>
      <c r="AT188" s="177"/>
      <c r="AU188" s="189"/>
      <c r="AV188" s="140"/>
      <c r="AW188" s="140"/>
      <c r="AX188" s="176">
        <f>IFERROR(__xludf.DUMMYFUNCTION("""COMPUTED_VALUE"""),45652.64583333333)</f>
        <v>45652.64583</v>
      </c>
      <c r="AY188" s="177">
        <f>IFERROR(__xludf.DUMMYFUNCTION("""COMPUTED_VALUE"""),480.55)</f>
        <v>480.55</v>
      </c>
      <c r="AZ188" s="177">
        <f>IFERROR(__xludf.DUMMYFUNCTION("""COMPUTED_VALUE"""),481.85)</f>
        <v>481.85</v>
      </c>
      <c r="BA188" s="177">
        <f>IFERROR(__xludf.DUMMYFUNCTION("""COMPUTED_VALUE"""),476.0)</f>
        <v>476</v>
      </c>
      <c r="BB188" s="177">
        <f>IFERROR(__xludf.DUMMYFUNCTION("""COMPUTED_VALUE"""),476.95)</f>
        <v>476.95</v>
      </c>
      <c r="BC188" s="177">
        <f>IFERROR(__xludf.DUMMYFUNCTION("""COMPUTED_VALUE"""),8848065.0)</f>
        <v>8848065</v>
      </c>
      <c r="BD188" s="177">
        <f t="shared" si="5"/>
        <v>-0.003140048634</v>
      </c>
      <c r="BE188" s="177"/>
      <c r="BF188" s="177"/>
      <c r="BG188" s="189"/>
      <c r="BH188" s="140"/>
      <c r="BI188" s="140"/>
      <c r="BJ188" s="140"/>
      <c r="BK188" s="140"/>
      <c r="BL188" s="140"/>
      <c r="BM188" s="140"/>
      <c r="BN188" s="140"/>
      <c r="BO188" s="140"/>
      <c r="BP188" s="140"/>
      <c r="BQ188" s="140"/>
      <c r="BR188" s="140"/>
      <c r="BS188" s="140"/>
      <c r="BT188" s="140"/>
      <c r="BU188" s="140"/>
      <c r="BV188" s="140"/>
      <c r="BW188" s="140"/>
      <c r="BX188" s="140"/>
      <c r="BY188" s="140"/>
    </row>
    <row r="189" ht="15.75" customHeight="1">
      <c r="A189" s="168"/>
      <c r="B189" s="169">
        <v>45653.0</v>
      </c>
      <c r="C189" s="170">
        <v>7216.78</v>
      </c>
      <c r="D189" s="170">
        <v>7272.12</v>
      </c>
      <c r="E189" s="170">
        <v>7173.12</v>
      </c>
      <c r="F189" s="170">
        <v>7192.12</v>
      </c>
      <c r="G189" s="171" t="s">
        <v>238</v>
      </c>
      <c r="H189" s="172">
        <f t="shared" si="1"/>
        <v>-0.003192841868</v>
      </c>
      <c r="I189" s="172"/>
      <c r="J189" s="172"/>
      <c r="K189" s="188"/>
      <c r="L189" s="140"/>
      <c r="M189" s="140"/>
      <c r="N189" s="176">
        <f>IFERROR(__xludf.DUMMYFUNCTION("""COMPUTED_VALUE"""),45653.64583333333)</f>
        <v>45653.64583</v>
      </c>
      <c r="O189" s="177">
        <f>IFERROR(__xludf.DUMMYFUNCTION("""COMPUTED_VALUE"""),1298.55)</f>
        <v>1298.55</v>
      </c>
      <c r="P189" s="177">
        <f>IFERROR(__xludf.DUMMYFUNCTION("""COMPUTED_VALUE"""),1315.95)</f>
        <v>1315.95</v>
      </c>
      <c r="Q189" s="177">
        <f>IFERROR(__xludf.DUMMYFUNCTION("""COMPUTED_VALUE"""),1298.55)</f>
        <v>1298.55</v>
      </c>
      <c r="R189" s="177">
        <f>IFERROR(__xludf.DUMMYFUNCTION("""COMPUTED_VALUE"""),1307.55)</f>
        <v>1307.55</v>
      </c>
      <c r="S189" s="177">
        <f>IFERROR(__xludf.DUMMYFUNCTION("""COMPUTED_VALUE"""),4756066.0)</f>
        <v>4756066</v>
      </c>
      <c r="T189" s="177">
        <f t="shared" si="2"/>
        <v>0.007831434705</v>
      </c>
      <c r="U189" s="178"/>
      <c r="V189" s="177"/>
      <c r="W189" s="189"/>
      <c r="X189" s="140"/>
      <c r="Y189" s="140"/>
      <c r="Z189" s="176">
        <f>IFERROR(__xludf.DUMMYFUNCTION("""COMPUTED_VALUE"""),45653.64583333333)</f>
        <v>45653.64583</v>
      </c>
      <c r="AA189" s="177">
        <f>IFERROR(__xludf.DUMMYFUNCTION("""COMPUTED_VALUE"""),332.5)</f>
        <v>332.5</v>
      </c>
      <c r="AB189" s="177">
        <f>IFERROR(__xludf.DUMMYFUNCTION("""COMPUTED_VALUE"""),337.2)</f>
        <v>337.2</v>
      </c>
      <c r="AC189" s="177">
        <f>IFERROR(__xludf.DUMMYFUNCTION("""COMPUTED_VALUE"""),328.65)</f>
        <v>328.65</v>
      </c>
      <c r="AD189" s="177">
        <f>IFERROR(__xludf.DUMMYFUNCTION("""COMPUTED_VALUE"""),329.55)</f>
        <v>329.55</v>
      </c>
      <c r="AE189" s="177">
        <f>IFERROR(__xludf.DUMMYFUNCTION("""COMPUTED_VALUE"""),4035369.0)</f>
        <v>4035369</v>
      </c>
      <c r="AF189" s="177">
        <f t="shared" si="3"/>
        <v>-0.008460542989</v>
      </c>
      <c r="AG189" s="177"/>
      <c r="AH189" s="177"/>
      <c r="AI189" s="189"/>
      <c r="AJ189" s="140"/>
      <c r="AK189" s="140"/>
      <c r="AL189" s="176">
        <f>IFERROR(__xludf.DUMMYFUNCTION("""COMPUTED_VALUE"""),45653.64583333333)</f>
        <v>45653.64583</v>
      </c>
      <c r="AM189" s="177">
        <f>IFERROR(__xludf.DUMMYFUNCTION("""COMPUTED_VALUE"""),4240.0)</f>
        <v>4240</v>
      </c>
      <c r="AN189" s="177">
        <f>IFERROR(__xludf.DUMMYFUNCTION("""COMPUTED_VALUE"""),4293.0)</f>
        <v>4293</v>
      </c>
      <c r="AO189" s="177">
        <f>IFERROR(__xludf.DUMMYFUNCTION("""COMPUTED_VALUE"""),4203.2)</f>
        <v>4203.2</v>
      </c>
      <c r="AP189" s="177">
        <f>IFERROR(__xludf.DUMMYFUNCTION("""COMPUTED_VALUE"""),4233.35)</f>
        <v>4233.35</v>
      </c>
      <c r="AQ189" s="177">
        <f>IFERROR(__xludf.DUMMYFUNCTION("""COMPUTED_VALUE"""),873116.0)</f>
        <v>873116</v>
      </c>
      <c r="AR189" s="177">
        <f t="shared" si="4"/>
        <v>0.0009807919203</v>
      </c>
      <c r="AS189" s="177"/>
      <c r="AT189" s="177"/>
      <c r="AU189" s="189"/>
      <c r="AV189" s="140"/>
      <c r="AW189" s="140"/>
      <c r="AX189" s="176">
        <f>IFERROR(__xludf.DUMMYFUNCTION("""COMPUTED_VALUE"""),45653.64583333333)</f>
        <v>45653.64583</v>
      </c>
      <c r="AY189" s="177">
        <f>IFERROR(__xludf.DUMMYFUNCTION("""COMPUTED_VALUE"""),479.75)</f>
        <v>479.75</v>
      </c>
      <c r="AZ189" s="177">
        <f>IFERROR(__xludf.DUMMYFUNCTION("""COMPUTED_VALUE"""),481.9)</f>
        <v>481.9</v>
      </c>
      <c r="BA189" s="177">
        <f>IFERROR(__xludf.DUMMYFUNCTION("""COMPUTED_VALUE"""),476.0)</f>
        <v>476</v>
      </c>
      <c r="BB189" s="177">
        <f>IFERROR(__xludf.DUMMYFUNCTION("""COMPUTED_VALUE"""),478.6)</f>
        <v>478.6</v>
      </c>
      <c r="BC189" s="177">
        <f>IFERROR(__xludf.DUMMYFUNCTION("""COMPUTED_VALUE"""),1.627945E7)</f>
        <v>16279450</v>
      </c>
      <c r="BD189" s="177">
        <f t="shared" si="5"/>
        <v>0.003453511883</v>
      </c>
      <c r="BE189" s="177"/>
      <c r="BF189" s="177"/>
      <c r="BG189" s="189"/>
      <c r="BH189" s="140"/>
      <c r="BI189" s="140"/>
      <c r="BJ189" s="140"/>
      <c r="BK189" s="140"/>
      <c r="BL189" s="140"/>
      <c r="BM189" s="140"/>
      <c r="BN189" s="140"/>
      <c r="BO189" s="140"/>
      <c r="BP189" s="140"/>
      <c r="BQ189" s="140"/>
      <c r="BR189" s="140"/>
      <c r="BS189" s="140"/>
      <c r="BT189" s="140"/>
      <c r="BU189" s="140"/>
      <c r="BV189" s="140"/>
      <c r="BW189" s="140"/>
      <c r="BX189" s="140"/>
      <c r="BY189" s="140"/>
    </row>
    <row r="190" ht="15.75" customHeight="1">
      <c r="A190" s="168"/>
      <c r="B190" s="169">
        <v>45656.0</v>
      </c>
      <c r="C190" s="170">
        <v>7193.52</v>
      </c>
      <c r="D190" s="170">
        <v>7227.12</v>
      </c>
      <c r="E190" s="170">
        <v>7135.52</v>
      </c>
      <c r="F190" s="170">
        <v>7162.12</v>
      </c>
      <c r="G190" s="171" t="s">
        <v>238</v>
      </c>
      <c r="H190" s="172">
        <f t="shared" si="1"/>
        <v>-0.004179955704</v>
      </c>
      <c r="I190" s="172"/>
      <c r="J190" s="172"/>
      <c r="K190" s="188"/>
      <c r="L190" s="140"/>
      <c r="M190" s="140"/>
      <c r="N190" s="176">
        <f>IFERROR(__xludf.DUMMYFUNCTION("""COMPUTED_VALUE"""),45656.64583333333)</f>
        <v>45656.64583</v>
      </c>
      <c r="O190" s="177">
        <f>IFERROR(__xludf.DUMMYFUNCTION("""COMPUTED_VALUE"""),1304.95)</f>
        <v>1304.95</v>
      </c>
      <c r="P190" s="177">
        <f>IFERROR(__xludf.DUMMYFUNCTION("""COMPUTED_VALUE"""),1326.5)</f>
        <v>1326.5</v>
      </c>
      <c r="Q190" s="177">
        <f>IFERROR(__xludf.DUMMYFUNCTION("""COMPUTED_VALUE"""),1289.45)</f>
        <v>1289.45</v>
      </c>
      <c r="R190" s="177">
        <f>IFERROR(__xludf.DUMMYFUNCTION("""COMPUTED_VALUE"""),1294.65)</f>
        <v>1294.65</v>
      </c>
      <c r="S190" s="177">
        <f>IFERROR(__xludf.DUMMYFUNCTION("""COMPUTED_VALUE"""),1.4207425E7)</f>
        <v>14207425</v>
      </c>
      <c r="T190" s="177">
        <f t="shared" si="2"/>
        <v>-0.009914768792</v>
      </c>
      <c r="U190" s="178"/>
      <c r="V190" s="177"/>
      <c r="W190" s="189"/>
      <c r="X190" s="140"/>
      <c r="Y190" s="140"/>
      <c r="Z190" s="176">
        <f>IFERROR(__xludf.DUMMYFUNCTION("""COMPUTED_VALUE"""),45656.64583333333)</f>
        <v>45656.64583</v>
      </c>
      <c r="AA190" s="177">
        <f>IFERROR(__xludf.DUMMYFUNCTION("""COMPUTED_VALUE"""),331.9)</f>
        <v>331.9</v>
      </c>
      <c r="AB190" s="177">
        <f>IFERROR(__xludf.DUMMYFUNCTION("""COMPUTED_VALUE"""),342.55)</f>
        <v>342.55</v>
      </c>
      <c r="AC190" s="177">
        <f>IFERROR(__xludf.DUMMYFUNCTION("""COMPUTED_VALUE"""),329.65)</f>
        <v>329.65</v>
      </c>
      <c r="AD190" s="177">
        <f>IFERROR(__xludf.DUMMYFUNCTION("""COMPUTED_VALUE"""),340.05)</f>
        <v>340.05</v>
      </c>
      <c r="AE190" s="177">
        <f>IFERROR(__xludf.DUMMYFUNCTION("""COMPUTED_VALUE"""),1.7505371E7)</f>
        <v>17505371</v>
      </c>
      <c r="AF190" s="177">
        <f t="shared" si="3"/>
        <v>0.03136457812</v>
      </c>
      <c r="AG190" s="177"/>
      <c r="AH190" s="177"/>
      <c r="AI190" s="189"/>
      <c r="AJ190" s="140"/>
      <c r="AK190" s="140"/>
      <c r="AL190" s="176">
        <f>IFERROR(__xludf.DUMMYFUNCTION("""COMPUTED_VALUE"""),45656.64583333333)</f>
        <v>45656.64583</v>
      </c>
      <c r="AM190" s="177">
        <f>IFERROR(__xludf.DUMMYFUNCTION("""COMPUTED_VALUE"""),4239.0)</f>
        <v>4239</v>
      </c>
      <c r="AN190" s="177">
        <f>IFERROR(__xludf.DUMMYFUNCTION("""COMPUTED_VALUE"""),4250.0)</f>
        <v>4250</v>
      </c>
      <c r="AO190" s="177">
        <f>IFERROR(__xludf.DUMMYFUNCTION("""COMPUTED_VALUE"""),4050.0)</f>
        <v>4050</v>
      </c>
      <c r="AP190" s="177">
        <f>IFERROR(__xludf.DUMMYFUNCTION("""COMPUTED_VALUE"""),4081.05)</f>
        <v>4081.05</v>
      </c>
      <c r="AQ190" s="177">
        <f>IFERROR(__xludf.DUMMYFUNCTION("""COMPUTED_VALUE"""),3291426.0)</f>
        <v>3291426</v>
      </c>
      <c r="AR190" s="177">
        <f t="shared" si="4"/>
        <v>-0.03663933355</v>
      </c>
      <c r="AS190" s="177"/>
      <c r="AT190" s="177"/>
      <c r="AU190" s="189"/>
      <c r="AV190" s="140"/>
      <c r="AW190" s="140"/>
      <c r="AX190" s="176">
        <f>IFERROR(__xludf.DUMMYFUNCTION("""COMPUTED_VALUE"""),45656.64583333333)</f>
        <v>45656.64583</v>
      </c>
      <c r="AY190" s="177">
        <f>IFERROR(__xludf.DUMMYFUNCTION("""COMPUTED_VALUE"""),480.75)</f>
        <v>480.75</v>
      </c>
      <c r="AZ190" s="177">
        <f>IFERROR(__xludf.DUMMYFUNCTION("""COMPUTED_VALUE"""),481.45)</f>
        <v>481.45</v>
      </c>
      <c r="BA190" s="177">
        <f>IFERROR(__xludf.DUMMYFUNCTION("""COMPUTED_VALUE"""),476.0)</f>
        <v>476</v>
      </c>
      <c r="BB190" s="177">
        <f>IFERROR(__xludf.DUMMYFUNCTION("""COMPUTED_VALUE"""),477.0)</f>
        <v>477</v>
      </c>
      <c r="BC190" s="177">
        <f>IFERROR(__xludf.DUMMYFUNCTION("""COMPUTED_VALUE"""),1.307481E7)</f>
        <v>13074810</v>
      </c>
      <c r="BD190" s="177">
        <f t="shared" si="5"/>
        <v>-0.003348684586</v>
      </c>
      <c r="BE190" s="177"/>
      <c r="BF190" s="177"/>
      <c r="BG190" s="189"/>
      <c r="BH190" s="140"/>
      <c r="BI190" s="140"/>
      <c r="BJ190" s="140"/>
      <c r="BK190" s="140"/>
      <c r="BL190" s="140"/>
      <c r="BM190" s="140"/>
      <c r="BN190" s="140"/>
      <c r="BO190" s="140"/>
      <c r="BP190" s="140"/>
      <c r="BQ190" s="140"/>
      <c r="BR190" s="140"/>
      <c r="BS190" s="140"/>
      <c r="BT190" s="140"/>
      <c r="BU190" s="140"/>
      <c r="BV190" s="140"/>
      <c r="BW190" s="140"/>
      <c r="BX190" s="140"/>
      <c r="BY190" s="140"/>
    </row>
    <row r="191" ht="15.75" customHeight="1">
      <c r="A191" s="168"/>
      <c r="B191" s="169">
        <v>45657.0</v>
      </c>
      <c r="C191" s="170">
        <v>7165.12</v>
      </c>
      <c r="D191" s="170">
        <v>7229.52</v>
      </c>
      <c r="E191" s="170">
        <v>7156.78</v>
      </c>
      <c r="F191" s="170">
        <v>7216.78</v>
      </c>
      <c r="G191" s="171" t="s">
        <v>238</v>
      </c>
      <c r="H191" s="172">
        <f t="shared" si="1"/>
        <v>0.007602843513</v>
      </c>
      <c r="I191" s="172"/>
      <c r="J191" s="172"/>
      <c r="K191" s="188"/>
      <c r="L191" s="140"/>
      <c r="M191" s="140"/>
      <c r="N191" s="176">
        <f>IFERROR(__xludf.DUMMYFUNCTION("""COMPUTED_VALUE"""),45657.64583333333)</f>
        <v>45657.64583</v>
      </c>
      <c r="O191" s="177">
        <f>IFERROR(__xludf.DUMMYFUNCTION("""COMPUTED_VALUE"""),1286.9)</f>
        <v>1286.9</v>
      </c>
      <c r="P191" s="177">
        <f>IFERROR(__xludf.DUMMYFUNCTION("""COMPUTED_VALUE"""),1289.95)</f>
        <v>1289.95</v>
      </c>
      <c r="Q191" s="177">
        <f>IFERROR(__xludf.DUMMYFUNCTION("""COMPUTED_VALUE"""),1280.1)</f>
        <v>1280.1</v>
      </c>
      <c r="R191" s="177">
        <f>IFERROR(__xludf.DUMMYFUNCTION("""COMPUTED_VALUE"""),1281.65)</f>
        <v>1281.65</v>
      </c>
      <c r="S191" s="177">
        <f>IFERROR(__xludf.DUMMYFUNCTION("""COMPUTED_VALUE"""),8449607.0)</f>
        <v>8449607</v>
      </c>
      <c r="T191" s="177">
        <f t="shared" si="2"/>
        <v>-0.01009207805</v>
      </c>
      <c r="U191" s="178"/>
      <c r="V191" s="177"/>
      <c r="W191" s="189"/>
      <c r="X191" s="140"/>
      <c r="Y191" s="140"/>
      <c r="Z191" s="176">
        <f>IFERROR(__xludf.DUMMYFUNCTION("""COMPUTED_VALUE"""),45657.64583333333)</f>
        <v>45657.64583</v>
      </c>
      <c r="AA191" s="177">
        <f>IFERROR(__xludf.DUMMYFUNCTION("""COMPUTED_VALUE"""),341.8)</f>
        <v>341.8</v>
      </c>
      <c r="AB191" s="177">
        <f>IFERROR(__xludf.DUMMYFUNCTION("""COMPUTED_VALUE"""),343.8)</f>
        <v>343.8</v>
      </c>
      <c r="AC191" s="177">
        <f>IFERROR(__xludf.DUMMYFUNCTION("""COMPUTED_VALUE"""),335.2)</f>
        <v>335.2</v>
      </c>
      <c r="AD191" s="177">
        <f>IFERROR(__xludf.DUMMYFUNCTION("""COMPUTED_VALUE"""),341.8)</f>
        <v>341.8</v>
      </c>
      <c r="AE191" s="177">
        <f>IFERROR(__xludf.DUMMYFUNCTION("""COMPUTED_VALUE"""),7230147.0)</f>
        <v>7230147</v>
      </c>
      <c r="AF191" s="177">
        <f t="shared" si="3"/>
        <v>0.00513310506</v>
      </c>
      <c r="AG191" s="177"/>
      <c r="AH191" s="177"/>
      <c r="AI191" s="189"/>
      <c r="AJ191" s="140"/>
      <c r="AK191" s="140"/>
      <c r="AL191" s="176">
        <f>IFERROR(__xludf.DUMMYFUNCTION("""COMPUTED_VALUE"""),45657.64583333333)</f>
        <v>45657.64583</v>
      </c>
      <c r="AM191" s="177">
        <f>IFERROR(__xludf.DUMMYFUNCTION("""COMPUTED_VALUE"""),4081.05)</f>
        <v>4081.05</v>
      </c>
      <c r="AN191" s="177">
        <f>IFERROR(__xludf.DUMMYFUNCTION("""COMPUTED_VALUE"""),4198.9)</f>
        <v>4198.9</v>
      </c>
      <c r="AO191" s="177">
        <f>IFERROR(__xludf.DUMMYFUNCTION("""COMPUTED_VALUE"""),4081.0)</f>
        <v>4081</v>
      </c>
      <c r="AP191" s="177">
        <f>IFERROR(__xludf.DUMMYFUNCTION("""COMPUTED_VALUE"""),4178.35)</f>
        <v>4178.35</v>
      </c>
      <c r="AQ191" s="177">
        <f>IFERROR(__xludf.DUMMYFUNCTION("""COMPUTED_VALUE"""),901281.0)</f>
        <v>901281</v>
      </c>
      <c r="AR191" s="177">
        <f t="shared" si="4"/>
        <v>0.02356212352</v>
      </c>
      <c r="AS191" s="177"/>
      <c r="AT191" s="177"/>
      <c r="AU191" s="189"/>
      <c r="AV191" s="140"/>
      <c r="AW191" s="140"/>
      <c r="AX191" s="176">
        <f>IFERROR(__xludf.DUMMYFUNCTION("""COMPUTED_VALUE"""),45657.64583333333)</f>
        <v>45657.64583</v>
      </c>
      <c r="AY191" s="177">
        <f>IFERROR(__xludf.DUMMYFUNCTION("""COMPUTED_VALUE"""),478.45)</f>
        <v>478.45</v>
      </c>
      <c r="AZ191" s="177">
        <f>IFERROR(__xludf.DUMMYFUNCTION("""COMPUTED_VALUE"""),484.65)</f>
        <v>484.65</v>
      </c>
      <c r="BA191" s="177">
        <f>IFERROR(__xludf.DUMMYFUNCTION("""COMPUTED_VALUE"""),474.55)</f>
        <v>474.55</v>
      </c>
      <c r="BB191" s="177">
        <f>IFERROR(__xludf.DUMMYFUNCTION("""COMPUTED_VALUE"""),483.65)</f>
        <v>483.65</v>
      </c>
      <c r="BC191" s="177">
        <f>IFERROR(__xludf.DUMMYFUNCTION("""COMPUTED_VALUE"""),1.3276195E7)</f>
        <v>13276195</v>
      </c>
      <c r="BD191" s="177">
        <f t="shared" si="5"/>
        <v>0.01384501374</v>
      </c>
      <c r="BE191" s="177"/>
      <c r="BF191" s="177"/>
      <c r="BG191" s="189"/>
      <c r="BH191" s="140"/>
      <c r="BI191" s="140"/>
      <c r="BJ191" s="140"/>
      <c r="BK191" s="140"/>
      <c r="BL191" s="140"/>
      <c r="BM191" s="140"/>
      <c r="BN191" s="140"/>
      <c r="BO191" s="140"/>
      <c r="BP191" s="140"/>
      <c r="BQ191" s="140"/>
      <c r="BR191" s="140"/>
      <c r="BS191" s="140"/>
      <c r="BT191" s="140"/>
      <c r="BU191" s="140"/>
      <c r="BV191" s="140"/>
      <c r="BW191" s="140"/>
      <c r="BX191" s="140"/>
      <c r="BY191" s="140"/>
    </row>
    <row r="192" ht="15.75" customHeight="1">
      <c r="A192" s="168"/>
      <c r="B192" s="169">
        <v>45658.0</v>
      </c>
      <c r="C192" s="170">
        <v>7225.12</v>
      </c>
      <c r="D192" s="170">
        <v>7232.12</v>
      </c>
      <c r="E192" s="170">
        <v>7225.12</v>
      </c>
      <c r="F192" s="170">
        <v>7224.78</v>
      </c>
      <c r="G192" s="171" t="s">
        <v>238</v>
      </c>
      <c r="H192" s="172">
        <f t="shared" si="1"/>
        <v>0.001107913663</v>
      </c>
      <c r="I192" s="172"/>
      <c r="J192" s="172"/>
      <c r="K192" s="188"/>
      <c r="L192" s="140"/>
      <c r="M192" s="140"/>
      <c r="N192" s="176">
        <f>IFERROR(__xludf.DUMMYFUNCTION("""COMPUTED_VALUE"""),45658.64583333333)</f>
        <v>45658.64583</v>
      </c>
      <c r="O192" s="177">
        <f>IFERROR(__xludf.DUMMYFUNCTION("""COMPUTED_VALUE"""),1281.65)</f>
        <v>1281.65</v>
      </c>
      <c r="P192" s="177">
        <f>IFERROR(__xludf.DUMMYFUNCTION("""COMPUTED_VALUE"""),1293.0)</f>
        <v>1293</v>
      </c>
      <c r="Q192" s="177">
        <f>IFERROR(__xludf.DUMMYFUNCTION("""COMPUTED_VALUE"""),1267.1)</f>
        <v>1267.1</v>
      </c>
      <c r="R192" s="177">
        <f>IFERROR(__xludf.DUMMYFUNCTION("""COMPUTED_VALUE"""),1283.65)</f>
        <v>1283.65</v>
      </c>
      <c r="S192" s="177">
        <f>IFERROR(__xludf.DUMMYFUNCTION("""COMPUTED_VALUE"""),4705399.0)</f>
        <v>4705399</v>
      </c>
      <c r="T192" s="177">
        <f t="shared" si="2"/>
        <v>0.001559272136</v>
      </c>
      <c r="U192" s="178"/>
      <c r="V192" s="177"/>
      <c r="W192" s="189"/>
      <c r="X192" s="140"/>
      <c r="Y192" s="140"/>
      <c r="Z192" s="176">
        <f>IFERROR(__xludf.DUMMYFUNCTION("""COMPUTED_VALUE"""),45658.64583333333)</f>
        <v>45658.64583</v>
      </c>
      <c r="AA192" s="177">
        <f>IFERROR(__xludf.DUMMYFUNCTION("""COMPUTED_VALUE"""),340.0)</f>
        <v>340</v>
      </c>
      <c r="AB192" s="177">
        <f>IFERROR(__xludf.DUMMYFUNCTION("""COMPUTED_VALUE"""),345.65)</f>
        <v>345.65</v>
      </c>
      <c r="AC192" s="177">
        <f>IFERROR(__xludf.DUMMYFUNCTION("""COMPUTED_VALUE"""),338.5)</f>
        <v>338.5</v>
      </c>
      <c r="AD192" s="177">
        <f>IFERROR(__xludf.DUMMYFUNCTION("""COMPUTED_VALUE"""),343.95)</f>
        <v>343.95</v>
      </c>
      <c r="AE192" s="177">
        <f>IFERROR(__xludf.DUMMYFUNCTION("""COMPUTED_VALUE"""),2228186.0)</f>
        <v>2228186</v>
      </c>
      <c r="AF192" s="177">
        <f t="shared" si="3"/>
        <v>0.006270527291</v>
      </c>
      <c r="AG192" s="177"/>
      <c r="AH192" s="177"/>
      <c r="AI192" s="189"/>
      <c r="AJ192" s="140"/>
      <c r="AK192" s="140"/>
      <c r="AL192" s="176">
        <f>IFERROR(__xludf.DUMMYFUNCTION("""COMPUTED_VALUE"""),45658.64583333333)</f>
        <v>45658.64583</v>
      </c>
      <c r="AM192" s="177">
        <f>IFERROR(__xludf.DUMMYFUNCTION("""COMPUTED_VALUE"""),4178.35)</f>
        <v>4178.35</v>
      </c>
      <c r="AN192" s="177">
        <f>IFERROR(__xludf.DUMMYFUNCTION("""COMPUTED_VALUE"""),4187.25)</f>
        <v>4187.25</v>
      </c>
      <c r="AO192" s="177">
        <f>IFERROR(__xludf.DUMMYFUNCTION("""COMPUTED_VALUE"""),4127.0)</f>
        <v>4127</v>
      </c>
      <c r="AP192" s="177">
        <f>IFERROR(__xludf.DUMMYFUNCTION("""COMPUTED_VALUE"""),4170.2)</f>
        <v>4170.2</v>
      </c>
      <c r="AQ192" s="177">
        <f>IFERROR(__xludf.DUMMYFUNCTION("""COMPUTED_VALUE"""),696846.0)</f>
        <v>696846</v>
      </c>
      <c r="AR192" s="177">
        <f t="shared" si="4"/>
        <v>-0.001952435474</v>
      </c>
      <c r="AS192" s="177"/>
      <c r="AT192" s="177"/>
      <c r="AU192" s="189"/>
      <c r="AV192" s="140"/>
      <c r="AW192" s="140"/>
      <c r="AX192" s="176">
        <f>IFERROR(__xludf.DUMMYFUNCTION("""COMPUTED_VALUE"""),45658.64583333333)</f>
        <v>45658.64583</v>
      </c>
      <c r="AY192" s="177">
        <f>IFERROR(__xludf.DUMMYFUNCTION("""COMPUTED_VALUE"""),486.0)</f>
        <v>486</v>
      </c>
      <c r="AZ192" s="177">
        <f>IFERROR(__xludf.DUMMYFUNCTION("""COMPUTED_VALUE"""),486.85)</f>
        <v>486.85</v>
      </c>
      <c r="BA192" s="177">
        <f>IFERROR(__xludf.DUMMYFUNCTION("""COMPUTED_VALUE"""),482.15)</f>
        <v>482.15</v>
      </c>
      <c r="BB192" s="177">
        <f>IFERROR(__xludf.DUMMYFUNCTION("""COMPUTED_VALUE"""),483.95)</f>
        <v>483.95</v>
      </c>
      <c r="BC192" s="177">
        <f>IFERROR(__xludf.DUMMYFUNCTION("""COMPUTED_VALUE"""),1.8229128E7)</f>
        <v>18229128</v>
      </c>
      <c r="BD192" s="177">
        <f t="shared" si="5"/>
        <v>0.0006200909665</v>
      </c>
      <c r="BE192" s="177"/>
      <c r="BF192" s="177"/>
      <c r="BG192" s="189"/>
      <c r="BH192" s="140"/>
      <c r="BI192" s="140"/>
      <c r="BJ192" s="140"/>
      <c r="BK192" s="140"/>
      <c r="BL192" s="140"/>
      <c r="BM192" s="140"/>
      <c r="BN192" s="140"/>
      <c r="BO192" s="140"/>
      <c r="BP192" s="140"/>
      <c r="BQ192" s="140"/>
      <c r="BR192" s="140"/>
      <c r="BS192" s="140"/>
      <c r="BT192" s="140"/>
      <c r="BU192" s="140"/>
      <c r="BV192" s="140"/>
      <c r="BW192" s="140"/>
      <c r="BX192" s="140"/>
      <c r="BY192" s="140"/>
    </row>
    <row r="193" ht="15.75" customHeight="1">
      <c r="A193" s="168"/>
      <c r="B193" s="169">
        <v>45659.0</v>
      </c>
      <c r="C193" s="170">
        <v>7232.12</v>
      </c>
      <c r="D193" s="170">
        <v>7337.52</v>
      </c>
      <c r="E193" s="170">
        <v>7218.78</v>
      </c>
      <c r="F193" s="170">
        <v>7327.12</v>
      </c>
      <c r="G193" s="171" t="s">
        <v>238</v>
      </c>
      <c r="H193" s="172">
        <f t="shared" si="1"/>
        <v>0.01406574912</v>
      </c>
      <c r="I193" s="172"/>
      <c r="J193" s="172"/>
      <c r="K193" s="188"/>
      <c r="L193" s="140"/>
      <c r="M193" s="140"/>
      <c r="N193" s="176">
        <f>IFERROR(__xludf.DUMMYFUNCTION("""COMPUTED_VALUE"""),45659.64583333333)</f>
        <v>45659.64583</v>
      </c>
      <c r="O193" s="177">
        <f>IFERROR(__xludf.DUMMYFUNCTION("""COMPUTED_VALUE"""),1285.1)</f>
        <v>1285.1</v>
      </c>
      <c r="P193" s="177">
        <f>IFERROR(__xludf.DUMMYFUNCTION("""COMPUTED_VALUE"""),1293.4)</f>
        <v>1293.4</v>
      </c>
      <c r="Q193" s="177">
        <f>IFERROR(__xludf.DUMMYFUNCTION("""COMPUTED_VALUE"""),1278.4)</f>
        <v>1278.4</v>
      </c>
      <c r="R193" s="177">
        <f>IFERROR(__xludf.DUMMYFUNCTION("""COMPUTED_VALUE"""),1290.6)</f>
        <v>1290.6</v>
      </c>
      <c r="S193" s="177">
        <f>IFERROR(__xludf.DUMMYFUNCTION("""COMPUTED_VALUE"""),7433222.0)</f>
        <v>7433222</v>
      </c>
      <c r="T193" s="177">
        <f t="shared" si="2"/>
        <v>0.00539964408</v>
      </c>
      <c r="U193" s="178"/>
      <c r="V193" s="177"/>
      <c r="W193" s="189"/>
      <c r="X193" s="140"/>
      <c r="Y193" s="140"/>
      <c r="Z193" s="176">
        <f>IFERROR(__xludf.DUMMYFUNCTION("""COMPUTED_VALUE"""),45659.64583333333)</f>
        <v>45659.64583</v>
      </c>
      <c r="AA193" s="177">
        <f>IFERROR(__xludf.DUMMYFUNCTION("""COMPUTED_VALUE"""),343.85)</f>
        <v>343.85</v>
      </c>
      <c r="AB193" s="177">
        <f>IFERROR(__xludf.DUMMYFUNCTION("""COMPUTED_VALUE"""),347.2)</f>
        <v>347.2</v>
      </c>
      <c r="AC193" s="177">
        <f>IFERROR(__xludf.DUMMYFUNCTION("""COMPUTED_VALUE"""),341.35)</f>
        <v>341.35</v>
      </c>
      <c r="AD193" s="177">
        <f>IFERROR(__xludf.DUMMYFUNCTION("""COMPUTED_VALUE"""),346.4)</f>
        <v>346.4</v>
      </c>
      <c r="AE193" s="177">
        <f>IFERROR(__xludf.DUMMYFUNCTION("""COMPUTED_VALUE"""),5093469.0)</f>
        <v>5093469</v>
      </c>
      <c r="AF193" s="177">
        <f t="shared" si="3"/>
        <v>0.007097878716</v>
      </c>
      <c r="AG193" s="177"/>
      <c r="AH193" s="177"/>
      <c r="AI193" s="189"/>
      <c r="AJ193" s="140"/>
      <c r="AK193" s="140"/>
      <c r="AL193" s="176">
        <f>IFERROR(__xludf.DUMMYFUNCTION("""COMPUTED_VALUE"""),45659.64583333333)</f>
        <v>45659.64583</v>
      </c>
      <c r="AM193" s="177">
        <f>IFERROR(__xludf.DUMMYFUNCTION("""COMPUTED_VALUE"""),4180.0)</f>
        <v>4180</v>
      </c>
      <c r="AN193" s="177">
        <f>IFERROR(__xludf.DUMMYFUNCTION("""COMPUTED_VALUE"""),4242.0)</f>
        <v>4242</v>
      </c>
      <c r="AO193" s="177">
        <f>IFERROR(__xludf.DUMMYFUNCTION("""COMPUTED_VALUE"""),4177.95)</f>
        <v>4177.95</v>
      </c>
      <c r="AP193" s="177">
        <f>IFERROR(__xludf.DUMMYFUNCTION("""COMPUTED_VALUE"""),4235.8)</f>
        <v>4235.8</v>
      </c>
      <c r="AQ193" s="177">
        <f>IFERROR(__xludf.DUMMYFUNCTION("""COMPUTED_VALUE"""),1347694.0)</f>
        <v>1347694</v>
      </c>
      <c r="AR193" s="177">
        <f t="shared" si="4"/>
        <v>0.01560821598</v>
      </c>
      <c r="AS193" s="177"/>
      <c r="AT193" s="177"/>
      <c r="AU193" s="189"/>
      <c r="AV193" s="140"/>
      <c r="AW193" s="140"/>
      <c r="AX193" s="176">
        <f>IFERROR(__xludf.DUMMYFUNCTION("""COMPUTED_VALUE"""),45659.64583333333)</f>
        <v>45659.64583</v>
      </c>
      <c r="AY193" s="177">
        <f>IFERROR(__xludf.DUMMYFUNCTION("""COMPUTED_VALUE"""),485.35)</f>
        <v>485.35</v>
      </c>
      <c r="AZ193" s="177">
        <f>IFERROR(__xludf.DUMMYFUNCTION("""COMPUTED_VALUE"""),490.0)</f>
        <v>490</v>
      </c>
      <c r="BA193" s="177">
        <f>IFERROR(__xludf.DUMMYFUNCTION("""COMPUTED_VALUE"""),482.3)</f>
        <v>482.3</v>
      </c>
      <c r="BB193" s="177">
        <f>IFERROR(__xludf.DUMMYFUNCTION("""COMPUTED_VALUE"""),489.05)</f>
        <v>489.05</v>
      </c>
      <c r="BC193" s="177">
        <f>IFERROR(__xludf.DUMMYFUNCTION("""COMPUTED_VALUE"""),2.612498E7)</f>
        <v>26124980</v>
      </c>
      <c r="BD193" s="177">
        <f t="shared" si="5"/>
        <v>0.01048313814</v>
      </c>
      <c r="BE193" s="177"/>
      <c r="BF193" s="177"/>
      <c r="BG193" s="189"/>
      <c r="BH193" s="140"/>
      <c r="BI193" s="140"/>
      <c r="BJ193" s="140"/>
      <c r="BK193" s="140"/>
      <c r="BL193" s="140"/>
      <c r="BM193" s="140"/>
      <c r="BN193" s="140"/>
      <c r="BO193" s="140"/>
      <c r="BP193" s="140"/>
      <c r="BQ193" s="140"/>
      <c r="BR193" s="140"/>
      <c r="BS193" s="140"/>
      <c r="BT193" s="140"/>
      <c r="BU193" s="140"/>
      <c r="BV193" s="140"/>
      <c r="BW193" s="140"/>
      <c r="BX193" s="140"/>
      <c r="BY193" s="140"/>
    </row>
    <row r="194" ht="15.75" customHeight="1">
      <c r="A194" s="168"/>
      <c r="B194" s="169">
        <v>45660.0</v>
      </c>
      <c r="C194" s="170">
        <v>7328.78</v>
      </c>
      <c r="D194" s="170">
        <v>7351.52</v>
      </c>
      <c r="E194" s="170">
        <v>7271.12</v>
      </c>
      <c r="F194" s="170">
        <v>7276.78</v>
      </c>
      <c r="G194" s="171" t="s">
        <v>238</v>
      </c>
      <c r="H194" s="172">
        <f t="shared" si="1"/>
        <v>-0.006894076155</v>
      </c>
      <c r="I194" s="172"/>
      <c r="J194" s="172"/>
      <c r="K194" s="188"/>
      <c r="L194" s="140"/>
      <c r="M194" s="140"/>
      <c r="N194" s="176">
        <f>IFERROR(__xludf.DUMMYFUNCTION("""COMPUTED_VALUE"""),45660.64583333333)</f>
        <v>45660.64583</v>
      </c>
      <c r="O194" s="177">
        <f>IFERROR(__xludf.DUMMYFUNCTION("""COMPUTED_VALUE"""),1286.2)</f>
        <v>1286.2</v>
      </c>
      <c r="P194" s="177">
        <f>IFERROR(__xludf.DUMMYFUNCTION("""COMPUTED_VALUE"""),1288.0)</f>
        <v>1288</v>
      </c>
      <c r="Q194" s="177">
        <f>IFERROR(__xludf.DUMMYFUNCTION("""COMPUTED_VALUE"""),1262.25)</f>
        <v>1262.25</v>
      </c>
      <c r="R194" s="177">
        <f>IFERROR(__xludf.DUMMYFUNCTION("""COMPUTED_VALUE"""),1265.05)</f>
        <v>1265.05</v>
      </c>
      <c r="S194" s="177">
        <f>IFERROR(__xludf.DUMMYFUNCTION("""COMPUTED_VALUE"""),1.1194997E7)</f>
        <v>11194997</v>
      </c>
      <c r="T194" s="177">
        <f t="shared" si="2"/>
        <v>-0.01999557943</v>
      </c>
      <c r="U194" s="178"/>
      <c r="V194" s="177"/>
      <c r="W194" s="189"/>
      <c r="X194" s="140"/>
      <c r="Y194" s="140"/>
      <c r="Z194" s="176">
        <f>IFERROR(__xludf.DUMMYFUNCTION("""COMPUTED_VALUE"""),45660.64583333333)</f>
        <v>45660.64583</v>
      </c>
      <c r="AA194" s="177">
        <f>IFERROR(__xludf.DUMMYFUNCTION("""COMPUTED_VALUE"""),346.0)</f>
        <v>346</v>
      </c>
      <c r="AB194" s="177">
        <f>IFERROR(__xludf.DUMMYFUNCTION("""COMPUTED_VALUE"""),352.5)</f>
        <v>352.5</v>
      </c>
      <c r="AC194" s="177">
        <f>IFERROR(__xludf.DUMMYFUNCTION("""COMPUTED_VALUE"""),342.55)</f>
        <v>342.55</v>
      </c>
      <c r="AD194" s="177">
        <f>IFERROR(__xludf.DUMMYFUNCTION("""COMPUTED_VALUE"""),344.0)</f>
        <v>344</v>
      </c>
      <c r="AE194" s="177">
        <f>IFERROR(__xludf.DUMMYFUNCTION("""COMPUTED_VALUE"""),4130940.0)</f>
        <v>4130940</v>
      </c>
      <c r="AF194" s="177">
        <f t="shared" si="3"/>
        <v>-0.006952519315</v>
      </c>
      <c r="AG194" s="177"/>
      <c r="AH194" s="177"/>
      <c r="AI194" s="189"/>
      <c r="AJ194" s="140"/>
      <c r="AK194" s="140"/>
      <c r="AL194" s="176">
        <f>IFERROR(__xludf.DUMMYFUNCTION("""COMPUTED_VALUE"""),45660.64583333333)</f>
        <v>45660.64583</v>
      </c>
      <c r="AM194" s="177">
        <f>IFERROR(__xludf.DUMMYFUNCTION("""COMPUTED_VALUE"""),4240.0)</f>
        <v>4240</v>
      </c>
      <c r="AN194" s="177">
        <f>IFERROR(__xludf.DUMMYFUNCTION("""COMPUTED_VALUE"""),4270.05)</f>
        <v>4270.05</v>
      </c>
      <c r="AO194" s="177">
        <f>IFERROR(__xludf.DUMMYFUNCTION("""COMPUTED_VALUE"""),4197.0)</f>
        <v>4197</v>
      </c>
      <c r="AP194" s="177">
        <f>IFERROR(__xludf.DUMMYFUNCTION("""COMPUTED_VALUE"""),4206.0)</f>
        <v>4206</v>
      </c>
      <c r="AQ194" s="177">
        <f>IFERROR(__xludf.DUMMYFUNCTION("""COMPUTED_VALUE"""),853004.0)</f>
        <v>853004</v>
      </c>
      <c r="AR194" s="177">
        <f t="shared" si="4"/>
        <v>-0.007060134991</v>
      </c>
      <c r="AS194" s="177"/>
      <c r="AT194" s="177"/>
      <c r="AU194" s="189"/>
      <c r="AV194" s="140"/>
      <c r="AW194" s="140"/>
      <c r="AX194" s="176">
        <f>IFERROR(__xludf.DUMMYFUNCTION("""COMPUTED_VALUE"""),45660.64583333333)</f>
        <v>45660.64583</v>
      </c>
      <c r="AY194" s="177">
        <f>IFERROR(__xludf.DUMMYFUNCTION("""COMPUTED_VALUE"""),490.25)</f>
        <v>490.25</v>
      </c>
      <c r="AZ194" s="177">
        <f>IFERROR(__xludf.DUMMYFUNCTION("""COMPUTED_VALUE"""),491.0)</f>
        <v>491</v>
      </c>
      <c r="BA194" s="177">
        <f>IFERROR(__xludf.DUMMYFUNCTION("""COMPUTED_VALUE"""),479.85)</f>
        <v>479.85</v>
      </c>
      <c r="BB194" s="177">
        <f>IFERROR(__xludf.DUMMYFUNCTION("""COMPUTED_VALUE"""),481.6)</f>
        <v>481.6</v>
      </c>
      <c r="BC194" s="177">
        <f>IFERROR(__xludf.DUMMYFUNCTION("""COMPUTED_VALUE"""),3.7072992E7)</f>
        <v>37072992</v>
      </c>
      <c r="BD194" s="177">
        <f t="shared" si="5"/>
        <v>-0.01535083974</v>
      </c>
      <c r="BE194" s="177"/>
      <c r="BF194" s="177"/>
      <c r="BG194" s="189"/>
      <c r="BH194" s="140"/>
      <c r="BI194" s="140"/>
      <c r="BJ194" s="140"/>
      <c r="BK194" s="140"/>
      <c r="BL194" s="140"/>
      <c r="BM194" s="140"/>
      <c r="BN194" s="140"/>
      <c r="BO194" s="140"/>
      <c r="BP194" s="140"/>
      <c r="BQ194" s="140"/>
      <c r="BR194" s="140"/>
      <c r="BS194" s="140"/>
      <c r="BT194" s="140"/>
      <c r="BU194" s="140"/>
      <c r="BV194" s="140"/>
      <c r="BW194" s="140"/>
      <c r="BX194" s="140"/>
      <c r="BY194" s="140"/>
    </row>
    <row r="195" ht="15.75" customHeight="1">
      <c r="A195" s="168"/>
      <c r="B195" s="169">
        <v>45663.0</v>
      </c>
      <c r="C195" s="170">
        <v>7282.12</v>
      </c>
      <c r="D195" s="170">
        <v>7305.12</v>
      </c>
      <c r="E195" s="170">
        <v>7206.78</v>
      </c>
      <c r="F195" s="170">
        <v>7263.52</v>
      </c>
      <c r="G195" s="171" t="s">
        <v>238</v>
      </c>
      <c r="H195" s="172">
        <f t="shared" si="1"/>
        <v>-0.001823896849</v>
      </c>
      <c r="I195" s="172"/>
      <c r="J195" s="172"/>
      <c r="K195" s="188"/>
      <c r="L195" s="140"/>
      <c r="M195" s="140"/>
      <c r="N195" s="176">
        <f>IFERROR(__xludf.DUMMYFUNCTION("""COMPUTED_VALUE"""),45663.64583333333)</f>
        <v>45663.64583</v>
      </c>
      <c r="O195" s="177">
        <f>IFERROR(__xludf.DUMMYFUNCTION("""COMPUTED_VALUE"""),1268.05)</f>
        <v>1268.05</v>
      </c>
      <c r="P195" s="177">
        <f>IFERROR(__xludf.DUMMYFUNCTION("""COMPUTED_VALUE"""),1277.75)</f>
        <v>1277.75</v>
      </c>
      <c r="Q195" s="177">
        <f>IFERROR(__xludf.DUMMYFUNCTION("""COMPUTED_VALUE"""),1257.0)</f>
        <v>1257</v>
      </c>
      <c r="R195" s="177">
        <f>IFERROR(__xludf.DUMMYFUNCTION("""COMPUTED_VALUE"""),1264.1)</f>
        <v>1264.1</v>
      </c>
      <c r="S195" s="177">
        <f>IFERROR(__xludf.DUMMYFUNCTION("""COMPUTED_VALUE"""),7504047.0)</f>
        <v>7504047</v>
      </c>
      <c r="T195" s="177">
        <f t="shared" si="2"/>
        <v>-0.0007512405707</v>
      </c>
      <c r="U195" s="178"/>
      <c r="V195" s="177"/>
      <c r="W195" s="189"/>
      <c r="X195" s="140"/>
      <c r="Y195" s="140"/>
      <c r="Z195" s="176">
        <f>IFERROR(__xludf.DUMMYFUNCTION("""COMPUTED_VALUE"""),45663.64583333333)</f>
        <v>45663.64583</v>
      </c>
      <c r="AA195" s="177">
        <f>IFERROR(__xludf.DUMMYFUNCTION("""COMPUTED_VALUE"""),345.8)</f>
        <v>345.8</v>
      </c>
      <c r="AB195" s="177">
        <f>IFERROR(__xludf.DUMMYFUNCTION("""COMPUTED_VALUE"""),345.8)</f>
        <v>345.8</v>
      </c>
      <c r="AC195" s="177">
        <f>IFERROR(__xludf.DUMMYFUNCTION("""COMPUTED_VALUE"""),328.05)</f>
        <v>328.05</v>
      </c>
      <c r="AD195" s="177">
        <f>IFERROR(__xludf.DUMMYFUNCTION("""COMPUTED_VALUE"""),329.8)</f>
        <v>329.8</v>
      </c>
      <c r="AE195" s="177">
        <f>IFERROR(__xludf.DUMMYFUNCTION("""COMPUTED_VALUE"""),6233638.0)</f>
        <v>6233638</v>
      </c>
      <c r="AF195" s="177">
        <f t="shared" si="3"/>
        <v>-0.04215524725</v>
      </c>
      <c r="AG195" s="177"/>
      <c r="AH195" s="177"/>
      <c r="AI195" s="189"/>
      <c r="AJ195" s="140"/>
      <c r="AK195" s="140"/>
      <c r="AL195" s="176">
        <f>IFERROR(__xludf.DUMMYFUNCTION("""COMPUTED_VALUE"""),45663.64583333333)</f>
        <v>45663.64583</v>
      </c>
      <c r="AM195" s="177">
        <f>IFERROR(__xludf.DUMMYFUNCTION("""COMPUTED_VALUE"""),4218.0)</f>
        <v>4218</v>
      </c>
      <c r="AN195" s="177">
        <f>IFERROR(__xludf.DUMMYFUNCTION("""COMPUTED_VALUE"""),4220.0)</f>
        <v>4220</v>
      </c>
      <c r="AO195" s="177">
        <f>IFERROR(__xludf.DUMMYFUNCTION("""COMPUTED_VALUE"""),4070.0)</f>
        <v>4070</v>
      </c>
      <c r="AP195" s="177">
        <f>IFERROR(__xludf.DUMMYFUNCTION("""COMPUTED_VALUE"""),4101.75)</f>
        <v>4101.75</v>
      </c>
      <c r="AQ195" s="177">
        <f>IFERROR(__xludf.DUMMYFUNCTION("""COMPUTED_VALUE"""),1131463.0)</f>
        <v>1131463</v>
      </c>
      <c r="AR195" s="177">
        <f t="shared" si="4"/>
        <v>-0.02509836537</v>
      </c>
      <c r="AS195" s="177"/>
      <c r="AT195" s="177"/>
      <c r="AU195" s="189"/>
      <c r="AV195" s="140"/>
      <c r="AW195" s="140"/>
      <c r="AX195" s="176">
        <f>IFERROR(__xludf.DUMMYFUNCTION("""COMPUTED_VALUE"""),45663.64583333333)</f>
        <v>45663.64583</v>
      </c>
      <c r="AY195" s="177">
        <f>IFERROR(__xludf.DUMMYFUNCTION("""COMPUTED_VALUE"""),455.6)</f>
        <v>455.6</v>
      </c>
      <c r="AZ195" s="177">
        <f>IFERROR(__xludf.DUMMYFUNCTION("""COMPUTED_VALUE"""),461.75)</f>
        <v>461.75</v>
      </c>
      <c r="BA195" s="177">
        <f>IFERROR(__xludf.DUMMYFUNCTION("""COMPUTED_VALUE"""),441.25)</f>
        <v>441.25</v>
      </c>
      <c r="BB195" s="177">
        <f>IFERROR(__xludf.DUMMYFUNCTION("""COMPUTED_VALUE"""),442.65)</f>
        <v>442.65</v>
      </c>
      <c r="BC195" s="177">
        <f>IFERROR(__xludf.DUMMYFUNCTION("""COMPUTED_VALUE"""),2.2009958E7)</f>
        <v>22009958</v>
      </c>
      <c r="BD195" s="177">
        <f t="shared" si="5"/>
        <v>-0.08433450394</v>
      </c>
      <c r="BE195" s="177"/>
      <c r="BF195" s="177"/>
      <c r="BG195" s="189"/>
      <c r="BH195" s="140"/>
      <c r="BI195" s="140"/>
      <c r="BJ195" s="140"/>
      <c r="BK195" s="140"/>
      <c r="BL195" s="140"/>
      <c r="BM195" s="140"/>
      <c r="BN195" s="140"/>
      <c r="BO195" s="140"/>
      <c r="BP195" s="140"/>
      <c r="BQ195" s="140"/>
      <c r="BR195" s="140"/>
      <c r="BS195" s="140"/>
      <c r="BT195" s="140"/>
      <c r="BU195" s="140"/>
      <c r="BV195" s="140"/>
      <c r="BW195" s="140"/>
      <c r="BX195" s="140"/>
      <c r="BY195" s="140"/>
    </row>
    <row r="196" ht="15.75" customHeight="1">
      <c r="A196" s="168"/>
      <c r="B196" s="169">
        <v>45664.0</v>
      </c>
      <c r="C196" s="170">
        <v>7265.12</v>
      </c>
      <c r="D196" s="170">
        <v>7344.78</v>
      </c>
      <c r="E196" s="170">
        <v>7253.52</v>
      </c>
      <c r="F196" s="170">
        <v>7306.78</v>
      </c>
      <c r="G196" s="171" t="s">
        <v>238</v>
      </c>
      <c r="H196" s="172">
        <f t="shared" si="1"/>
        <v>0.00593812442</v>
      </c>
      <c r="I196" s="172"/>
      <c r="J196" s="172"/>
      <c r="K196" s="188"/>
      <c r="L196" s="140"/>
      <c r="M196" s="140"/>
      <c r="N196" s="176">
        <f>IFERROR(__xludf.DUMMYFUNCTION("""COMPUTED_VALUE"""),45664.64583333333)</f>
        <v>45664.64583</v>
      </c>
      <c r="O196" s="177">
        <f>IFERROR(__xludf.DUMMYFUNCTION("""COMPUTED_VALUE"""),1266.5)</f>
        <v>1266.5</v>
      </c>
      <c r="P196" s="177">
        <f>IFERROR(__xludf.DUMMYFUNCTION("""COMPUTED_VALUE"""),1288.95)</f>
        <v>1288.95</v>
      </c>
      <c r="Q196" s="177">
        <f>IFERROR(__xludf.DUMMYFUNCTION("""COMPUTED_VALUE"""),1266.5)</f>
        <v>1266.5</v>
      </c>
      <c r="R196" s="177">
        <f>IFERROR(__xludf.DUMMYFUNCTION("""COMPUTED_VALUE"""),1279.25)</f>
        <v>1279.25</v>
      </c>
      <c r="S196" s="177">
        <f>IFERROR(__xludf.DUMMYFUNCTION("""COMPUTED_VALUE"""),7539758.0)</f>
        <v>7539758</v>
      </c>
      <c r="T196" s="177">
        <f t="shared" si="2"/>
        <v>0.01191356218</v>
      </c>
      <c r="U196" s="178"/>
      <c r="V196" s="177"/>
      <c r="W196" s="189"/>
      <c r="X196" s="140"/>
      <c r="Y196" s="140"/>
      <c r="Z196" s="176">
        <f>IFERROR(__xludf.DUMMYFUNCTION("""COMPUTED_VALUE"""),45664.64583333333)</f>
        <v>45664.64583</v>
      </c>
      <c r="AA196" s="177">
        <f>IFERROR(__xludf.DUMMYFUNCTION("""COMPUTED_VALUE"""),331.3)</f>
        <v>331.3</v>
      </c>
      <c r="AB196" s="177">
        <f>IFERROR(__xludf.DUMMYFUNCTION("""COMPUTED_VALUE"""),335.3)</f>
        <v>335.3</v>
      </c>
      <c r="AC196" s="177">
        <f>IFERROR(__xludf.DUMMYFUNCTION("""COMPUTED_VALUE"""),327.55)</f>
        <v>327.55</v>
      </c>
      <c r="AD196" s="177">
        <f>IFERROR(__xludf.DUMMYFUNCTION("""COMPUTED_VALUE"""),328.15)</f>
        <v>328.15</v>
      </c>
      <c r="AE196" s="177">
        <f>IFERROR(__xludf.DUMMYFUNCTION("""COMPUTED_VALUE"""),4495351.0)</f>
        <v>4495351</v>
      </c>
      <c r="AF196" s="177">
        <f t="shared" si="3"/>
        <v>-0.005015589206</v>
      </c>
      <c r="AG196" s="177"/>
      <c r="AH196" s="177"/>
      <c r="AI196" s="189"/>
      <c r="AJ196" s="140"/>
      <c r="AK196" s="140"/>
      <c r="AL196" s="176">
        <f>IFERROR(__xludf.DUMMYFUNCTION("""COMPUTED_VALUE"""),45664.64583333333)</f>
        <v>45664.64583</v>
      </c>
      <c r="AM196" s="177">
        <f>IFERROR(__xludf.DUMMYFUNCTION("""COMPUTED_VALUE"""),4109.5)</f>
        <v>4109.5</v>
      </c>
      <c r="AN196" s="177">
        <f>IFERROR(__xludf.DUMMYFUNCTION("""COMPUTED_VALUE"""),4199.0)</f>
        <v>4199</v>
      </c>
      <c r="AO196" s="177">
        <f>IFERROR(__xludf.DUMMYFUNCTION("""COMPUTED_VALUE"""),4105.1)</f>
        <v>4105.1</v>
      </c>
      <c r="AP196" s="177">
        <f>IFERROR(__xludf.DUMMYFUNCTION("""COMPUTED_VALUE"""),4163.4)</f>
        <v>4163.4</v>
      </c>
      <c r="AQ196" s="177">
        <f>IFERROR(__xludf.DUMMYFUNCTION("""COMPUTED_VALUE"""),706292.0)</f>
        <v>706292</v>
      </c>
      <c r="AR196" s="177">
        <f t="shared" si="4"/>
        <v>0.01491833624</v>
      </c>
      <c r="AS196" s="177"/>
      <c r="AT196" s="177"/>
      <c r="AU196" s="189"/>
      <c r="AV196" s="140"/>
      <c r="AW196" s="140"/>
      <c r="AX196" s="176">
        <f>IFERROR(__xludf.DUMMYFUNCTION("""COMPUTED_VALUE"""),45664.64583333333)</f>
        <v>45664.64583</v>
      </c>
      <c r="AY196" s="177">
        <f>IFERROR(__xludf.DUMMYFUNCTION("""COMPUTED_VALUE"""),445.5)</f>
        <v>445.5</v>
      </c>
      <c r="AZ196" s="177">
        <f>IFERROR(__xludf.DUMMYFUNCTION("""COMPUTED_VALUE"""),447.6)</f>
        <v>447.6</v>
      </c>
      <c r="BA196" s="177">
        <f>IFERROR(__xludf.DUMMYFUNCTION("""COMPUTED_VALUE"""),440.15)</f>
        <v>440.15</v>
      </c>
      <c r="BB196" s="177">
        <f>IFERROR(__xludf.DUMMYFUNCTION("""COMPUTED_VALUE"""),441.1)</f>
        <v>441.1</v>
      </c>
      <c r="BC196" s="177">
        <f>IFERROR(__xludf.DUMMYFUNCTION("""COMPUTED_VALUE"""),1.429478E7)</f>
        <v>14294780</v>
      </c>
      <c r="BD196" s="177">
        <f t="shared" si="5"/>
        <v>-0.003507782946</v>
      </c>
      <c r="BE196" s="177"/>
      <c r="BF196" s="177"/>
      <c r="BG196" s="189"/>
      <c r="BH196" s="140"/>
      <c r="BI196" s="140"/>
      <c r="BJ196" s="140"/>
      <c r="BK196" s="140"/>
      <c r="BL196" s="140"/>
      <c r="BM196" s="140"/>
      <c r="BN196" s="140"/>
      <c r="BO196" s="140"/>
      <c r="BP196" s="140"/>
      <c r="BQ196" s="140"/>
      <c r="BR196" s="140"/>
      <c r="BS196" s="140"/>
      <c r="BT196" s="140"/>
      <c r="BU196" s="140"/>
      <c r="BV196" s="140"/>
      <c r="BW196" s="140"/>
      <c r="BX196" s="140"/>
      <c r="BY196" s="140"/>
    </row>
    <row r="197" ht="15.75" customHeight="1">
      <c r="A197" s="168"/>
      <c r="B197" s="169">
        <v>45665.0</v>
      </c>
      <c r="C197" s="170">
        <v>7308.12</v>
      </c>
      <c r="D197" s="170">
        <v>7375.52</v>
      </c>
      <c r="E197" s="170">
        <v>7298.12</v>
      </c>
      <c r="F197" s="170">
        <v>7351.52</v>
      </c>
      <c r="G197" s="171" t="s">
        <v>238</v>
      </c>
      <c r="H197" s="172">
        <f t="shared" si="1"/>
        <v>0.006104410325</v>
      </c>
      <c r="I197" s="172"/>
      <c r="J197" s="172"/>
      <c r="K197" s="188"/>
      <c r="L197" s="140"/>
      <c r="M197" s="140"/>
      <c r="N197" s="176">
        <f>IFERROR(__xludf.DUMMYFUNCTION("""COMPUTED_VALUE"""),45665.64583333333)</f>
        <v>45665.64583</v>
      </c>
      <c r="O197" s="177">
        <f>IFERROR(__xludf.DUMMYFUNCTION("""COMPUTED_VALUE"""),1280.55)</f>
        <v>1280.55</v>
      </c>
      <c r="P197" s="177">
        <f>IFERROR(__xludf.DUMMYFUNCTION("""COMPUTED_VALUE"""),1285.0)</f>
        <v>1285</v>
      </c>
      <c r="Q197" s="177">
        <f>IFERROR(__xludf.DUMMYFUNCTION("""COMPUTED_VALUE"""),1252.35)</f>
        <v>1252.35</v>
      </c>
      <c r="R197" s="177">
        <f>IFERROR(__xludf.DUMMYFUNCTION("""COMPUTED_VALUE"""),1263.75)</f>
        <v>1263.75</v>
      </c>
      <c r="S197" s="177">
        <f>IFERROR(__xludf.DUMMYFUNCTION("""COMPUTED_VALUE"""),7566309.0)</f>
        <v>7566309</v>
      </c>
      <c r="T197" s="177">
        <f t="shared" si="2"/>
        <v>-0.01219047735</v>
      </c>
      <c r="U197" s="178"/>
      <c r="V197" s="177"/>
      <c r="W197" s="189"/>
      <c r="X197" s="140"/>
      <c r="Y197" s="140"/>
      <c r="Z197" s="176">
        <f>IFERROR(__xludf.DUMMYFUNCTION("""COMPUTED_VALUE"""),45665.64583333333)</f>
        <v>45665.64583</v>
      </c>
      <c r="AA197" s="177">
        <f>IFERROR(__xludf.DUMMYFUNCTION("""COMPUTED_VALUE"""),329.8)</f>
        <v>329.8</v>
      </c>
      <c r="AB197" s="177">
        <f>IFERROR(__xludf.DUMMYFUNCTION("""COMPUTED_VALUE"""),334.0)</f>
        <v>334</v>
      </c>
      <c r="AC197" s="177">
        <f>IFERROR(__xludf.DUMMYFUNCTION("""COMPUTED_VALUE"""),325.2)</f>
        <v>325.2</v>
      </c>
      <c r="AD197" s="177">
        <f>IFERROR(__xludf.DUMMYFUNCTION("""COMPUTED_VALUE"""),330.35)</f>
        <v>330.35</v>
      </c>
      <c r="AE197" s="177">
        <f>IFERROR(__xludf.DUMMYFUNCTION("""COMPUTED_VALUE"""),5541381.0)</f>
        <v>5541381</v>
      </c>
      <c r="AF197" s="177">
        <f t="shared" si="3"/>
        <v>0.006681877556</v>
      </c>
      <c r="AG197" s="177"/>
      <c r="AH197" s="177"/>
      <c r="AI197" s="189"/>
      <c r="AJ197" s="140"/>
      <c r="AK197" s="140"/>
      <c r="AL197" s="176">
        <f>IFERROR(__xludf.DUMMYFUNCTION("""COMPUTED_VALUE"""),45665.64583333333)</f>
        <v>45665.64583</v>
      </c>
      <c r="AM197" s="177">
        <f>IFERROR(__xludf.DUMMYFUNCTION("""COMPUTED_VALUE"""),4171.0)</f>
        <v>4171</v>
      </c>
      <c r="AN197" s="177">
        <f>IFERROR(__xludf.DUMMYFUNCTION("""COMPUTED_VALUE"""),4181.7)</f>
        <v>4181.7</v>
      </c>
      <c r="AO197" s="177">
        <f>IFERROR(__xludf.DUMMYFUNCTION("""COMPUTED_VALUE"""),4100.0)</f>
        <v>4100</v>
      </c>
      <c r="AP197" s="177">
        <f>IFERROR(__xludf.DUMMYFUNCTION("""COMPUTED_VALUE"""),4109.8)</f>
        <v>4109.8</v>
      </c>
      <c r="AQ197" s="177">
        <f>IFERROR(__xludf.DUMMYFUNCTION("""COMPUTED_VALUE"""),958207.0)</f>
        <v>958207</v>
      </c>
      <c r="AR197" s="177">
        <f t="shared" si="4"/>
        <v>-0.01295768263</v>
      </c>
      <c r="AS197" s="177"/>
      <c r="AT197" s="177"/>
      <c r="AU197" s="189"/>
      <c r="AV197" s="140"/>
      <c r="AW197" s="140"/>
      <c r="AX197" s="176">
        <f>IFERROR(__xludf.DUMMYFUNCTION("""COMPUTED_VALUE"""),45665.64583333333)</f>
        <v>45665.64583</v>
      </c>
      <c r="AY197" s="177">
        <f>IFERROR(__xludf.DUMMYFUNCTION("""COMPUTED_VALUE"""),443.0)</f>
        <v>443</v>
      </c>
      <c r="AZ197" s="177">
        <f>IFERROR(__xludf.DUMMYFUNCTION("""COMPUTED_VALUE"""),452.05)</f>
        <v>452.05</v>
      </c>
      <c r="BA197" s="177">
        <f>IFERROR(__xludf.DUMMYFUNCTION("""COMPUTED_VALUE"""),437.1)</f>
        <v>437.1</v>
      </c>
      <c r="BB197" s="177">
        <f>IFERROR(__xludf.DUMMYFUNCTION("""COMPUTED_VALUE"""),449.55)</f>
        <v>449.55</v>
      </c>
      <c r="BC197" s="177">
        <f>IFERROR(__xludf.DUMMYFUNCTION("""COMPUTED_VALUE"""),1.3482926E7)</f>
        <v>13482926</v>
      </c>
      <c r="BD197" s="177">
        <f t="shared" si="5"/>
        <v>0.01897547532</v>
      </c>
      <c r="BE197" s="177"/>
      <c r="BF197" s="177"/>
      <c r="BG197" s="189"/>
      <c r="BH197" s="140"/>
      <c r="BI197" s="140"/>
      <c r="BJ197" s="140"/>
      <c r="BK197" s="140"/>
      <c r="BL197" s="140"/>
      <c r="BM197" s="140"/>
      <c r="BN197" s="140"/>
      <c r="BO197" s="140"/>
      <c r="BP197" s="140"/>
      <c r="BQ197" s="140"/>
      <c r="BR197" s="140"/>
      <c r="BS197" s="140"/>
      <c r="BT197" s="140"/>
      <c r="BU197" s="140"/>
      <c r="BV197" s="140"/>
      <c r="BW197" s="140"/>
      <c r="BX197" s="140"/>
      <c r="BY197" s="140"/>
    </row>
    <row r="198" ht="15.75" customHeight="1">
      <c r="A198" s="168"/>
      <c r="B198" s="169">
        <v>45666.0</v>
      </c>
      <c r="C198" s="170">
        <v>7349.12</v>
      </c>
      <c r="D198" s="170">
        <v>7392.12</v>
      </c>
      <c r="E198" s="170">
        <v>7334.12</v>
      </c>
      <c r="F198" s="170">
        <v>7370.78</v>
      </c>
      <c r="G198" s="171" t="s">
        <v>238</v>
      </c>
      <c r="H198" s="172">
        <f t="shared" si="1"/>
        <v>0.0026164405</v>
      </c>
      <c r="I198" s="172"/>
      <c r="J198" s="172"/>
      <c r="K198" s="188"/>
      <c r="L198" s="140"/>
      <c r="M198" s="140"/>
      <c r="N198" s="176">
        <f>IFERROR(__xludf.DUMMYFUNCTION("""COMPUTED_VALUE"""),45666.64583333333)</f>
        <v>45666.64583</v>
      </c>
      <c r="O198" s="177">
        <f>IFERROR(__xludf.DUMMYFUNCTION("""COMPUTED_VALUE"""),1258.0)</f>
        <v>1258</v>
      </c>
      <c r="P198" s="177">
        <f>IFERROR(__xludf.DUMMYFUNCTION("""COMPUTED_VALUE"""),1264.75)</f>
        <v>1264.75</v>
      </c>
      <c r="Q198" s="177">
        <f>IFERROR(__xludf.DUMMYFUNCTION("""COMPUTED_VALUE"""),1248.1)</f>
        <v>1248.1</v>
      </c>
      <c r="R198" s="177">
        <f>IFERROR(__xludf.DUMMYFUNCTION("""COMPUTED_VALUE"""),1262.4)</f>
        <v>1262.4</v>
      </c>
      <c r="S198" s="177">
        <f>IFERROR(__xludf.DUMMYFUNCTION("""COMPUTED_VALUE"""),8684920.0)</f>
        <v>8684920</v>
      </c>
      <c r="T198" s="177">
        <f t="shared" si="2"/>
        <v>-0.001068820243</v>
      </c>
      <c r="U198" s="178"/>
      <c r="V198" s="177"/>
      <c r="W198" s="189"/>
      <c r="X198" s="140"/>
      <c r="Y198" s="140"/>
      <c r="Z198" s="176">
        <f>IFERROR(__xludf.DUMMYFUNCTION("""COMPUTED_VALUE"""),45666.64583333333)</f>
        <v>45666.64583</v>
      </c>
      <c r="AA198" s="177">
        <f>IFERROR(__xludf.DUMMYFUNCTION("""COMPUTED_VALUE"""),330.35)</f>
        <v>330.35</v>
      </c>
      <c r="AB198" s="177">
        <f>IFERROR(__xludf.DUMMYFUNCTION("""COMPUTED_VALUE"""),339.3)</f>
        <v>339.3</v>
      </c>
      <c r="AC198" s="177">
        <f>IFERROR(__xludf.DUMMYFUNCTION("""COMPUTED_VALUE"""),328.6)</f>
        <v>328.6</v>
      </c>
      <c r="AD198" s="177">
        <f>IFERROR(__xludf.DUMMYFUNCTION("""COMPUTED_VALUE"""),330.8)</f>
        <v>330.8</v>
      </c>
      <c r="AE198" s="177">
        <f>IFERROR(__xludf.DUMMYFUNCTION("""COMPUTED_VALUE"""),7595457.0)</f>
        <v>7595457</v>
      </c>
      <c r="AF198" s="177">
        <f t="shared" si="3"/>
        <v>0.001361264674</v>
      </c>
      <c r="AG198" s="177"/>
      <c r="AH198" s="177"/>
      <c r="AI198" s="189"/>
      <c r="AJ198" s="140"/>
      <c r="AK198" s="140"/>
      <c r="AL198" s="176">
        <f>IFERROR(__xludf.DUMMYFUNCTION("""COMPUTED_VALUE"""),45666.64583333333)</f>
        <v>45666.64583</v>
      </c>
      <c r="AM198" s="177">
        <f>IFERROR(__xludf.DUMMYFUNCTION("""COMPUTED_VALUE"""),4117.0)</f>
        <v>4117</v>
      </c>
      <c r="AN198" s="177">
        <f>IFERROR(__xludf.DUMMYFUNCTION("""COMPUTED_VALUE"""),4133.35)</f>
        <v>4133.35</v>
      </c>
      <c r="AO198" s="177">
        <f>IFERROR(__xludf.DUMMYFUNCTION("""COMPUTED_VALUE"""),4057.2)</f>
        <v>4057.2</v>
      </c>
      <c r="AP198" s="177">
        <f>IFERROR(__xludf.DUMMYFUNCTION("""COMPUTED_VALUE"""),4097.35)</f>
        <v>4097.35</v>
      </c>
      <c r="AQ198" s="177">
        <f>IFERROR(__xludf.DUMMYFUNCTION("""COMPUTED_VALUE"""),1134421.0)</f>
        <v>1134421</v>
      </c>
      <c r="AR198" s="177">
        <f t="shared" si="4"/>
        <v>-0.003033942245</v>
      </c>
      <c r="AS198" s="177"/>
      <c r="AT198" s="177"/>
      <c r="AU198" s="189"/>
      <c r="AV198" s="140"/>
      <c r="AW198" s="140"/>
      <c r="AX198" s="176">
        <f>IFERROR(__xludf.DUMMYFUNCTION("""COMPUTED_VALUE"""),45666.64583333333)</f>
        <v>45666.64583</v>
      </c>
      <c r="AY198" s="177">
        <f>IFERROR(__xludf.DUMMYFUNCTION("""COMPUTED_VALUE"""),449.4)</f>
        <v>449.4</v>
      </c>
      <c r="AZ198" s="177">
        <f>IFERROR(__xludf.DUMMYFUNCTION("""COMPUTED_VALUE"""),460.65)</f>
        <v>460.65</v>
      </c>
      <c r="BA198" s="177">
        <f>IFERROR(__xludf.DUMMYFUNCTION("""COMPUTED_VALUE"""),446.05)</f>
        <v>446.05</v>
      </c>
      <c r="BB198" s="177">
        <f>IFERROR(__xludf.DUMMYFUNCTION("""COMPUTED_VALUE"""),450.1)</f>
        <v>450.1</v>
      </c>
      <c r="BC198" s="177">
        <f>IFERROR(__xludf.DUMMYFUNCTION("""COMPUTED_VALUE"""),1.9732649E7)</f>
        <v>19732649</v>
      </c>
      <c r="BD198" s="177">
        <f t="shared" si="5"/>
        <v>0.001222697868</v>
      </c>
      <c r="BE198" s="177"/>
      <c r="BF198" s="177"/>
      <c r="BG198" s="189"/>
      <c r="BH198" s="140"/>
      <c r="BI198" s="140"/>
      <c r="BJ198" s="140"/>
      <c r="BK198" s="140"/>
      <c r="BL198" s="140"/>
      <c r="BM198" s="140"/>
      <c r="BN198" s="140"/>
      <c r="BO198" s="140"/>
      <c r="BP198" s="140"/>
      <c r="BQ198" s="140"/>
      <c r="BR198" s="140"/>
      <c r="BS198" s="140"/>
      <c r="BT198" s="140"/>
      <c r="BU198" s="140"/>
      <c r="BV198" s="140"/>
      <c r="BW198" s="140"/>
      <c r="BX198" s="140"/>
      <c r="BY198" s="140"/>
    </row>
    <row r="199" ht="15.75" customHeight="1">
      <c r="A199" s="168"/>
      <c r="B199" s="169">
        <v>45667.0</v>
      </c>
      <c r="C199" s="170">
        <v>7374.78</v>
      </c>
      <c r="D199" s="170">
        <v>7473.52</v>
      </c>
      <c r="E199" s="170">
        <v>7368.12</v>
      </c>
      <c r="F199" s="170">
        <v>7451.12</v>
      </c>
      <c r="G199" s="171" t="s">
        <v>238</v>
      </c>
      <c r="H199" s="172">
        <f t="shared" si="1"/>
        <v>0.0108408216</v>
      </c>
      <c r="I199" s="172"/>
      <c r="J199" s="172"/>
      <c r="K199" s="188"/>
      <c r="L199" s="140"/>
      <c r="M199" s="140"/>
      <c r="N199" s="176">
        <f>IFERROR(__xludf.DUMMYFUNCTION("""COMPUTED_VALUE"""),45667.64583333333)</f>
        <v>45667.64583</v>
      </c>
      <c r="O199" s="177">
        <f>IFERROR(__xludf.DUMMYFUNCTION("""COMPUTED_VALUE"""),1259.0)</f>
        <v>1259</v>
      </c>
      <c r="P199" s="177">
        <f>IFERROR(__xludf.DUMMYFUNCTION("""COMPUTED_VALUE"""),1264.95)</f>
        <v>1264.95</v>
      </c>
      <c r="Q199" s="177">
        <f>IFERROR(__xludf.DUMMYFUNCTION("""COMPUTED_VALUE"""),1243.1)</f>
        <v>1243.1</v>
      </c>
      <c r="R199" s="177">
        <f>IFERROR(__xludf.DUMMYFUNCTION("""COMPUTED_VALUE"""),1249.85)</f>
        <v>1249.85</v>
      </c>
      <c r="S199" s="177">
        <f>IFERROR(__xludf.DUMMYFUNCTION("""COMPUTED_VALUE"""),7854524.0)</f>
        <v>7854524</v>
      </c>
      <c r="T199" s="177">
        <f t="shared" si="2"/>
        <v>-0.009991126996</v>
      </c>
      <c r="U199" s="178"/>
      <c r="V199" s="177"/>
      <c r="W199" s="189"/>
      <c r="X199" s="140"/>
      <c r="Y199" s="140"/>
      <c r="Z199" s="176">
        <f>IFERROR(__xludf.DUMMYFUNCTION("""COMPUTED_VALUE"""),45667.64583333333)</f>
        <v>45667.64583</v>
      </c>
      <c r="AA199" s="177">
        <f>IFERROR(__xludf.DUMMYFUNCTION("""COMPUTED_VALUE"""),330.0)</f>
        <v>330</v>
      </c>
      <c r="AB199" s="177">
        <f>IFERROR(__xludf.DUMMYFUNCTION("""COMPUTED_VALUE"""),330.65)</f>
        <v>330.65</v>
      </c>
      <c r="AC199" s="177">
        <f>IFERROR(__xludf.DUMMYFUNCTION("""COMPUTED_VALUE"""),319.45)</f>
        <v>319.45</v>
      </c>
      <c r="AD199" s="177">
        <f>IFERROR(__xludf.DUMMYFUNCTION("""COMPUTED_VALUE"""),320.4)</f>
        <v>320.4</v>
      </c>
      <c r="AE199" s="177">
        <f>IFERROR(__xludf.DUMMYFUNCTION("""COMPUTED_VALUE"""),6603060.0)</f>
        <v>6603060</v>
      </c>
      <c r="AF199" s="177">
        <f t="shared" si="3"/>
        <v>-0.03194374796</v>
      </c>
      <c r="AG199" s="177"/>
      <c r="AH199" s="177"/>
      <c r="AI199" s="189"/>
      <c r="AJ199" s="140"/>
      <c r="AK199" s="140"/>
      <c r="AL199" s="176">
        <f>IFERROR(__xludf.DUMMYFUNCTION("""COMPUTED_VALUE"""),45667.64583333333)</f>
        <v>45667.64583</v>
      </c>
      <c r="AM199" s="177">
        <f>IFERROR(__xludf.DUMMYFUNCTION("""COMPUTED_VALUE"""),4095.0)</f>
        <v>4095</v>
      </c>
      <c r="AN199" s="177">
        <f>IFERROR(__xludf.DUMMYFUNCTION("""COMPUTED_VALUE"""),4095.0)</f>
        <v>4095</v>
      </c>
      <c r="AO199" s="177">
        <f>IFERROR(__xludf.DUMMYFUNCTION("""COMPUTED_VALUE"""),3981.0)</f>
        <v>3981</v>
      </c>
      <c r="AP199" s="177">
        <f>IFERROR(__xludf.DUMMYFUNCTION("""COMPUTED_VALUE"""),4000.5)</f>
        <v>4000.5</v>
      </c>
      <c r="AQ199" s="177">
        <f>IFERROR(__xludf.DUMMYFUNCTION("""COMPUTED_VALUE"""),1321248.0)</f>
        <v>1321248</v>
      </c>
      <c r="AR199" s="177">
        <f t="shared" si="4"/>
        <v>-0.02392106997</v>
      </c>
      <c r="AS199" s="177"/>
      <c r="AT199" s="177"/>
      <c r="AU199" s="189"/>
      <c r="AV199" s="140"/>
      <c r="AW199" s="140"/>
      <c r="AX199" s="176">
        <f>IFERROR(__xludf.DUMMYFUNCTION("""COMPUTED_VALUE"""),45667.64583333333)</f>
        <v>45667.64583</v>
      </c>
      <c r="AY199" s="177">
        <f>IFERROR(__xludf.DUMMYFUNCTION("""COMPUTED_VALUE"""),449.95)</f>
        <v>449.95</v>
      </c>
      <c r="AZ199" s="177">
        <f>IFERROR(__xludf.DUMMYFUNCTION("""COMPUTED_VALUE"""),452.0)</f>
        <v>452</v>
      </c>
      <c r="BA199" s="177">
        <f>IFERROR(__xludf.DUMMYFUNCTION("""COMPUTED_VALUE"""),442.5)</f>
        <v>442.5</v>
      </c>
      <c r="BB199" s="177">
        <f>IFERROR(__xludf.DUMMYFUNCTION("""COMPUTED_VALUE"""),444.9)</f>
        <v>444.9</v>
      </c>
      <c r="BC199" s="177">
        <f>IFERROR(__xludf.DUMMYFUNCTION("""COMPUTED_VALUE"""),9145729.0)</f>
        <v>9145729</v>
      </c>
      <c r="BD199" s="177">
        <f t="shared" si="5"/>
        <v>-0.01162024249</v>
      </c>
      <c r="BE199" s="177"/>
      <c r="BF199" s="177"/>
      <c r="BG199" s="189"/>
      <c r="BH199" s="140"/>
      <c r="BI199" s="140"/>
      <c r="BJ199" s="140"/>
      <c r="BK199" s="140"/>
      <c r="BL199" s="140"/>
      <c r="BM199" s="140"/>
      <c r="BN199" s="140"/>
      <c r="BO199" s="140"/>
      <c r="BP199" s="140"/>
      <c r="BQ199" s="140"/>
      <c r="BR199" s="140"/>
      <c r="BS199" s="140"/>
      <c r="BT199" s="140"/>
      <c r="BU199" s="140"/>
      <c r="BV199" s="140"/>
      <c r="BW199" s="140"/>
      <c r="BX199" s="140"/>
      <c r="BY199" s="140"/>
    </row>
    <row r="200" ht="15.75" customHeight="1">
      <c r="A200" s="168"/>
      <c r="B200" s="169">
        <v>45670.0</v>
      </c>
      <c r="C200" s="170">
        <v>7452.78</v>
      </c>
      <c r="D200" s="170">
        <v>7485.12</v>
      </c>
      <c r="E200" s="170">
        <v>7405.52</v>
      </c>
      <c r="F200" s="170">
        <v>7413.52</v>
      </c>
      <c r="G200" s="171" t="s">
        <v>238</v>
      </c>
      <c r="H200" s="172">
        <f t="shared" si="1"/>
        <v>-0.005058996409</v>
      </c>
      <c r="I200" s="172"/>
      <c r="J200" s="172"/>
      <c r="K200" s="188"/>
      <c r="L200" s="140"/>
      <c r="M200" s="140"/>
      <c r="N200" s="176">
        <f>IFERROR(__xludf.DUMMYFUNCTION("""COMPUTED_VALUE"""),45670.64583333333)</f>
        <v>45670.64583</v>
      </c>
      <c r="O200" s="177">
        <f>IFERROR(__xludf.DUMMYFUNCTION("""COMPUTED_VALUE"""),1234.9)</f>
        <v>1234.9</v>
      </c>
      <c r="P200" s="177">
        <f>IFERROR(__xludf.DUMMYFUNCTION("""COMPUTED_VALUE"""),1243.95)</f>
        <v>1243.95</v>
      </c>
      <c r="Q200" s="177">
        <f>IFERROR(__xludf.DUMMYFUNCTION("""COMPUTED_VALUE"""),1224.9)</f>
        <v>1224.9</v>
      </c>
      <c r="R200" s="177">
        <f>IFERROR(__xludf.DUMMYFUNCTION("""COMPUTED_VALUE"""),1229.75)</f>
        <v>1229.75</v>
      </c>
      <c r="S200" s="177">
        <f>IFERROR(__xludf.DUMMYFUNCTION("""COMPUTED_VALUE"""),9669336.0)</f>
        <v>9669336</v>
      </c>
      <c r="T200" s="177">
        <f t="shared" si="2"/>
        <v>-0.01621264742</v>
      </c>
      <c r="U200" s="178"/>
      <c r="V200" s="177"/>
      <c r="W200" s="189"/>
      <c r="X200" s="140"/>
      <c r="Y200" s="140"/>
      <c r="Z200" s="176">
        <f>IFERROR(__xludf.DUMMYFUNCTION("""COMPUTED_VALUE"""),45670.64583333333)</f>
        <v>45670.64583</v>
      </c>
      <c r="AA200" s="177">
        <f>IFERROR(__xludf.DUMMYFUNCTION("""COMPUTED_VALUE"""),315.55)</f>
        <v>315.55</v>
      </c>
      <c r="AB200" s="177">
        <f>IFERROR(__xludf.DUMMYFUNCTION("""COMPUTED_VALUE"""),333.25)</f>
        <v>333.25</v>
      </c>
      <c r="AC200" s="177">
        <f>IFERROR(__xludf.DUMMYFUNCTION("""COMPUTED_VALUE"""),315.55)</f>
        <v>315.55</v>
      </c>
      <c r="AD200" s="177">
        <f>IFERROR(__xludf.DUMMYFUNCTION("""COMPUTED_VALUE"""),320.5)</f>
        <v>320.5</v>
      </c>
      <c r="AE200" s="177">
        <f>IFERROR(__xludf.DUMMYFUNCTION("""COMPUTED_VALUE"""),1.3453147E7)</f>
        <v>13453147</v>
      </c>
      <c r="AF200" s="177">
        <f t="shared" si="3"/>
        <v>0.0003120611665</v>
      </c>
      <c r="AG200" s="177"/>
      <c r="AH200" s="177"/>
      <c r="AI200" s="189"/>
      <c r="AJ200" s="140"/>
      <c r="AK200" s="140"/>
      <c r="AL200" s="176">
        <f>IFERROR(__xludf.DUMMYFUNCTION("""COMPUTED_VALUE"""),45670.64583333333)</f>
        <v>45670.64583</v>
      </c>
      <c r="AM200" s="177">
        <f>IFERROR(__xludf.DUMMYFUNCTION("""COMPUTED_VALUE"""),3900.0)</f>
        <v>3900</v>
      </c>
      <c r="AN200" s="177">
        <f>IFERROR(__xludf.DUMMYFUNCTION("""COMPUTED_VALUE"""),3985.25)</f>
        <v>3985.25</v>
      </c>
      <c r="AO200" s="177">
        <f>IFERROR(__xludf.DUMMYFUNCTION("""COMPUTED_VALUE"""),3772.35)</f>
        <v>3772.35</v>
      </c>
      <c r="AP200" s="177">
        <f>IFERROR(__xludf.DUMMYFUNCTION("""COMPUTED_VALUE"""),3788.25)</f>
        <v>3788.25</v>
      </c>
      <c r="AQ200" s="177">
        <f>IFERROR(__xludf.DUMMYFUNCTION("""COMPUTED_VALUE"""),1959105.0)</f>
        <v>1959105</v>
      </c>
      <c r="AR200" s="177">
        <f t="shared" si="4"/>
        <v>-0.05451518227</v>
      </c>
      <c r="AS200" s="177"/>
      <c r="AT200" s="177"/>
      <c r="AU200" s="189"/>
      <c r="AV200" s="140"/>
      <c r="AW200" s="140"/>
      <c r="AX200" s="176">
        <f>IFERROR(__xludf.DUMMYFUNCTION("""COMPUTED_VALUE"""),45670.64583333333)</f>
        <v>45670.64583</v>
      </c>
      <c r="AY200" s="177">
        <f>IFERROR(__xludf.DUMMYFUNCTION("""COMPUTED_VALUE"""),435.0)</f>
        <v>435</v>
      </c>
      <c r="AZ200" s="177">
        <f>IFERROR(__xludf.DUMMYFUNCTION("""COMPUTED_VALUE"""),444.0)</f>
        <v>444</v>
      </c>
      <c r="BA200" s="177">
        <f>IFERROR(__xludf.DUMMYFUNCTION("""COMPUTED_VALUE"""),435.0)</f>
        <v>435</v>
      </c>
      <c r="BB200" s="177">
        <f>IFERROR(__xludf.DUMMYFUNCTION("""COMPUTED_VALUE"""),439.05)</f>
        <v>439.05</v>
      </c>
      <c r="BC200" s="177">
        <f>IFERROR(__xludf.DUMMYFUNCTION("""COMPUTED_VALUE"""),1.7799607E7)</f>
        <v>17799607</v>
      </c>
      <c r="BD200" s="177">
        <f t="shared" si="5"/>
        <v>-0.01323623601</v>
      </c>
      <c r="BE200" s="177"/>
      <c r="BF200" s="177"/>
      <c r="BG200" s="189"/>
      <c r="BH200" s="140"/>
      <c r="BI200" s="140"/>
      <c r="BJ200" s="140"/>
      <c r="BK200" s="140"/>
      <c r="BL200" s="140"/>
      <c r="BM200" s="140"/>
      <c r="BN200" s="140"/>
      <c r="BO200" s="140"/>
      <c r="BP200" s="140"/>
      <c r="BQ200" s="140"/>
      <c r="BR200" s="140"/>
      <c r="BS200" s="140"/>
      <c r="BT200" s="140"/>
      <c r="BU200" s="140"/>
      <c r="BV200" s="140"/>
      <c r="BW200" s="140"/>
      <c r="BX200" s="140"/>
      <c r="BY200" s="140"/>
    </row>
    <row r="201" ht="15.75" customHeight="1">
      <c r="A201" s="168"/>
      <c r="B201" s="169">
        <v>45671.0</v>
      </c>
      <c r="C201" s="170">
        <v>7419.12</v>
      </c>
      <c r="D201" s="170">
        <v>7453.12</v>
      </c>
      <c r="E201" s="170">
        <v>7400.78</v>
      </c>
      <c r="F201" s="170">
        <v>7447.12</v>
      </c>
      <c r="G201" s="171" t="s">
        <v>238</v>
      </c>
      <c r="H201" s="172">
        <f t="shared" si="1"/>
        <v>0.004522020217</v>
      </c>
      <c r="I201" s="172"/>
      <c r="J201" s="172"/>
      <c r="K201" s="188"/>
      <c r="L201" s="140"/>
      <c r="M201" s="140"/>
      <c r="N201" s="176">
        <f>IFERROR(__xludf.DUMMYFUNCTION("""COMPUTED_VALUE"""),45671.64583333333)</f>
        <v>45671.64583</v>
      </c>
      <c r="O201" s="177">
        <f>IFERROR(__xludf.DUMMYFUNCTION("""COMPUTED_VALUE"""),1233.35)</f>
        <v>1233.35</v>
      </c>
      <c r="P201" s="177">
        <f>IFERROR(__xludf.DUMMYFUNCTION("""COMPUTED_VALUE"""),1244.85)</f>
        <v>1244.85</v>
      </c>
      <c r="Q201" s="177">
        <f>IFERROR(__xludf.DUMMYFUNCTION("""COMPUTED_VALUE"""),1227.45)</f>
        <v>1227.45</v>
      </c>
      <c r="R201" s="177">
        <f>IFERROR(__xludf.DUMMYFUNCTION("""COMPUTED_VALUE"""),1240.3)</f>
        <v>1240.3</v>
      </c>
      <c r="S201" s="177">
        <f>IFERROR(__xludf.DUMMYFUNCTION("""COMPUTED_VALUE"""),1.0342698E7)</f>
        <v>10342698</v>
      </c>
      <c r="T201" s="177">
        <f t="shared" si="2"/>
        <v>0.008542389146</v>
      </c>
      <c r="U201" s="178"/>
      <c r="V201" s="177"/>
      <c r="W201" s="189"/>
      <c r="X201" s="140"/>
      <c r="Y201" s="140"/>
      <c r="Z201" s="176">
        <f>IFERROR(__xludf.DUMMYFUNCTION("""COMPUTED_VALUE"""),45671.64583333333)</f>
        <v>45671.64583</v>
      </c>
      <c r="AA201" s="177">
        <f>IFERROR(__xludf.DUMMYFUNCTION("""COMPUTED_VALUE"""),324.0)</f>
        <v>324</v>
      </c>
      <c r="AB201" s="177">
        <f>IFERROR(__xludf.DUMMYFUNCTION("""COMPUTED_VALUE"""),341.85)</f>
        <v>341.85</v>
      </c>
      <c r="AC201" s="177">
        <f>IFERROR(__xludf.DUMMYFUNCTION("""COMPUTED_VALUE"""),323.4)</f>
        <v>323.4</v>
      </c>
      <c r="AD201" s="177">
        <f>IFERROR(__xludf.DUMMYFUNCTION("""COMPUTED_VALUE"""),340.3)</f>
        <v>340.3</v>
      </c>
      <c r="AE201" s="177">
        <f>IFERROR(__xludf.DUMMYFUNCTION("""COMPUTED_VALUE"""),1.2001185E7)</f>
        <v>12001185</v>
      </c>
      <c r="AF201" s="177">
        <f t="shared" si="3"/>
        <v>0.05994530515</v>
      </c>
      <c r="AG201" s="177"/>
      <c r="AH201" s="177"/>
      <c r="AI201" s="189"/>
      <c r="AJ201" s="140"/>
      <c r="AK201" s="140"/>
      <c r="AL201" s="176">
        <f>IFERROR(__xludf.DUMMYFUNCTION("""COMPUTED_VALUE"""),45671.64583333333)</f>
        <v>45671.64583</v>
      </c>
      <c r="AM201" s="177">
        <f>IFERROR(__xludf.DUMMYFUNCTION("""COMPUTED_VALUE"""),3805.0)</f>
        <v>3805</v>
      </c>
      <c r="AN201" s="177">
        <f>IFERROR(__xludf.DUMMYFUNCTION("""COMPUTED_VALUE"""),3873.95)</f>
        <v>3873.95</v>
      </c>
      <c r="AO201" s="177">
        <f>IFERROR(__xludf.DUMMYFUNCTION("""COMPUTED_VALUE"""),3780.0)</f>
        <v>3780</v>
      </c>
      <c r="AP201" s="177">
        <f>IFERROR(__xludf.DUMMYFUNCTION("""COMPUTED_VALUE"""),3828.35)</f>
        <v>3828.35</v>
      </c>
      <c r="AQ201" s="177">
        <f>IFERROR(__xludf.DUMMYFUNCTION("""COMPUTED_VALUE"""),1803243.0)</f>
        <v>1803243</v>
      </c>
      <c r="AR201" s="177">
        <f t="shared" si="4"/>
        <v>0.01052972993</v>
      </c>
      <c r="AS201" s="177"/>
      <c r="AT201" s="177"/>
      <c r="AU201" s="189"/>
      <c r="AV201" s="140"/>
      <c r="AW201" s="140"/>
      <c r="AX201" s="176">
        <f>IFERROR(__xludf.DUMMYFUNCTION("""COMPUTED_VALUE"""),45671.64583333333)</f>
        <v>45671.64583</v>
      </c>
      <c r="AY201" s="177">
        <f>IFERROR(__xludf.DUMMYFUNCTION("""COMPUTED_VALUE"""),441.0)</f>
        <v>441</v>
      </c>
      <c r="AZ201" s="177">
        <f>IFERROR(__xludf.DUMMYFUNCTION("""COMPUTED_VALUE"""),441.5)</f>
        <v>441.5</v>
      </c>
      <c r="BA201" s="177">
        <f>IFERROR(__xludf.DUMMYFUNCTION("""COMPUTED_VALUE"""),435.85)</f>
        <v>435.85</v>
      </c>
      <c r="BB201" s="177">
        <f>IFERROR(__xludf.DUMMYFUNCTION("""COMPUTED_VALUE"""),436.6)</f>
        <v>436.6</v>
      </c>
      <c r="BC201" s="177">
        <f>IFERROR(__xludf.DUMMYFUNCTION("""COMPUTED_VALUE"""),1.8048459E7)</f>
        <v>18048459</v>
      </c>
      <c r="BD201" s="177">
        <f t="shared" si="5"/>
        <v>-0.00559585769</v>
      </c>
      <c r="BE201" s="177"/>
      <c r="BF201" s="177"/>
      <c r="BG201" s="189"/>
      <c r="BH201" s="140"/>
      <c r="BI201" s="140"/>
      <c r="BJ201" s="140"/>
      <c r="BK201" s="140"/>
      <c r="BL201" s="140"/>
      <c r="BM201" s="140"/>
      <c r="BN201" s="140"/>
      <c r="BO201" s="140"/>
      <c r="BP201" s="140"/>
      <c r="BQ201" s="140"/>
      <c r="BR201" s="140"/>
      <c r="BS201" s="140"/>
      <c r="BT201" s="140"/>
      <c r="BU201" s="140"/>
      <c r="BV201" s="140"/>
      <c r="BW201" s="140"/>
      <c r="BX201" s="140"/>
      <c r="BY201" s="140"/>
    </row>
    <row r="202" ht="15.75" customHeight="1">
      <c r="A202" s="168"/>
      <c r="B202" s="169">
        <v>45672.0</v>
      </c>
      <c r="C202" s="170">
        <v>7448.78</v>
      </c>
      <c r="D202" s="170">
        <v>7493.12</v>
      </c>
      <c r="E202" s="170">
        <v>7428.78</v>
      </c>
      <c r="F202" s="170">
        <v>7488.78</v>
      </c>
      <c r="G202" s="171" t="s">
        <v>238</v>
      </c>
      <c r="H202" s="172">
        <f t="shared" si="1"/>
        <v>0.005578519947</v>
      </c>
      <c r="I202" s="172"/>
      <c r="J202" s="172"/>
      <c r="K202" s="188"/>
      <c r="L202" s="140"/>
      <c r="M202" s="140"/>
      <c r="N202" s="176">
        <f>IFERROR(__xludf.DUMMYFUNCTION("""COMPUTED_VALUE"""),45672.64583333333)</f>
        <v>45672.64583</v>
      </c>
      <c r="O202" s="177">
        <f>IFERROR(__xludf.DUMMYFUNCTION("""COMPUTED_VALUE"""),1234.0)</f>
        <v>1234</v>
      </c>
      <c r="P202" s="177">
        <f>IFERROR(__xludf.DUMMYFUNCTION("""COMPUTED_VALUE"""),1244.4)</f>
        <v>1244.4</v>
      </c>
      <c r="Q202" s="177">
        <f>IFERROR(__xludf.DUMMYFUNCTION("""COMPUTED_VALUE"""),1230.0)</f>
        <v>1230</v>
      </c>
      <c r="R202" s="177">
        <f>IFERROR(__xludf.DUMMYFUNCTION("""COMPUTED_VALUE"""),1238.25)</f>
        <v>1238.25</v>
      </c>
      <c r="S202" s="177">
        <f>IFERROR(__xludf.DUMMYFUNCTION("""COMPUTED_VALUE"""),5355382.0)</f>
        <v>5355382</v>
      </c>
      <c r="T202" s="177">
        <f t="shared" si="2"/>
        <v>-0.001654193353</v>
      </c>
      <c r="U202" s="178"/>
      <c r="V202" s="177"/>
      <c r="W202" s="189"/>
      <c r="X202" s="140"/>
      <c r="Y202" s="140"/>
      <c r="Z202" s="176">
        <f>IFERROR(__xludf.DUMMYFUNCTION("""COMPUTED_VALUE"""),45672.64583333333)</f>
        <v>45672.64583</v>
      </c>
      <c r="AA202" s="177">
        <f>IFERROR(__xludf.DUMMYFUNCTION("""COMPUTED_VALUE"""),340.9)</f>
        <v>340.9</v>
      </c>
      <c r="AB202" s="177">
        <f>IFERROR(__xludf.DUMMYFUNCTION("""COMPUTED_VALUE"""),361.2)</f>
        <v>361.2</v>
      </c>
      <c r="AC202" s="177">
        <f>IFERROR(__xludf.DUMMYFUNCTION("""COMPUTED_VALUE"""),339.15)</f>
        <v>339.15</v>
      </c>
      <c r="AD202" s="177">
        <f>IFERROR(__xludf.DUMMYFUNCTION("""COMPUTED_VALUE"""),351.8)</f>
        <v>351.8</v>
      </c>
      <c r="AE202" s="177">
        <f>IFERROR(__xludf.DUMMYFUNCTION("""COMPUTED_VALUE"""),2.205085E7)</f>
        <v>22050850</v>
      </c>
      <c r="AF202" s="177">
        <f t="shared" si="3"/>
        <v>0.0332352508</v>
      </c>
      <c r="AG202" s="177"/>
      <c r="AH202" s="177"/>
      <c r="AI202" s="189"/>
      <c r="AJ202" s="140"/>
      <c r="AK202" s="140"/>
      <c r="AL202" s="176">
        <f>IFERROR(__xludf.DUMMYFUNCTION("""COMPUTED_VALUE"""),45672.64583333333)</f>
        <v>45672.64583</v>
      </c>
      <c r="AM202" s="177">
        <f>IFERROR(__xludf.DUMMYFUNCTION("""COMPUTED_VALUE"""),3853.95)</f>
        <v>3853.95</v>
      </c>
      <c r="AN202" s="177">
        <f>IFERROR(__xludf.DUMMYFUNCTION("""COMPUTED_VALUE"""),3874.0)</f>
        <v>3874</v>
      </c>
      <c r="AO202" s="177">
        <f>IFERROR(__xludf.DUMMYFUNCTION("""COMPUTED_VALUE"""),3801.55)</f>
        <v>3801.55</v>
      </c>
      <c r="AP202" s="177">
        <f>IFERROR(__xludf.DUMMYFUNCTION("""COMPUTED_VALUE"""),3822.8)</f>
        <v>3822.8</v>
      </c>
      <c r="AQ202" s="177">
        <f>IFERROR(__xludf.DUMMYFUNCTION("""COMPUTED_VALUE"""),1061461.0)</f>
        <v>1061461</v>
      </c>
      <c r="AR202" s="177">
        <f t="shared" si="4"/>
        <v>-0.001450762558</v>
      </c>
      <c r="AS202" s="177"/>
      <c r="AT202" s="177"/>
      <c r="AU202" s="189"/>
      <c r="AV202" s="140"/>
      <c r="AW202" s="140"/>
      <c r="AX202" s="176">
        <f>IFERROR(__xludf.DUMMYFUNCTION("""COMPUTED_VALUE"""),45672.64583333333)</f>
        <v>45672.64583</v>
      </c>
      <c r="AY202" s="177">
        <f>IFERROR(__xludf.DUMMYFUNCTION("""COMPUTED_VALUE"""),436.6)</f>
        <v>436.6</v>
      </c>
      <c r="AZ202" s="177">
        <f>IFERROR(__xludf.DUMMYFUNCTION("""COMPUTED_VALUE"""),441.8)</f>
        <v>441.8</v>
      </c>
      <c r="BA202" s="177">
        <f>IFERROR(__xludf.DUMMYFUNCTION("""COMPUTED_VALUE"""),435.35)</f>
        <v>435.35</v>
      </c>
      <c r="BB202" s="177">
        <f>IFERROR(__xludf.DUMMYFUNCTION("""COMPUTED_VALUE"""),437.35)</f>
        <v>437.35</v>
      </c>
      <c r="BC202" s="177">
        <f>IFERROR(__xludf.DUMMYFUNCTION("""COMPUTED_VALUE"""),9786805.0)</f>
        <v>9786805</v>
      </c>
      <c r="BD202" s="177">
        <f t="shared" si="5"/>
        <v>0.00171634575</v>
      </c>
      <c r="BE202" s="177"/>
      <c r="BF202" s="177"/>
      <c r="BG202" s="189"/>
      <c r="BH202" s="140"/>
      <c r="BI202" s="140"/>
      <c r="BJ202" s="140"/>
      <c r="BK202" s="140"/>
      <c r="BL202" s="140"/>
      <c r="BM202" s="140"/>
      <c r="BN202" s="140"/>
      <c r="BO202" s="140"/>
      <c r="BP202" s="140"/>
      <c r="BQ202" s="140"/>
      <c r="BR202" s="140"/>
      <c r="BS202" s="140"/>
      <c r="BT202" s="140"/>
      <c r="BU202" s="140"/>
      <c r="BV202" s="140"/>
      <c r="BW202" s="140"/>
      <c r="BX202" s="140"/>
      <c r="BY202" s="140"/>
    </row>
    <row r="203" ht="15.75" customHeight="1">
      <c r="A203" s="168"/>
      <c r="B203" s="169">
        <v>45673.0</v>
      </c>
      <c r="C203" s="170">
        <v>7490.12</v>
      </c>
      <c r="D203" s="170">
        <v>7586.12</v>
      </c>
      <c r="E203" s="170">
        <v>7479.12</v>
      </c>
      <c r="F203" s="170">
        <v>7554.12</v>
      </c>
      <c r="G203" s="171" t="s">
        <v>238</v>
      </c>
      <c r="H203" s="172">
        <f t="shared" si="1"/>
        <v>0.008687209371</v>
      </c>
      <c r="I203" s="172"/>
      <c r="J203" s="172"/>
      <c r="K203" s="188"/>
      <c r="L203" s="140"/>
      <c r="M203" s="140"/>
      <c r="N203" s="176">
        <f>IFERROR(__xludf.DUMMYFUNCTION("""COMPUTED_VALUE"""),45673.64583333333)</f>
        <v>45673.64583</v>
      </c>
      <c r="O203" s="177">
        <f>IFERROR(__xludf.DUMMYFUNCTION("""COMPUTED_VALUE"""),1245.1)</f>
        <v>1245.1</v>
      </c>
      <c r="P203" s="177">
        <f>IFERROR(__xludf.DUMMYFUNCTION("""COMPUTED_VALUE"""),1255.5)</f>
        <v>1255.5</v>
      </c>
      <c r="Q203" s="177">
        <f>IFERROR(__xludf.DUMMYFUNCTION("""COMPUTED_VALUE"""),1239.65)</f>
        <v>1239.65</v>
      </c>
      <c r="R203" s="177">
        <f>IFERROR(__xludf.DUMMYFUNCTION("""COMPUTED_VALUE"""),1249.1)</f>
        <v>1249.1</v>
      </c>
      <c r="S203" s="177">
        <f>IFERROR(__xludf.DUMMYFUNCTION("""COMPUTED_VALUE"""),1.1895924E7)</f>
        <v>11895924</v>
      </c>
      <c r="T203" s="177">
        <f t="shared" si="2"/>
        <v>0.008724199504</v>
      </c>
      <c r="U203" s="178"/>
      <c r="V203" s="177"/>
      <c r="W203" s="189"/>
      <c r="X203" s="140"/>
      <c r="Y203" s="140"/>
      <c r="Z203" s="176">
        <f>IFERROR(__xludf.DUMMYFUNCTION("""COMPUTED_VALUE"""),45673.64583333333)</f>
        <v>45673.64583</v>
      </c>
      <c r="AA203" s="177">
        <f>IFERROR(__xludf.DUMMYFUNCTION("""COMPUTED_VALUE"""),363.0)</f>
        <v>363</v>
      </c>
      <c r="AB203" s="177">
        <f>IFERROR(__xludf.DUMMYFUNCTION("""COMPUTED_VALUE"""),363.0)</f>
        <v>363</v>
      </c>
      <c r="AC203" s="177">
        <f>IFERROR(__xludf.DUMMYFUNCTION("""COMPUTED_VALUE"""),353.4)</f>
        <v>353.4</v>
      </c>
      <c r="AD203" s="177">
        <f>IFERROR(__xludf.DUMMYFUNCTION("""COMPUTED_VALUE"""),354.55)</f>
        <v>354.55</v>
      </c>
      <c r="AE203" s="177">
        <f>IFERROR(__xludf.DUMMYFUNCTION("""COMPUTED_VALUE"""),8279242.0)</f>
        <v>8279242</v>
      </c>
      <c r="AF203" s="177">
        <f t="shared" si="3"/>
        <v>0.007786547447</v>
      </c>
      <c r="AG203" s="177"/>
      <c r="AH203" s="177"/>
      <c r="AI203" s="189"/>
      <c r="AJ203" s="140"/>
      <c r="AK203" s="140"/>
      <c r="AL203" s="176">
        <f>IFERROR(__xludf.DUMMYFUNCTION("""COMPUTED_VALUE"""),45673.64583333333)</f>
        <v>45673.64583</v>
      </c>
      <c r="AM203" s="177">
        <f>IFERROR(__xludf.DUMMYFUNCTION("""COMPUTED_VALUE"""),3877.0)</f>
        <v>3877</v>
      </c>
      <c r="AN203" s="177">
        <f>IFERROR(__xludf.DUMMYFUNCTION("""COMPUTED_VALUE"""),3944.6)</f>
        <v>3944.6</v>
      </c>
      <c r="AO203" s="177">
        <f>IFERROR(__xludf.DUMMYFUNCTION("""COMPUTED_VALUE"""),3860.0)</f>
        <v>3860</v>
      </c>
      <c r="AP203" s="177">
        <f>IFERROR(__xludf.DUMMYFUNCTION("""COMPUTED_VALUE"""),3918.75)</f>
        <v>3918.75</v>
      </c>
      <c r="AQ203" s="177">
        <f>IFERROR(__xludf.DUMMYFUNCTION("""COMPUTED_VALUE"""),1076967.0)</f>
        <v>1076967</v>
      </c>
      <c r="AR203" s="177">
        <f t="shared" si="4"/>
        <v>0.02478958699</v>
      </c>
      <c r="AS203" s="177"/>
      <c r="AT203" s="177"/>
      <c r="AU203" s="189"/>
      <c r="AV203" s="140"/>
      <c r="AW203" s="140"/>
      <c r="AX203" s="176">
        <f>IFERROR(__xludf.DUMMYFUNCTION("""COMPUTED_VALUE"""),45673.64583333333)</f>
        <v>45673.64583</v>
      </c>
      <c r="AY203" s="177">
        <f>IFERROR(__xludf.DUMMYFUNCTION("""COMPUTED_VALUE"""),438.05)</f>
        <v>438.05</v>
      </c>
      <c r="AZ203" s="177">
        <f>IFERROR(__xludf.DUMMYFUNCTION("""COMPUTED_VALUE"""),439.45)</f>
        <v>439.45</v>
      </c>
      <c r="BA203" s="177">
        <f>IFERROR(__xludf.DUMMYFUNCTION("""COMPUTED_VALUE"""),431.1)</f>
        <v>431.1</v>
      </c>
      <c r="BB203" s="177">
        <f>IFERROR(__xludf.DUMMYFUNCTION("""COMPUTED_VALUE"""),432.85)</f>
        <v>432.85</v>
      </c>
      <c r="BC203" s="177">
        <f>IFERROR(__xludf.DUMMYFUNCTION("""COMPUTED_VALUE"""),1.577407E7)</f>
        <v>15774070</v>
      </c>
      <c r="BD203" s="177">
        <f t="shared" si="5"/>
        <v>-0.0103425422</v>
      </c>
      <c r="BE203" s="177"/>
      <c r="BF203" s="177"/>
      <c r="BG203" s="189"/>
      <c r="BH203" s="140"/>
      <c r="BI203" s="140"/>
      <c r="BJ203" s="140"/>
      <c r="BK203" s="140"/>
      <c r="BL203" s="140"/>
      <c r="BM203" s="140"/>
      <c r="BN203" s="140"/>
      <c r="BO203" s="140"/>
      <c r="BP203" s="140"/>
      <c r="BQ203" s="140"/>
      <c r="BR203" s="140"/>
      <c r="BS203" s="140"/>
      <c r="BT203" s="140"/>
      <c r="BU203" s="140"/>
      <c r="BV203" s="140"/>
      <c r="BW203" s="140"/>
      <c r="BX203" s="140"/>
      <c r="BY203" s="140"/>
    </row>
    <row r="204" ht="15.75" customHeight="1">
      <c r="A204" s="168"/>
      <c r="B204" s="169">
        <v>45674.0</v>
      </c>
      <c r="C204" s="170">
        <v>7558.78</v>
      </c>
      <c r="D204" s="170">
        <v>7566.78</v>
      </c>
      <c r="E204" s="170">
        <v>7510.12</v>
      </c>
      <c r="F204" s="170">
        <v>7519.12</v>
      </c>
      <c r="G204" s="171" t="s">
        <v>238</v>
      </c>
      <c r="H204" s="172">
        <f t="shared" si="1"/>
        <v>-0.00464399995</v>
      </c>
      <c r="I204" s="172"/>
      <c r="J204" s="172"/>
      <c r="K204" s="188"/>
      <c r="L204" s="140"/>
      <c r="M204" s="140"/>
      <c r="N204" s="176">
        <f>IFERROR(__xludf.DUMMYFUNCTION("""COMPUTED_VALUE"""),45674.64583333333)</f>
        <v>45674.64583</v>
      </c>
      <c r="O204" s="177">
        <f>IFERROR(__xludf.DUMMYFUNCTION("""COMPUTED_VALUE"""),1243.35)</f>
        <v>1243.35</v>
      </c>
      <c r="P204" s="177">
        <f>IFERROR(__xludf.DUMMYFUNCTION("""COMPUTED_VALUE"""),1249.0)</f>
        <v>1249</v>
      </c>
      <c r="Q204" s="177">
        <f>IFERROR(__xludf.DUMMYFUNCTION("""COMPUTED_VALUE"""),1218.0)</f>
        <v>1218</v>
      </c>
      <c r="R204" s="177">
        <f>IFERROR(__xludf.DUMMYFUNCTION("""COMPUTED_VALUE"""),1225.45)</f>
        <v>1225.45</v>
      </c>
      <c r="S204" s="177">
        <f>IFERROR(__xludf.DUMMYFUNCTION("""COMPUTED_VALUE"""),9790533.0)</f>
        <v>9790533</v>
      </c>
      <c r="T204" s="177">
        <f t="shared" si="2"/>
        <v>-0.01911516851</v>
      </c>
      <c r="U204" s="178"/>
      <c r="V204" s="177"/>
      <c r="W204" s="189"/>
      <c r="X204" s="140"/>
      <c r="Y204" s="140"/>
      <c r="Z204" s="176">
        <f>IFERROR(__xludf.DUMMYFUNCTION("""COMPUTED_VALUE"""),45674.64583333333)</f>
        <v>45674.64583</v>
      </c>
      <c r="AA204" s="177">
        <f>IFERROR(__xludf.DUMMYFUNCTION("""COMPUTED_VALUE"""),358.1)</f>
        <v>358.1</v>
      </c>
      <c r="AB204" s="177">
        <f>IFERROR(__xludf.DUMMYFUNCTION("""COMPUTED_VALUE"""),365.0)</f>
        <v>365</v>
      </c>
      <c r="AC204" s="177">
        <f>IFERROR(__xludf.DUMMYFUNCTION("""COMPUTED_VALUE"""),357.15)</f>
        <v>357.15</v>
      </c>
      <c r="AD204" s="177">
        <f>IFERROR(__xludf.DUMMYFUNCTION("""COMPUTED_VALUE"""),362.7)</f>
        <v>362.7</v>
      </c>
      <c r="AE204" s="177">
        <f>IFERROR(__xludf.DUMMYFUNCTION("""COMPUTED_VALUE"""),1.4711286E7)</f>
        <v>14711286</v>
      </c>
      <c r="AF204" s="177">
        <f t="shared" si="3"/>
        <v>0.02272666654</v>
      </c>
      <c r="AG204" s="177"/>
      <c r="AH204" s="177"/>
      <c r="AI204" s="189"/>
      <c r="AJ204" s="140"/>
      <c r="AK204" s="140"/>
      <c r="AL204" s="176">
        <f>IFERROR(__xludf.DUMMYFUNCTION("""COMPUTED_VALUE"""),45674.64583333333)</f>
        <v>45674.64583</v>
      </c>
      <c r="AM204" s="177">
        <f>IFERROR(__xludf.DUMMYFUNCTION("""COMPUTED_VALUE"""),3934.0)</f>
        <v>3934</v>
      </c>
      <c r="AN204" s="177">
        <f>IFERROR(__xludf.DUMMYFUNCTION("""COMPUTED_VALUE"""),4142.0)</f>
        <v>4142</v>
      </c>
      <c r="AO204" s="177">
        <f>IFERROR(__xludf.DUMMYFUNCTION("""COMPUTED_VALUE"""),3882.2)</f>
        <v>3882.2</v>
      </c>
      <c r="AP204" s="177">
        <f>IFERROR(__xludf.DUMMYFUNCTION("""COMPUTED_VALUE"""),4116.6)</f>
        <v>4116.6</v>
      </c>
      <c r="AQ204" s="177">
        <f>IFERROR(__xludf.DUMMYFUNCTION("""COMPUTED_VALUE"""),2907534.0)</f>
        <v>2907534</v>
      </c>
      <c r="AR204" s="177">
        <f t="shared" si="4"/>
        <v>0.04925485454</v>
      </c>
      <c r="AS204" s="177"/>
      <c r="AT204" s="177"/>
      <c r="AU204" s="189"/>
      <c r="AV204" s="140"/>
      <c r="AW204" s="140"/>
      <c r="AX204" s="176">
        <f>IFERROR(__xludf.DUMMYFUNCTION("""COMPUTED_VALUE"""),45674.64583333333)</f>
        <v>45674.64583</v>
      </c>
      <c r="AY204" s="177">
        <f>IFERROR(__xludf.DUMMYFUNCTION("""COMPUTED_VALUE"""),433.0)</f>
        <v>433</v>
      </c>
      <c r="AZ204" s="177">
        <f>IFERROR(__xludf.DUMMYFUNCTION("""COMPUTED_VALUE"""),441.8)</f>
        <v>441.8</v>
      </c>
      <c r="BA204" s="177">
        <f>IFERROR(__xludf.DUMMYFUNCTION("""COMPUTED_VALUE"""),432.5)</f>
        <v>432.5</v>
      </c>
      <c r="BB204" s="177">
        <f>IFERROR(__xludf.DUMMYFUNCTION("""COMPUTED_VALUE"""),440.2)</f>
        <v>440.2</v>
      </c>
      <c r="BC204" s="177">
        <f>IFERROR(__xludf.DUMMYFUNCTION("""COMPUTED_VALUE"""),1.1270061E7)</f>
        <v>11270061</v>
      </c>
      <c r="BD204" s="177">
        <f t="shared" si="5"/>
        <v>0.01683792143</v>
      </c>
      <c r="BE204" s="177"/>
      <c r="BF204" s="177"/>
      <c r="BG204" s="189"/>
      <c r="BH204" s="140"/>
      <c r="BI204" s="140"/>
      <c r="BJ204" s="140"/>
      <c r="BK204" s="140"/>
      <c r="BL204" s="140"/>
      <c r="BM204" s="140"/>
      <c r="BN204" s="140"/>
      <c r="BO204" s="140"/>
      <c r="BP204" s="140"/>
      <c r="BQ204" s="140"/>
      <c r="BR204" s="140"/>
      <c r="BS204" s="140"/>
      <c r="BT204" s="140"/>
      <c r="BU204" s="140"/>
      <c r="BV204" s="140"/>
      <c r="BW204" s="140"/>
      <c r="BX204" s="140"/>
      <c r="BY204" s="140"/>
    </row>
    <row r="205" ht="15.75" customHeight="1">
      <c r="A205" s="168"/>
      <c r="B205" s="169">
        <v>45677.0</v>
      </c>
      <c r="C205" s="170">
        <v>7522.12</v>
      </c>
      <c r="D205" s="170">
        <v>7553.12</v>
      </c>
      <c r="E205" s="170">
        <v>7485.52</v>
      </c>
      <c r="F205" s="170">
        <v>7506.78</v>
      </c>
      <c r="G205" s="171" t="s">
        <v>238</v>
      </c>
      <c r="H205" s="172">
        <f t="shared" si="1"/>
        <v>-0.001642497657</v>
      </c>
      <c r="I205" s="172"/>
      <c r="J205" s="172"/>
      <c r="K205" s="188"/>
      <c r="L205" s="140"/>
      <c r="M205" s="140"/>
      <c r="N205" s="176">
        <f>IFERROR(__xludf.DUMMYFUNCTION("""COMPUTED_VALUE"""),45677.64583333333)</f>
        <v>45677.64583</v>
      </c>
      <c r="O205" s="177">
        <f>IFERROR(__xludf.DUMMYFUNCTION("""COMPUTED_VALUE"""),1223.9)</f>
        <v>1223.9</v>
      </c>
      <c r="P205" s="177">
        <f>IFERROR(__xludf.DUMMYFUNCTION("""COMPUTED_VALUE"""),1241.75)</f>
        <v>1241.75</v>
      </c>
      <c r="Q205" s="177">
        <f>IFERROR(__xludf.DUMMYFUNCTION("""COMPUTED_VALUE"""),1215.25)</f>
        <v>1215.25</v>
      </c>
      <c r="R205" s="177">
        <f>IFERROR(__xludf.DUMMYFUNCTION("""COMPUTED_VALUE"""),1232.95)</f>
        <v>1232.95</v>
      </c>
      <c r="S205" s="177">
        <f>IFERROR(__xludf.DUMMYFUNCTION("""COMPUTED_VALUE"""),7676418.0)</f>
        <v>7676418</v>
      </c>
      <c r="T205" s="177">
        <f t="shared" si="2"/>
        <v>0.006101548379</v>
      </c>
      <c r="U205" s="178"/>
      <c r="V205" s="177"/>
      <c r="W205" s="189"/>
      <c r="X205" s="140"/>
      <c r="Y205" s="140"/>
      <c r="Z205" s="176">
        <f>IFERROR(__xludf.DUMMYFUNCTION("""COMPUTED_VALUE"""),45677.64583333333)</f>
        <v>45677.64583</v>
      </c>
      <c r="AA205" s="177">
        <f>IFERROR(__xludf.DUMMYFUNCTION("""COMPUTED_VALUE"""),380.4)</f>
        <v>380.4</v>
      </c>
      <c r="AB205" s="177">
        <f>IFERROR(__xludf.DUMMYFUNCTION("""COMPUTED_VALUE"""),390.45)</f>
        <v>390.45</v>
      </c>
      <c r="AC205" s="177">
        <f>IFERROR(__xludf.DUMMYFUNCTION("""COMPUTED_VALUE"""),370.35)</f>
        <v>370.35</v>
      </c>
      <c r="AD205" s="177">
        <f>IFERROR(__xludf.DUMMYFUNCTION("""COMPUTED_VALUE"""),375.6)</f>
        <v>375.6</v>
      </c>
      <c r="AE205" s="177">
        <f>IFERROR(__xludf.DUMMYFUNCTION("""COMPUTED_VALUE"""),2.3507683E7)</f>
        <v>23507683</v>
      </c>
      <c r="AF205" s="177">
        <f t="shared" si="3"/>
        <v>0.03494870105</v>
      </c>
      <c r="AG205" s="177"/>
      <c r="AH205" s="177"/>
      <c r="AI205" s="189"/>
      <c r="AJ205" s="140"/>
      <c r="AK205" s="140"/>
      <c r="AL205" s="176">
        <f>IFERROR(__xludf.DUMMYFUNCTION("""COMPUTED_VALUE"""),45677.64583333333)</f>
        <v>45677.64583</v>
      </c>
      <c r="AM205" s="177">
        <f>IFERROR(__xludf.DUMMYFUNCTION("""COMPUTED_VALUE"""),4133.5)</f>
        <v>4133.5</v>
      </c>
      <c r="AN205" s="177">
        <f>IFERROR(__xludf.DUMMYFUNCTION("""COMPUTED_VALUE"""),4242.0)</f>
        <v>4242</v>
      </c>
      <c r="AO205" s="177">
        <f>IFERROR(__xludf.DUMMYFUNCTION("""COMPUTED_VALUE"""),4105.0)</f>
        <v>4105</v>
      </c>
      <c r="AP205" s="177">
        <f>IFERROR(__xludf.DUMMYFUNCTION("""COMPUTED_VALUE"""),4187.5)</f>
        <v>4187.5</v>
      </c>
      <c r="AQ205" s="177">
        <f>IFERROR(__xludf.DUMMYFUNCTION("""COMPUTED_VALUE"""),2062527.0)</f>
        <v>2062527</v>
      </c>
      <c r="AR205" s="177">
        <f t="shared" si="4"/>
        <v>0.01707631721</v>
      </c>
      <c r="AS205" s="177"/>
      <c r="AT205" s="177"/>
      <c r="AU205" s="189"/>
      <c r="AV205" s="140"/>
      <c r="AW205" s="140"/>
      <c r="AX205" s="176">
        <f>IFERROR(__xludf.DUMMYFUNCTION("""COMPUTED_VALUE"""),45677.64583333333)</f>
        <v>45677.64583</v>
      </c>
      <c r="AY205" s="177">
        <f>IFERROR(__xludf.DUMMYFUNCTION("""COMPUTED_VALUE"""),439.0)</f>
        <v>439</v>
      </c>
      <c r="AZ205" s="177">
        <f>IFERROR(__xludf.DUMMYFUNCTION("""COMPUTED_VALUE"""),441.2)</f>
        <v>441.2</v>
      </c>
      <c r="BA205" s="177">
        <f>IFERROR(__xludf.DUMMYFUNCTION("""COMPUTED_VALUE"""),436.0)</f>
        <v>436</v>
      </c>
      <c r="BB205" s="177">
        <f>IFERROR(__xludf.DUMMYFUNCTION("""COMPUTED_VALUE"""),437.7)</f>
        <v>437.7</v>
      </c>
      <c r="BC205" s="177">
        <f>IFERROR(__xludf.DUMMYFUNCTION("""COMPUTED_VALUE"""),8742771.0)</f>
        <v>8742771</v>
      </c>
      <c r="BD205" s="177">
        <f t="shared" si="5"/>
        <v>-0.005695424896</v>
      </c>
      <c r="BE205" s="177"/>
      <c r="BF205" s="177"/>
      <c r="BG205" s="189"/>
      <c r="BH205" s="140"/>
      <c r="BI205" s="140"/>
      <c r="BJ205" s="140"/>
      <c r="BK205" s="140"/>
      <c r="BL205" s="140"/>
      <c r="BM205" s="140"/>
      <c r="BN205" s="140"/>
      <c r="BO205" s="140"/>
      <c r="BP205" s="140"/>
      <c r="BQ205" s="140"/>
      <c r="BR205" s="140"/>
      <c r="BS205" s="140"/>
      <c r="BT205" s="140"/>
      <c r="BU205" s="140"/>
      <c r="BV205" s="140"/>
      <c r="BW205" s="140"/>
      <c r="BX205" s="140"/>
      <c r="BY205" s="140"/>
    </row>
    <row r="206" ht="15.75" customHeight="1">
      <c r="A206" s="168"/>
      <c r="B206" s="169">
        <v>45678.0</v>
      </c>
      <c r="C206" s="170">
        <v>7509.12</v>
      </c>
      <c r="D206" s="170">
        <v>7639.12</v>
      </c>
      <c r="E206" s="170">
        <v>7490.12</v>
      </c>
      <c r="F206" s="170">
        <v>7630.12</v>
      </c>
      <c r="G206" s="171" t="s">
        <v>238</v>
      </c>
      <c r="H206" s="172">
        <f t="shared" si="1"/>
        <v>0.01629696038</v>
      </c>
      <c r="I206" s="172"/>
      <c r="J206" s="172"/>
      <c r="K206" s="188"/>
      <c r="L206" s="140"/>
      <c r="M206" s="140"/>
      <c r="N206" s="176">
        <f>IFERROR(__xludf.DUMMYFUNCTION("""COMPUTED_VALUE"""),45678.64583333333)</f>
        <v>45678.64583</v>
      </c>
      <c r="O206" s="177">
        <f>IFERROR(__xludf.DUMMYFUNCTION("""COMPUTED_VALUE"""),1236.95)</f>
        <v>1236.95</v>
      </c>
      <c r="P206" s="177">
        <f>IFERROR(__xludf.DUMMYFUNCTION("""COMPUTED_VALUE"""),1238.95)</f>
        <v>1238.95</v>
      </c>
      <c r="Q206" s="177">
        <f>IFERROR(__xludf.DUMMYFUNCTION("""COMPUTED_VALUE"""),1192.7)</f>
        <v>1192.7</v>
      </c>
      <c r="R206" s="177">
        <f>IFERROR(__xludf.DUMMYFUNCTION("""COMPUTED_VALUE"""),1196.15)</f>
        <v>1196.15</v>
      </c>
      <c r="S206" s="177">
        <f>IFERROR(__xludf.DUMMYFUNCTION("""COMPUTED_VALUE"""),2.0520898E7)</f>
        <v>20520898</v>
      </c>
      <c r="T206" s="177">
        <f t="shared" si="2"/>
        <v>-0.03030160614</v>
      </c>
      <c r="U206" s="178"/>
      <c r="V206" s="177"/>
      <c r="W206" s="189"/>
      <c r="X206" s="140"/>
      <c r="Y206" s="140"/>
      <c r="Z206" s="176">
        <f>IFERROR(__xludf.DUMMYFUNCTION("""COMPUTED_VALUE"""),45678.64583333333)</f>
        <v>45678.64583</v>
      </c>
      <c r="AA206" s="177">
        <f>IFERROR(__xludf.DUMMYFUNCTION("""COMPUTED_VALUE"""),373.9)</f>
        <v>373.9</v>
      </c>
      <c r="AB206" s="177">
        <f>IFERROR(__xludf.DUMMYFUNCTION("""COMPUTED_VALUE"""),374.0)</f>
        <v>374</v>
      </c>
      <c r="AC206" s="177">
        <f>IFERROR(__xludf.DUMMYFUNCTION("""COMPUTED_VALUE"""),360.65)</f>
        <v>360.65</v>
      </c>
      <c r="AD206" s="177">
        <f>IFERROR(__xludf.DUMMYFUNCTION("""COMPUTED_VALUE"""),361.65)</f>
        <v>361.65</v>
      </c>
      <c r="AE206" s="177">
        <f>IFERROR(__xludf.DUMMYFUNCTION("""COMPUTED_VALUE"""),5167716.0)</f>
        <v>5167716</v>
      </c>
      <c r="AF206" s="177">
        <f t="shared" si="3"/>
        <v>-0.03784785404</v>
      </c>
      <c r="AG206" s="177"/>
      <c r="AH206" s="177"/>
      <c r="AI206" s="189"/>
      <c r="AJ206" s="140"/>
      <c r="AK206" s="140"/>
      <c r="AL206" s="176">
        <f>IFERROR(__xludf.DUMMYFUNCTION("""COMPUTED_VALUE"""),45678.64583333333)</f>
        <v>45678.64583</v>
      </c>
      <c r="AM206" s="177">
        <f>IFERROR(__xludf.DUMMYFUNCTION("""COMPUTED_VALUE"""),4210.0)</f>
        <v>4210</v>
      </c>
      <c r="AN206" s="177">
        <f>IFERROR(__xludf.DUMMYFUNCTION("""COMPUTED_VALUE"""),4233.35)</f>
        <v>4233.35</v>
      </c>
      <c r="AO206" s="177">
        <f>IFERROR(__xludf.DUMMYFUNCTION("""COMPUTED_VALUE"""),4037.05)</f>
        <v>4037.05</v>
      </c>
      <c r="AP206" s="177">
        <f>IFERROR(__xludf.DUMMYFUNCTION("""COMPUTED_VALUE"""),4050.8)</f>
        <v>4050.8</v>
      </c>
      <c r="AQ206" s="177">
        <f>IFERROR(__xludf.DUMMYFUNCTION("""COMPUTED_VALUE"""),2319540.0)</f>
        <v>2319540</v>
      </c>
      <c r="AR206" s="177">
        <f t="shared" si="4"/>
        <v>-0.03318950468</v>
      </c>
      <c r="AS206" s="177"/>
      <c r="AT206" s="177"/>
      <c r="AU206" s="189"/>
      <c r="AV206" s="140"/>
      <c r="AW206" s="140"/>
      <c r="AX206" s="176">
        <f>IFERROR(__xludf.DUMMYFUNCTION("""COMPUTED_VALUE"""),45678.64583333333)</f>
        <v>45678.64583</v>
      </c>
      <c r="AY206" s="177">
        <f>IFERROR(__xludf.DUMMYFUNCTION("""COMPUTED_VALUE"""),438.0)</f>
        <v>438</v>
      </c>
      <c r="AZ206" s="177">
        <f>IFERROR(__xludf.DUMMYFUNCTION("""COMPUTED_VALUE"""),447.0)</f>
        <v>447</v>
      </c>
      <c r="BA206" s="177">
        <f>IFERROR(__xludf.DUMMYFUNCTION("""COMPUTED_VALUE"""),435.25)</f>
        <v>435.25</v>
      </c>
      <c r="BB206" s="177">
        <f>IFERROR(__xludf.DUMMYFUNCTION("""COMPUTED_VALUE"""),437.55)</f>
        <v>437.55</v>
      </c>
      <c r="BC206" s="177">
        <f>IFERROR(__xludf.DUMMYFUNCTION("""COMPUTED_VALUE"""),1.56865E7)</f>
        <v>15686500</v>
      </c>
      <c r="BD206" s="177">
        <f t="shared" si="5"/>
        <v>-0.000342759215</v>
      </c>
      <c r="BE206" s="177"/>
      <c r="BF206" s="177"/>
      <c r="BG206" s="189"/>
      <c r="BH206" s="140"/>
      <c r="BI206" s="140"/>
      <c r="BJ206" s="140"/>
      <c r="BK206" s="140"/>
      <c r="BL206" s="140"/>
      <c r="BM206" s="140"/>
      <c r="BN206" s="140"/>
      <c r="BO206" s="140"/>
      <c r="BP206" s="140"/>
      <c r="BQ206" s="140"/>
      <c r="BR206" s="140"/>
      <c r="BS206" s="140"/>
      <c r="BT206" s="140"/>
      <c r="BU206" s="140"/>
      <c r="BV206" s="140"/>
      <c r="BW206" s="140"/>
      <c r="BX206" s="140"/>
      <c r="BY206" s="140"/>
    </row>
    <row r="207" ht="15.75" customHeight="1">
      <c r="A207" s="168"/>
      <c r="B207" s="169">
        <v>45679.0</v>
      </c>
      <c r="C207" s="170">
        <v>7629.12</v>
      </c>
      <c r="D207" s="170">
        <v>7677.52</v>
      </c>
      <c r="E207" s="170">
        <v>7620.12</v>
      </c>
      <c r="F207" s="170">
        <v>7662.12</v>
      </c>
      <c r="G207" s="171" t="s">
        <v>238</v>
      </c>
      <c r="H207" s="172">
        <f t="shared" si="1"/>
        <v>0.004185135298</v>
      </c>
      <c r="I207" s="172"/>
      <c r="J207" s="172"/>
      <c r="K207" s="188"/>
      <c r="L207" s="140"/>
      <c r="M207" s="140"/>
      <c r="N207" s="176">
        <f>IFERROR(__xludf.DUMMYFUNCTION("""COMPUTED_VALUE"""),45679.64583333333)</f>
        <v>45679.64583</v>
      </c>
      <c r="O207" s="177">
        <f>IFERROR(__xludf.DUMMYFUNCTION("""COMPUTED_VALUE"""),1201.0)</f>
        <v>1201</v>
      </c>
      <c r="P207" s="177">
        <f>IFERROR(__xludf.DUMMYFUNCTION("""COMPUTED_VALUE"""),1207.5)</f>
        <v>1207.5</v>
      </c>
      <c r="Q207" s="177">
        <f>IFERROR(__xludf.DUMMYFUNCTION("""COMPUTED_VALUE"""),1191.8)</f>
        <v>1191.8</v>
      </c>
      <c r="R207" s="177">
        <f>IFERROR(__xludf.DUMMYFUNCTION("""COMPUTED_VALUE"""),1200.45)</f>
        <v>1200.45</v>
      </c>
      <c r="S207" s="177">
        <f>IFERROR(__xludf.DUMMYFUNCTION("""COMPUTED_VALUE"""),1.0377123E7)</f>
        <v>10377123</v>
      </c>
      <c r="T207" s="177">
        <f t="shared" si="2"/>
        <v>0.003588420775</v>
      </c>
      <c r="U207" s="178"/>
      <c r="V207" s="177"/>
      <c r="W207" s="189"/>
      <c r="X207" s="140"/>
      <c r="Y207" s="140"/>
      <c r="Z207" s="176">
        <f>IFERROR(__xludf.DUMMYFUNCTION("""COMPUTED_VALUE"""),45679.64583333333)</f>
        <v>45679.64583</v>
      </c>
      <c r="AA207" s="177">
        <f>IFERROR(__xludf.DUMMYFUNCTION("""COMPUTED_VALUE"""),361.6)</f>
        <v>361.6</v>
      </c>
      <c r="AB207" s="177">
        <f>IFERROR(__xludf.DUMMYFUNCTION("""COMPUTED_VALUE"""),361.9)</f>
        <v>361.9</v>
      </c>
      <c r="AC207" s="177">
        <f>IFERROR(__xludf.DUMMYFUNCTION("""COMPUTED_VALUE"""),348.5)</f>
        <v>348.5</v>
      </c>
      <c r="AD207" s="177">
        <f>IFERROR(__xludf.DUMMYFUNCTION("""COMPUTED_VALUE"""),357.1)</f>
        <v>357.1</v>
      </c>
      <c r="AE207" s="177">
        <f>IFERROR(__xludf.DUMMYFUNCTION("""COMPUTED_VALUE"""),9032850.0)</f>
        <v>9032850</v>
      </c>
      <c r="AF207" s="177">
        <f t="shared" si="3"/>
        <v>-0.01266103869</v>
      </c>
      <c r="AG207" s="177"/>
      <c r="AH207" s="177"/>
      <c r="AI207" s="189"/>
      <c r="AJ207" s="140"/>
      <c r="AK207" s="140"/>
      <c r="AL207" s="176">
        <f>IFERROR(__xludf.DUMMYFUNCTION("""COMPUTED_VALUE"""),45679.64583333333)</f>
        <v>45679.64583</v>
      </c>
      <c r="AM207" s="177">
        <f>IFERROR(__xludf.DUMMYFUNCTION("""COMPUTED_VALUE"""),4078.0)</f>
        <v>4078</v>
      </c>
      <c r="AN207" s="177">
        <f>IFERROR(__xludf.DUMMYFUNCTION("""COMPUTED_VALUE"""),4078.0)</f>
        <v>4078</v>
      </c>
      <c r="AO207" s="177">
        <f>IFERROR(__xludf.DUMMYFUNCTION("""COMPUTED_VALUE"""),3820.0)</f>
        <v>3820</v>
      </c>
      <c r="AP207" s="177">
        <f>IFERROR(__xludf.DUMMYFUNCTION("""COMPUTED_VALUE"""),3903.45)</f>
        <v>3903.45</v>
      </c>
      <c r="AQ207" s="177">
        <f>IFERROR(__xludf.DUMMYFUNCTION("""COMPUTED_VALUE"""),2506920.0)</f>
        <v>2506920</v>
      </c>
      <c r="AR207" s="177">
        <f t="shared" si="4"/>
        <v>-0.037053615</v>
      </c>
      <c r="AS207" s="177"/>
      <c r="AT207" s="177"/>
      <c r="AU207" s="189"/>
      <c r="AV207" s="140"/>
      <c r="AW207" s="140"/>
      <c r="AX207" s="176">
        <f>IFERROR(__xludf.DUMMYFUNCTION("""COMPUTED_VALUE"""),45679.64583333333)</f>
        <v>45679.64583</v>
      </c>
      <c r="AY207" s="177">
        <f>IFERROR(__xludf.DUMMYFUNCTION("""COMPUTED_VALUE"""),439.9)</f>
        <v>439.9</v>
      </c>
      <c r="AZ207" s="177">
        <f>IFERROR(__xludf.DUMMYFUNCTION("""COMPUTED_VALUE"""),441.95)</f>
        <v>441.95</v>
      </c>
      <c r="BA207" s="177">
        <f>IFERROR(__xludf.DUMMYFUNCTION("""COMPUTED_VALUE"""),436.55)</f>
        <v>436.55</v>
      </c>
      <c r="BB207" s="177">
        <f>IFERROR(__xludf.DUMMYFUNCTION("""COMPUTED_VALUE"""),437.0)</f>
        <v>437</v>
      </c>
      <c r="BC207" s="177">
        <f>IFERROR(__xludf.DUMMYFUNCTION("""COMPUTED_VALUE"""),9619648.0)</f>
        <v>9619648</v>
      </c>
      <c r="BD207" s="177">
        <f t="shared" si="5"/>
        <v>-0.001257789886</v>
      </c>
      <c r="BE207" s="177"/>
      <c r="BF207" s="177"/>
      <c r="BG207" s="189"/>
      <c r="BH207" s="140"/>
      <c r="BI207" s="140"/>
      <c r="BJ207" s="140"/>
      <c r="BK207" s="140"/>
      <c r="BL207" s="140"/>
      <c r="BM207" s="140"/>
      <c r="BN207" s="140"/>
      <c r="BO207" s="140"/>
      <c r="BP207" s="140"/>
      <c r="BQ207" s="140"/>
      <c r="BR207" s="140"/>
      <c r="BS207" s="140"/>
      <c r="BT207" s="140"/>
      <c r="BU207" s="140"/>
      <c r="BV207" s="140"/>
      <c r="BW207" s="140"/>
      <c r="BX207" s="140"/>
      <c r="BY207" s="140"/>
    </row>
    <row r="208" ht="15.75" customHeight="1">
      <c r="A208" s="168"/>
      <c r="B208" s="169">
        <v>45680.0</v>
      </c>
      <c r="C208" s="170">
        <v>7661.12</v>
      </c>
      <c r="D208" s="170">
        <v>7667.52</v>
      </c>
      <c r="E208" s="170">
        <v>7600.78</v>
      </c>
      <c r="F208" s="170">
        <v>7652.78</v>
      </c>
      <c r="G208" s="171" t="s">
        <v>238</v>
      </c>
      <c r="H208" s="172">
        <f t="shared" si="1"/>
        <v>-0.001219727345</v>
      </c>
      <c r="I208" s="172"/>
      <c r="J208" s="172"/>
      <c r="K208" s="188"/>
      <c r="L208" s="140"/>
      <c r="M208" s="140"/>
      <c r="N208" s="176">
        <f>IFERROR(__xludf.DUMMYFUNCTION("""COMPUTED_VALUE"""),45680.64583333333)</f>
        <v>45680.64583</v>
      </c>
      <c r="O208" s="177">
        <f>IFERROR(__xludf.DUMMYFUNCTION("""COMPUTED_VALUE"""),1197.25)</f>
        <v>1197.25</v>
      </c>
      <c r="P208" s="177">
        <f>IFERROR(__xludf.DUMMYFUNCTION("""COMPUTED_VALUE"""),1207.9)</f>
        <v>1207.9</v>
      </c>
      <c r="Q208" s="177">
        <f>IFERROR(__xludf.DUMMYFUNCTION("""COMPUTED_VALUE"""),1186.0)</f>
        <v>1186</v>
      </c>
      <c r="R208" s="177">
        <f>IFERROR(__xludf.DUMMYFUNCTION("""COMPUTED_VALUE"""),1201.75)</f>
        <v>1201.75</v>
      </c>
      <c r="S208" s="177">
        <f>IFERROR(__xludf.DUMMYFUNCTION("""COMPUTED_VALUE"""),8770650.0)</f>
        <v>8770650</v>
      </c>
      <c r="T208" s="177">
        <f t="shared" si="2"/>
        <v>0.001082341293</v>
      </c>
      <c r="U208" s="178"/>
      <c r="V208" s="177"/>
      <c r="W208" s="189"/>
      <c r="X208" s="140"/>
      <c r="Y208" s="140"/>
      <c r="Z208" s="176">
        <f>IFERROR(__xludf.DUMMYFUNCTION("""COMPUTED_VALUE"""),45680.64583333333)</f>
        <v>45680.64583</v>
      </c>
      <c r="AA208" s="177">
        <f>IFERROR(__xludf.DUMMYFUNCTION("""COMPUTED_VALUE"""),360.0)</f>
        <v>360</v>
      </c>
      <c r="AB208" s="177">
        <f>IFERROR(__xludf.DUMMYFUNCTION("""COMPUTED_VALUE"""),369.65)</f>
        <v>369.65</v>
      </c>
      <c r="AC208" s="177">
        <f>IFERROR(__xludf.DUMMYFUNCTION("""COMPUTED_VALUE"""),354.5)</f>
        <v>354.5</v>
      </c>
      <c r="AD208" s="177">
        <f>IFERROR(__xludf.DUMMYFUNCTION("""COMPUTED_VALUE"""),366.6)</f>
        <v>366.6</v>
      </c>
      <c r="AE208" s="177">
        <f>IFERROR(__xludf.DUMMYFUNCTION("""COMPUTED_VALUE"""),9182913.0)</f>
        <v>9182913</v>
      </c>
      <c r="AF208" s="177">
        <f t="shared" si="3"/>
        <v>0.02625548081</v>
      </c>
      <c r="AG208" s="177"/>
      <c r="AH208" s="177"/>
      <c r="AI208" s="189"/>
      <c r="AJ208" s="140"/>
      <c r="AK208" s="140"/>
      <c r="AL208" s="176">
        <f>IFERROR(__xludf.DUMMYFUNCTION("""COMPUTED_VALUE"""),45680.64583333333)</f>
        <v>45680.64583</v>
      </c>
      <c r="AM208" s="177">
        <f>IFERROR(__xludf.DUMMYFUNCTION("""COMPUTED_VALUE"""),3903.45)</f>
        <v>3903.45</v>
      </c>
      <c r="AN208" s="177">
        <f>IFERROR(__xludf.DUMMYFUNCTION("""COMPUTED_VALUE"""),3970.0)</f>
        <v>3970</v>
      </c>
      <c r="AO208" s="177">
        <f>IFERROR(__xludf.DUMMYFUNCTION("""COMPUTED_VALUE"""),3875.05)</f>
        <v>3875.05</v>
      </c>
      <c r="AP208" s="177">
        <f>IFERROR(__xludf.DUMMYFUNCTION("""COMPUTED_VALUE"""),3922.55)</f>
        <v>3922.55</v>
      </c>
      <c r="AQ208" s="177">
        <f>IFERROR(__xludf.DUMMYFUNCTION("""COMPUTED_VALUE"""),1649481.0)</f>
        <v>1649481</v>
      </c>
      <c r="AR208" s="177">
        <f t="shared" si="4"/>
        <v>0.004881175038</v>
      </c>
      <c r="AS208" s="177"/>
      <c r="AT208" s="177"/>
      <c r="AU208" s="189"/>
      <c r="AV208" s="140"/>
      <c r="AW208" s="140"/>
      <c r="AX208" s="176">
        <f>IFERROR(__xludf.DUMMYFUNCTION("""COMPUTED_VALUE"""),45680.64583333333)</f>
        <v>45680.64583</v>
      </c>
      <c r="AY208" s="177">
        <f>IFERROR(__xludf.DUMMYFUNCTION("""COMPUTED_VALUE"""),435.0)</f>
        <v>435</v>
      </c>
      <c r="AZ208" s="177">
        <f>IFERROR(__xludf.DUMMYFUNCTION("""COMPUTED_VALUE"""),441.85)</f>
        <v>441.85</v>
      </c>
      <c r="BA208" s="177">
        <f>IFERROR(__xludf.DUMMYFUNCTION("""COMPUTED_VALUE"""),434.1)</f>
        <v>434.1</v>
      </c>
      <c r="BB208" s="177">
        <f>IFERROR(__xludf.DUMMYFUNCTION("""COMPUTED_VALUE"""),440.2)</f>
        <v>440.2</v>
      </c>
      <c r="BC208" s="177">
        <f>IFERROR(__xludf.DUMMYFUNCTION("""COMPUTED_VALUE"""),8888248.0)</f>
        <v>8888248</v>
      </c>
      <c r="BD208" s="177">
        <f t="shared" si="5"/>
        <v>0.007295973997</v>
      </c>
      <c r="BE208" s="177"/>
      <c r="BF208" s="177"/>
      <c r="BG208" s="189"/>
      <c r="BH208" s="140"/>
      <c r="BI208" s="140"/>
      <c r="BJ208" s="140"/>
      <c r="BK208" s="140"/>
      <c r="BL208" s="140"/>
      <c r="BM208" s="140"/>
      <c r="BN208" s="140"/>
      <c r="BO208" s="140"/>
      <c r="BP208" s="140"/>
      <c r="BQ208" s="140"/>
      <c r="BR208" s="140"/>
      <c r="BS208" s="140"/>
      <c r="BT208" s="140"/>
      <c r="BU208" s="140"/>
      <c r="BV208" s="140"/>
      <c r="BW208" s="140"/>
      <c r="BX208" s="140"/>
      <c r="BY208" s="140"/>
    </row>
    <row r="209" ht="15.75" customHeight="1">
      <c r="A209" s="168"/>
      <c r="B209" s="169">
        <v>45681.0</v>
      </c>
      <c r="C209" s="170">
        <v>7656.12</v>
      </c>
      <c r="D209" s="170">
        <v>7722.78</v>
      </c>
      <c r="E209" s="170">
        <v>7649.12</v>
      </c>
      <c r="F209" s="170">
        <v>7680.12</v>
      </c>
      <c r="G209" s="171" t="s">
        <v>238</v>
      </c>
      <c r="H209" s="172">
        <f t="shared" si="1"/>
        <v>0.00356619152</v>
      </c>
      <c r="I209" s="172"/>
      <c r="J209" s="172"/>
      <c r="K209" s="188"/>
      <c r="L209" s="140"/>
      <c r="M209" s="140"/>
      <c r="N209" s="176">
        <f>IFERROR(__xludf.DUMMYFUNCTION("""COMPUTED_VALUE"""),45681.64583333333)</f>
        <v>45681.64583</v>
      </c>
      <c r="O209" s="177">
        <f>IFERROR(__xludf.DUMMYFUNCTION("""COMPUTED_VALUE"""),1203.1)</f>
        <v>1203.1</v>
      </c>
      <c r="P209" s="177">
        <f>IFERROR(__xludf.DUMMYFUNCTION("""COMPUTED_VALUE"""),1218.0)</f>
        <v>1218</v>
      </c>
      <c r="Q209" s="177">
        <f>IFERROR(__xludf.DUMMYFUNCTION("""COMPUTED_VALUE"""),1202.0)</f>
        <v>1202</v>
      </c>
      <c r="R209" s="177">
        <f>IFERROR(__xludf.DUMMYFUNCTION("""COMPUTED_VALUE"""),1209.2)</f>
        <v>1209.2</v>
      </c>
      <c r="S209" s="177">
        <f>IFERROR(__xludf.DUMMYFUNCTION("""COMPUTED_VALUE"""),9216792.0)</f>
        <v>9216792</v>
      </c>
      <c r="T209" s="177">
        <f t="shared" si="2"/>
        <v>0.006180156131</v>
      </c>
      <c r="U209" s="178"/>
      <c r="V209" s="177"/>
      <c r="W209" s="189"/>
      <c r="X209" s="140"/>
      <c r="Y209" s="140"/>
      <c r="Z209" s="176">
        <f>IFERROR(__xludf.DUMMYFUNCTION("""COMPUTED_VALUE"""),45681.64583333333)</f>
        <v>45681.64583</v>
      </c>
      <c r="AA209" s="177">
        <f>IFERROR(__xludf.DUMMYFUNCTION("""COMPUTED_VALUE"""),367.2)</f>
        <v>367.2</v>
      </c>
      <c r="AB209" s="177">
        <f>IFERROR(__xludf.DUMMYFUNCTION("""COMPUTED_VALUE"""),374.2)</f>
        <v>374.2</v>
      </c>
      <c r="AC209" s="177">
        <f>IFERROR(__xludf.DUMMYFUNCTION("""COMPUTED_VALUE"""),365.25)</f>
        <v>365.25</v>
      </c>
      <c r="AD209" s="177">
        <f>IFERROR(__xludf.DUMMYFUNCTION("""COMPUTED_VALUE"""),367.95)</f>
        <v>367.95</v>
      </c>
      <c r="AE209" s="177">
        <f>IFERROR(__xludf.DUMMYFUNCTION("""COMPUTED_VALUE"""),1.9643296E7)</f>
        <v>19643296</v>
      </c>
      <c r="AF209" s="177">
        <f t="shared" si="3"/>
        <v>0.003675723967</v>
      </c>
      <c r="AG209" s="177"/>
      <c r="AH209" s="177"/>
      <c r="AI209" s="189"/>
      <c r="AJ209" s="140"/>
      <c r="AK209" s="140"/>
      <c r="AL209" s="176">
        <f>IFERROR(__xludf.DUMMYFUNCTION("""COMPUTED_VALUE"""),45681.64583333333)</f>
        <v>45681.64583</v>
      </c>
      <c r="AM209" s="177">
        <f>IFERROR(__xludf.DUMMYFUNCTION("""COMPUTED_VALUE"""),3940.0)</f>
        <v>3940</v>
      </c>
      <c r="AN209" s="177">
        <f>IFERROR(__xludf.DUMMYFUNCTION("""COMPUTED_VALUE"""),3974.05)</f>
        <v>3974.05</v>
      </c>
      <c r="AO209" s="177">
        <f>IFERROR(__xludf.DUMMYFUNCTION("""COMPUTED_VALUE"""),3836.25)</f>
        <v>3836.25</v>
      </c>
      <c r="AP209" s="177">
        <f>IFERROR(__xludf.DUMMYFUNCTION("""COMPUTED_VALUE"""),3849.8)</f>
        <v>3849.8</v>
      </c>
      <c r="AQ209" s="177">
        <f>IFERROR(__xludf.DUMMYFUNCTION("""COMPUTED_VALUE"""),1149113.0)</f>
        <v>1149113</v>
      </c>
      <c r="AR209" s="177">
        <f t="shared" si="4"/>
        <v>-0.01872075362</v>
      </c>
      <c r="AS209" s="177"/>
      <c r="AT209" s="177"/>
      <c r="AU209" s="189"/>
      <c r="AV209" s="140"/>
      <c r="AW209" s="140"/>
      <c r="AX209" s="176">
        <f>IFERROR(__xludf.DUMMYFUNCTION("""COMPUTED_VALUE"""),45681.64583333333)</f>
        <v>45681.64583</v>
      </c>
      <c r="AY209" s="177">
        <f>IFERROR(__xludf.DUMMYFUNCTION("""COMPUTED_VALUE"""),439.4)</f>
        <v>439.4</v>
      </c>
      <c r="AZ209" s="177">
        <f>IFERROR(__xludf.DUMMYFUNCTION("""COMPUTED_VALUE"""),445.0)</f>
        <v>445</v>
      </c>
      <c r="BA209" s="177">
        <f>IFERROR(__xludf.DUMMYFUNCTION("""COMPUTED_VALUE"""),439.05)</f>
        <v>439.05</v>
      </c>
      <c r="BB209" s="177">
        <f>IFERROR(__xludf.DUMMYFUNCTION("""COMPUTED_VALUE"""),441.6)</f>
        <v>441.6</v>
      </c>
      <c r="BC209" s="177">
        <f>IFERROR(__xludf.DUMMYFUNCTION("""COMPUTED_VALUE"""),9665384.0)</f>
        <v>9665384</v>
      </c>
      <c r="BD209" s="177">
        <f t="shared" si="5"/>
        <v>0.003175325871</v>
      </c>
      <c r="BE209" s="177"/>
      <c r="BF209" s="177"/>
      <c r="BG209" s="189"/>
      <c r="BH209" s="140"/>
      <c r="BI209" s="140"/>
      <c r="BJ209" s="140"/>
      <c r="BK209" s="140"/>
      <c r="BL209" s="140"/>
      <c r="BM209" s="140"/>
      <c r="BN209" s="140"/>
      <c r="BO209" s="140"/>
      <c r="BP209" s="140"/>
      <c r="BQ209" s="140"/>
      <c r="BR209" s="140"/>
      <c r="BS209" s="140"/>
      <c r="BT209" s="140"/>
      <c r="BU209" s="140"/>
      <c r="BV209" s="140"/>
      <c r="BW209" s="140"/>
      <c r="BX209" s="140"/>
      <c r="BY209" s="140"/>
    </row>
    <row r="210" ht="15.75" customHeight="1">
      <c r="A210" s="168"/>
      <c r="B210" s="169">
        <v>45684.0</v>
      </c>
      <c r="C210" s="170">
        <v>7679.12</v>
      </c>
      <c r="D210" s="170">
        <v>7690.78</v>
      </c>
      <c r="E210" s="170">
        <v>7579.52</v>
      </c>
      <c r="F210" s="170">
        <v>7603.52</v>
      </c>
      <c r="G210" s="171" t="s">
        <v>238</v>
      </c>
      <c r="H210" s="172">
        <f t="shared" si="1"/>
        <v>-0.01002387408</v>
      </c>
      <c r="I210" s="172"/>
      <c r="J210" s="172"/>
      <c r="K210" s="188"/>
      <c r="L210" s="140"/>
      <c r="M210" s="140"/>
      <c r="N210" s="176">
        <f>IFERROR(__xludf.DUMMYFUNCTION("""COMPUTED_VALUE"""),45684.64583333333)</f>
        <v>45684.64583</v>
      </c>
      <c r="O210" s="177">
        <f>IFERROR(__xludf.DUMMYFUNCTION("""COMPUTED_VALUE"""),1195.0)</f>
        <v>1195</v>
      </c>
      <c r="P210" s="177">
        <f>IFERROR(__xludf.DUMMYFUNCTION("""COMPUTED_VALUE"""),1234.65)</f>
        <v>1234.65</v>
      </c>
      <c r="Q210" s="177">
        <f>IFERROR(__xludf.DUMMYFUNCTION("""COMPUTED_VALUE"""),1193.1)</f>
        <v>1193.1</v>
      </c>
      <c r="R210" s="177">
        <f>IFERROR(__xludf.DUMMYFUNCTION("""COMPUTED_VALUE"""),1227.95)</f>
        <v>1227.95</v>
      </c>
      <c r="S210" s="177">
        <f>IFERROR(__xludf.DUMMYFUNCTION("""COMPUTED_VALUE"""),1.6164687E7)</f>
        <v>16164687</v>
      </c>
      <c r="T210" s="177">
        <f t="shared" si="2"/>
        <v>0.01538712836</v>
      </c>
      <c r="U210" s="178"/>
      <c r="V210" s="177"/>
      <c r="W210" s="189"/>
      <c r="X210" s="140"/>
      <c r="Y210" s="140"/>
      <c r="Z210" s="176">
        <f>IFERROR(__xludf.DUMMYFUNCTION("""COMPUTED_VALUE"""),45684.64583333333)</f>
        <v>45684.64583</v>
      </c>
      <c r="AA210" s="177">
        <f>IFERROR(__xludf.DUMMYFUNCTION("""COMPUTED_VALUE"""),365.65)</f>
        <v>365.65</v>
      </c>
      <c r="AB210" s="177">
        <f>IFERROR(__xludf.DUMMYFUNCTION("""COMPUTED_VALUE"""),366.7)</f>
        <v>366.7</v>
      </c>
      <c r="AC210" s="177">
        <f>IFERROR(__xludf.DUMMYFUNCTION("""COMPUTED_VALUE"""),346.85)</f>
        <v>346.85</v>
      </c>
      <c r="AD210" s="177">
        <f>IFERROR(__xludf.DUMMYFUNCTION("""COMPUTED_VALUE"""),348.95)</f>
        <v>348.95</v>
      </c>
      <c r="AE210" s="177">
        <f>IFERROR(__xludf.DUMMYFUNCTION("""COMPUTED_VALUE"""),7693448.0)</f>
        <v>7693448</v>
      </c>
      <c r="AF210" s="177">
        <f t="shared" si="3"/>
        <v>-0.05301841391</v>
      </c>
      <c r="AG210" s="177"/>
      <c r="AH210" s="177"/>
      <c r="AI210" s="189"/>
      <c r="AJ210" s="140"/>
      <c r="AK210" s="140"/>
      <c r="AL210" s="176">
        <f>IFERROR(__xludf.DUMMYFUNCTION("""COMPUTED_VALUE"""),45684.64583333333)</f>
        <v>45684.64583</v>
      </c>
      <c r="AM210" s="177">
        <f>IFERROR(__xludf.DUMMYFUNCTION("""COMPUTED_VALUE"""),3817.05)</f>
        <v>3817.05</v>
      </c>
      <c r="AN210" s="177">
        <f>IFERROR(__xludf.DUMMYFUNCTION("""COMPUTED_VALUE"""),3817.05)</f>
        <v>3817.05</v>
      </c>
      <c r="AO210" s="177">
        <f>IFERROR(__xludf.DUMMYFUNCTION("""COMPUTED_VALUE"""),3656.0)</f>
        <v>3656</v>
      </c>
      <c r="AP210" s="177">
        <f>IFERROR(__xludf.DUMMYFUNCTION("""COMPUTED_VALUE"""),3670.65)</f>
        <v>3670.65</v>
      </c>
      <c r="AQ210" s="177">
        <f>IFERROR(__xludf.DUMMYFUNCTION("""COMPUTED_VALUE"""),2193288.0)</f>
        <v>2193288</v>
      </c>
      <c r="AR210" s="177">
        <f t="shared" si="4"/>
        <v>-0.0476524408</v>
      </c>
      <c r="AS210" s="177"/>
      <c r="AT210" s="177"/>
      <c r="AU210" s="189"/>
      <c r="AV210" s="140"/>
      <c r="AW210" s="140"/>
      <c r="AX210" s="176">
        <f>IFERROR(__xludf.DUMMYFUNCTION("""COMPUTED_VALUE"""),45684.64583333333)</f>
        <v>45684.64583</v>
      </c>
      <c r="AY210" s="177">
        <f>IFERROR(__xludf.DUMMYFUNCTION("""COMPUTED_VALUE"""),440.8)</f>
        <v>440.8</v>
      </c>
      <c r="AZ210" s="177">
        <f>IFERROR(__xludf.DUMMYFUNCTION("""COMPUTED_VALUE"""),445.0)</f>
        <v>445</v>
      </c>
      <c r="BA210" s="177">
        <f>IFERROR(__xludf.DUMMYFUNCTION("""COMPUTED_VALUE"""),436.55)</f>
        <v>436.55</v>
      </c>
      <c r="BB210" s="177">
        <f>IFERROR(__xludf.DUMMYFUNCTION("""COMPUTED_VALUE"""),440.1)</f>
        <v>440.1</v>
      </c>
      <c r="BC210" s="177">
        <f>IFERROR(__xludf.DUMMYFUNCTION("""COMPUTED_VALUE"""),1.0480203E7)</f>
        <v>10480203</v>
      </c>
      <c r="BD210" s="177">
        <f t="shared" si="5"/>
        <v>-0.003402521146</v>
      </c>
      <c r="BE210" s="177"/>
      <c r="BF210" s="177"/>
      <c r="BG210" s="189"/>
      <c r="BH210" s="140"/>
      <c r="BI210" s="140"/>
      <c r="BJ210" s="140"/>
      <c r="BK210" s="140"/>
      <c r="BL210" s="140"/>
      <c r="BM210" s="140"/>
      <c r="BN210" s="140"/>
      <c r="BO210" s="140"/>
      <c r="BP210" s="140"/>
      <c r="BQ210" s="140"/>
      <c r="BR210" s="140"/>
      <c r="BS210" s="140"/>
      <c r="BT210" s="140"/>
      <c r="BU210" s="140"/>
      <c r="BV210" s="140"/>
      <c r="BW210" s="140"/>
      <c r="BX210" s="140"/>
      <c r="BY210" s="140"/>
    </row>
    <row r="211" ht="15.75" customHeight="1">
      <c r="A211" s="168"/>
      <c r="B211" s="169">
        <v>45685.0</v>
      </c>
      <c r="C211" s="170">
        <v>7609.52</v>
      </c>
      <c r="D211" s="170">
        <v>7697.52</v>
      </c>
      <c r="E211" s="170">
        <v>7605.52</v>
      </c>
      <c r="F211" s="170">
        <v>7691.52</v>
      </c>
      <c r="G211" s="171" t="s">
        <v>238</v>
      </c>
      <c r="H211" s="172">
        <f t="shared" si="1"/>
        <v>0.01150712532</v>
      </c>
      <c r="I211" s="172"/>
      <c r="J211" s="172"/>
      <c r="K211" s="188"/>
      <c r="L211" s="140"/>
      <c r="M211" s="140"/>
      <c r="N211" s="176">
        <f>IFERROR(__xludf.DUMMYFUNCTION("""COMPUTED_VALUE"""),45685.64583333333)</f>
        <v>45685.64583</v>
      </c>
      <c r="O211" s="177">
        <f>IFERROR(__xludf.DUMMYFUNCTION("""COMPUTED_VALUE"""),1247.35)</f>
        <v>1247.35</v>
      </c>
      <c r="P211" s="177">
        <f>IFERROR(__xludf.DUMMYFUNCTION("""COMPUTED_VALUE"""),1264.0)</f>
        <v>1264</v>
      </c>
      <c r="Q211" s="177">
        <f>IFERROR(__xludf.DUMMYFUNCTION("""COMPUTED_VALUE"""),1236.0)</f>
        <v>1236</v>
      </c>
      <c r="R211" s="177">
        <f>IFERROR(__xludf.DUMMYFUNCTION("""COMPUTED_VALUE"""),1246.9)</f>
        <v>1246.9</v>
      </c>
      <c r="S211" s="177">
        <f>IFERROR(__xludf.DUMMYFUNCTION("""COMPUTED_VALUE"""),1.8066499E7)</f>
        <v>18066499</v>
      </c>
      <c r="T211" s="177">
        <f t="shared" si="2"/>
        <v>0.01531435874</v>
      </c>
      <c r="U211" s="178"/>
      <c r="V211" s="177"/>
      <c r="W211" s="189"/>
      <c r="X211" s="140"/>
      <c r="Y211" s="140"/>
      <c r="Z211" s="176">
        <f>IFERROR(__xludf.DUMMYFUNCTION("""COMPUTED_VALUE"""),45685.64583333333)</f>
        <v>45685.64583</v>
      </c>
      <c r="AA211" s="177">
        <f>IFERROR(__xludf.DUMMYFUNCTION("""COMPUTED_VALUE"""),352.0)</f>
        <v>352</v>
      </c>
      <c r="AB211" s="177">
        <f>IFERROR(__xludf.DUMMYFUNCTION("""COMPUTED_VALUE"""),356.9)</f>
        <v>356.9</v>
      </c>
      <c r="AC211" s="177">
        <f>IFERROR(__xludf.DUMMYFUNCTION("""COMPUTED_VALUE"""),342.85)</f>
        <v>342.85</v>
      </c>
      <c r="AD211" s="177">
        <f>IFERROR(__xludf.DUMMYFUNCTION("""COMPUTED_VALUE"""),353.5)</f>
        <v>353.5</v>
      </c>
      <c r="AE211" s="177">
        <f>IFERROR(__xludf.DUMMYFUNCTION("""COMPUTED_VALUE"""),7413921.0)</f>
        <v>7413921</v>
      </c>
      <c r="AF211" s="177">
        <f t="shared" si="3"/>
        <v>0.01295483987</v>
      </c>
      <c r="AG211" s="177"/>
      <c r="AH211" s="177"/>
      <c r="AI211" s="189"/>
      <c r="AJ211" s="140"/>
      <c r="AK211" s="140"/>
      <c r="AL211" s="176">
        <f>IFERROR(__xludf.DUMMYFUNCTION("""COMPUTED_VALUE"""),45685.64583333333)</f>
        <v>45685.64583</v>
      </c>
      <c r="AM211" s="177">
        <f>IFERROR(__xludf.DUMMYFUNCTION("""COMPUTED_VALUE"""),3675.85)</f>
        <v>3675.85</v>
      </c>
      <c r="AN211" s="177">
        <f>IFERROR(__xludf.DUMMYFUNCTION("""COMPUTED_VALUE"""),3696.55)</f>
        <v>3696.55</v>
      </c>
      <c r="AO211" s="177">
        <f>IFERROR(__xludf.DUMMYFUNCTION("""COMPUTED_VALUE"""),3485.0)</f>
        <v>3485</v>
      </c>
      <c r="AP211" s="177">
        <f>IFERROR(__xludf.DUMMYFUNCTION("""COMPUTED_VALUE"""),3599.15)</f>
        <v>3599.15</v>
      </c>
      <c r="AQ211" s="177">
        <f>IFERROR(__xludf.DUMMYFUNCTION("""COMPUTED_VALUE"""),3530307.0)</f>
        <v>3530307</v>
      </c>
      <c r="AR211" s="177">
        <f t="shared" si="4"/>
        <v>-0.01967105163</v>
      </c>
      <c r="AS211" s="177"/>
      <c r="AT211" s="177"/>
      <c r="AU211" s="189"/>
      <c r="AV211" s="140"/>
      <c r="AW211" s="140"/>
      <c r="AX211" s="176">
        <f>IFERROR(__xludf.DUMMYFUNCTION("""COMPUTED_VALUE"""),45685.64583333333)</f>
        <v>45685.64583</v>
      </c>
      <c r="AY211" s="177">
        <f>IFERROR(__xludf.DUMMYFUNCTION("""COMPUTED_VALUE"""),440.0)</f>
        <v>440</v>
      </c>
      <c r="AZ211" s="177">
        <f>IFERROR(__xludf.DUMMYFUNCTION("""COMPUTED_VALUE"""),441.8)</f>
        <v>441.8</v>
      </c>
      <c r="BA211" s="177">
        <f>IFERROR(__xludf.DUMMYFUNCTION("""COMPUTED_VALUE"""),434.5)</f>
        <v>434.5</v>
      </c>
      <c r="BB211" s="177">
        <f>IFERROR(__xludf.DUMMYFUNCTION("""COMPUTED_VALUE"""),435.45)</f>
        <v>435.45</v>
      </c>
      <c r="BC211" s="177">
        <f>IFERROR(__xludf.DUMMYFUNCTION("""COMPUTED_VALUE"""),2.0813072E7)</f>
        <v>20813072</v>
      </c>
      <c r="BD211" s="177">
        <f t="shared" si="5"/>
        <v>-0.01062199468</v>
      </c>
      <c r="BE211" s="177"/>
      <c r="BF211" s="177"/>
      <c r="BG211" s="189"/>
      <c r="BH211" s="140"/>
      <c r="BI211" s="140"/>
      <c r="BJ211" s="140"/>
      <c r="BK211" s="140"/>
      <c r="BL211" s="140"/>
      <c r="BM211" s="140"/>
      <c r="BN211" s="140"/>
      <c r="BO211" s="140"/>
      <c r="BP211" s="140"/>
      <c r="BQ211" s="140"/>
      <c r="BR211" s="140"/>
      <c r="BS211" s="140"/>
      <c r="BT211" s="140"/>
      <c r="BU211" s="140"/>
      <c r="BV211" s="140"/>
      <c r="BW211" s="140"/>
      <c r="BX211" s="140"/>
      <c r="BY211" s="140"/>
    </row>
    <row r="212" ht="15.75" customHeight="1">
      <c r="A212" s="168"/>
      <c r="B212" s="169">
        <v>45686.0</v>
      </c>
      <c r="C212" s="170">
        <v>7694.12</v>
      </c>
      <c r="D212" s="170">
        <v>7700.78</v>
      </c>
      <c r="E212" s="170">
        <v>7645.12</v>
      </c>
      <c r="F212" s="170">
        <v>7685.12</v>
      </c>
      <c r="G212" s="171" t="s">
        <v>238</v>
      </c>
      <c r="H212" s="172">
        <f t="shared" si="1"/>
        <v>-0.0008324315806</v>
      </c>
      <c r="I212" s="172"/>
      <c r="J212" s="172"/>
      <c r="K212" s="188"/>
      <c r="L212" s="140"/>
      <c r="M212" s="140"/>
      <c r="N212" s="176">
        <f>IFERROR(__xludf.DUMMYFUNCTION("""COMPUTED_VALUE"""),45686.64583333333)</f>
        <v>45686.64583</v>
      </c>
      <c r="O212" s="177">
        <f>IFERROR(__xludf.DUMMYFUNCTION("""COMPUTED_VALUE"""),1252.0)</f>
        <v>1252</v>
      </c>
      <c r="P212" s="177">
        <f>IFERROR(__xludf.DUMMYFUNCTION("""COMPUTED_VALUE"""),1255.8)</f>
        <v>1255.8</v>
      </c>
      <c r="Q212" s="177">
        <f>IFERROR(__xludf.DUMMYFUNCTION("""COMPUTED_VALUE"""),1243.05)</f>
        <v>1243.05</v>
      </c>
      <c r="R212" s="177">
        <f>IFERROR(__xludf.DUMMYFUNCTION("""COMPUTED_VALUE"""),1251.65)</f>
        <v>1251.65</v>
      </c>
      <c r="S212" s="177">
        <f>IFERROR(__xludf.DUMMYFUNCTION("""COMPUTED_VALUE"""),7666777.0)</f>
        <v>7666777</v>
      </c>
      <c r="T212" s="177">
        <f t="shared" si="2"/>
        <v>0.00380220986</v>
      </c>
      <c r="U212" s="178"/>
      <c r="V212" s="177"/>
      <c r="W212" s="189"/>
      <c r="X212" s="140"/>
      <c r="Y212" s="140"/>
      <c r="Z212" s="176">
        <f>IFERROR(__xludf.DUMMYFUNCTION("""COMPUTED_VALUE"""),45686.64583333333)</f>
        <v>45686.64583</v>
      </c>
      <c r="AA212" s="177">
        <f>IFERROR(__xludf.DUMMYFUNCTION("""COMPUTED_VALUE"""),352.5)</f>
        <v>352.5</v>
      </c>
      <c r="AB212" s="177">
        <f>IFERROR(__xludf.DUMMYFUNCTION("""COMPUTED_VALUE"""),355.1)</f>
        <v>355.1</v>
      </c>
      <c r="AC212" s="177">
        <f>IFERROR(__xludf.DUMMYFUNCTION("""COMPUTED_VALUE"""),343.3)</f>
        <v>343.3</v>
      </c>
      <c r="AD212" s="177">
        <f>IFERROR(__xludf.DUMMYFUNCTION("""COMPUTED_VALUE"""),346.7)</f>
        <v>346.7</v>
      </c>
      <c r="AE212" s="177">
        <f>IFERROR(__xludf.DUMMYFUNCTION("""COMPUTED_VALUE"""),4888368.0)</f>
        <v>4888368</v>
      </c>
      <c r="AF212" s="177">
        <f t="shared" si="3"/>
        <v>-0.01942363265</v>
      </c>
      <c r="AG212" s="177"/>
      <c r="AH212" s="177"/>
      <c r="AI212" s="189"/>
      <c r="AJ212" s="140"/>
      <c r="AK212" s="140"/>
      <c r="AL212" s="176">
        <f>IFERROR(__xludf.DUMMYFUNCTION("""COMPUTED_VALUE"""),45686.64583333333)</f>
        <v>45686.64583</v>
      </c>
      <c r="AM212" s="177">
        <f>IFERROR(__xludf.DUMMYFUNCTION("""COMPUTED_VALUE"""),3619.0)</f>
        <v>3619</v>
      </c>
      <c r="AN212" s="177">
        <f>IFERROR(__xludf.DUMMYFUNCTION("""COMPUTED_VALUE"""),3710.0)</f>
        <v>3710</v>
      </c>
      <c r="AO212" s="177">
        <f>IFERROR(__xludf.DUMMYFUNCTION("""COMPUTED_VALUE"""),3577.55)</f>
        <v>3577.55</v>
      </c>
      <c r="AP212" s="177">
        <f>IFERROR(__xludf.DUMMYFUNCTION("""COMPUTED_VALUE"""),3700.5)</f>
        <v>3700.5</v>
      </c>
      <c r="AQ212" s="177">
        <f>IFERROR(__xludf.DUMMYFUNCTION("""COMPUTED_VALUE"""),1582724.0)</f>
        <v>1582724</v>
      </c>
      <c r="AR212" s="177">
        <f t="shared" si="4"/>
        <v>0.02777023918</v>
      </c>
      <c r="AS212" s="177"/>
      <c r="AT212" s="177"/>
      <c r="AU212" s="189"/>
      <c r="AV212" s="140"/>
      <c r="AW212" s="140"/>
      <c r="AX212" s="176">
        <f>IFERROR(__xludf.DUMMYFUNCTION("""COMPUTED_VALUE"""),45686.64583333333)</f>
        <v>45686.64583</v>
      </c>
      <c r="AY212" s="177">
        <f>IFERROR(__xludf.DUMMYFUNCTION("""COMPUTED_VALUE"""),435.95)</f>
        <v>435.95</v>
      </c>
      <c r="AZ212" s="177">
        <f>IFERROR(__xludf.DUMMYFUNCTION("""COMPUTED_VALUE"""),437.5)</f>
        <v>437.5</v>
      </c>
      <c r="BA212" s="177">
        <f>IFERROR(__xludf.DUMMYFUNCTION("""COMPUTED_VALUE"""),430.1)</f>
        <v>430.1</v>
      </c>
      <c r="BB212" s="177">
        <f>IFERROR(__xludf.DUMMYFUNCTION("""COMPUTED_VALUE"""),433.35)</f>
        <v>433.35</v>
      </c>
      <c r="BC212" s="177">
        <f>IFERROR(__xludf.DUMMYFUNCTION("""COMPUTED_VALUE"""),1.515851E7)</f>
        <v>15158510</v>
      </c>
      <c r="BD212" s="177">
        <f t="shared" si="5"/>
        <v>-0.004834263558</v>
      </c>
      <c r="BE212" s="177"/>
      <c r="BF212" s="177"/>
      <c r="BG212" s="189"/>
      <c r="BH212" s="140"/>
      <c r="BI212" s="140"/>
      <c r="BJ212" s="140"/>
      <c r="BK212" s="140"/>
      <c r="BL212" s="140"/>
      <c r="BM212" s="140"/>
      <c r="BN212" s="140"/>
      <c r="BO212" s="140"/>
      <c r="BP212" s="140"/>
      <c r="BQ212" s="140"/>
      <c r="BR212" s="140"/>
      <c r="BS212" s="140"/>
      <c r="BT212" s="140"/>
      <c r="BU212" s="140"/>
      <c r="BV212" s="140"/>
      <c r="BW212" s="140"/>
      <c r="BX212" s="140"/>
      <c r="BY212" s="140"/>
    </row>
    <row r="213" ht="15.75" customHeight="1">
      <c r="A213" s="168"/>
      <c r="B213" s="169">
        <v>45687.0</v>
      </c>
      <c r="C213" s="170">
        <v>7686.78</v>
      </c>
      <c r="D213" s="170">
        <v>7790.12</v>
      </c>
      <c r="E213" s="170">
        <v>7677.12</v>
      </c>
      <c r="F213" s="170">
        <v>7776.12</v>
      </c>
      <c r="G213" s="171" t="s">
        <v>238</v>
      </c>
      <c r="H213" s="172">
        <f t="shared" si="1"/>
        <v>0.01177150744</v>
      </c>
      <c r="I213" s="172"/>
      <c r="J213" s="172"/>
      <c r="K213" s="188"/>
      <c r="L213" s="140"/>
      <c r="M213" s="140"/>
      <c r="N213" s="176">
        <f>IFERROR(__xludf.DUMMYFUNCTION("""COMPUTED_VALUE"""),45687.64583333333)</f>
        <v>45687.64583</v>
      </c>
      <c r="O213" s="177">
        <f>IFERROR(__xludf.DUMMYFUNCTION("""COMPUTED_VALUE"""),1250.0)</f>
        <v>1250</v>
      </c>
      <c r="P213" s="177">
        <f>IFERROR(__xludf.DUMMYFUNCTION("""COMPUTED_VALUE"""),1259.85)</f>
        <v>1259.85</v>
      </c>
      <c r="Q213" s="177">
        <f>IFERROR(__xludf.DUMMYFUNCTION("""COMPUTED_VALUE"""),1239.5)</f>
        <v>1239.5</v>
      </c>
      <c r="R213" s="177">
        <f>IFERROR(__xludf.DUMMYFUNCTION("""COMPUTED_VALUE"""),1255.6)</f>
        <v>1255.6</v>
      </c>
      <c r="S213" s="177">
        <f>IFERROR(__xludf.DUMMYFUNCTION("""COMPUTED_VALUE"""),1.1921041E7)</f>
        <v>11921041</v>
      </c>
      <c r="T213" s="177">
        <f t="shared" si="2"/>
        <v>0.003150865106</v>
      </c>
      <c r="U213" s="178"/>
      <c r="V213" s="177"/>
      <c r="W213" s="189"/>
      <c r="X213" s="140"/>
      <c r="Y213" s="140"/>
      <c r="Z213" s="176">
        <f>IFERROR(__xludf.DUMMYFUNCTION("""COMPUTED_VALUE"""),45687.64583333333)</f>
        <v>45687.64583</v>
      </c>
      <c r="AA213" s="177">
        <f>IFERROR(__xludf.DUMMYFUNCTION("""COMPUTED_VALUE"""),347.0)</f>
        <v>347</v>
      </c>
      <c r="AB213" s="177">
        <f>IFERROR(__xludf.DUMMYFUNCTION("""COMPUTED_VALUE"""),349.5)</f>
        <v>349.5</v>
      </c>
      <c r="AC213" s="177">
        <f>IFERROR(__xludf.DUMMYFUNCTION("""COMPUTED_VALUE"""),342.05)</f>
        <v>342.05</v>
      </c>
      <c r="AD213" s="177">
        <f>IFERROR(__xludf.DUMMYFUNCTION("""COMPUTED_VALUE"""),345.6)</f>
        <v>345.6</v>
      </c>
      <c r="AE213" s="177">
        <f>IFERROR(__xludf.DUMMYFUNCTION("""COMPUTED_VALUE"""),8768186.0)</f>
        <v>8768186</v>
      </c>
      <c r="AF213" s="177">
        <f t="shared" si="3"/>
        <v>-0.003177815761</v>
      </c>
      <c r="AG213" s="177"/>
      <c r="AH213" s="177"/>
      <c r="AI213" s="189"/>
      <c r="AJ213" s="140"/>
      <c r="AK213" s="140"/>
      <c r="AL213" s="176">
        <f>IFERROR(__xludf.DUMMYFUNCTION("""COMPUTED_VALUE"""),45687.64583333333)</f>
        <v>45687.64583</v>
      </c>
      <c r="AM213" s="177">
        <f>IFERROR(__xludf.DUMMYFUNCTION("""COMPUTED_VALUE"""),3725.0)</f>
        <v>3725</v>
      </c>
      <c r="AN213" s="177">
        <f>IFERROR(__xludf.DUMMYFUNCTION("""COMPUTED_VALUE"""),3798.8)</f>
        <v>3798.8</v>
      </c>
      <c r="AO213" s="177">
        <f>IFERROR(__xludf.DUMMYFUNCTION("""COMPUTED_VALUE"""),3707.05)</f>
        <v>3707.05</v>
      </c>
      <c r="AP213" s="177">
        <f>IFERROR(__xludf.DUMMYFUNCTION("""COMPUTED_VALUE"""),3779.15)</f>
        <v>3779.15</v>
      </c>
      <c r="AQ213" s="177">
        <f>IFERROR(__xludf.DUMMYFUNCTION("""COMPUTED_VALUE"""),1513385.0)</f>
        <v>1513385</v>
      </c>
      <c r="AR213" s="177">
        <f t="shared" si="4"/>
        <v>0.02103117096</v>
      </c>
      <c r="AS213" s="177"/>
      <c r="AT213" s="177"/>
      <c r="AU213" s="189"/>
      <c r="AV213" s="140"/>
      <c r="AW213" s="140"/>
      <c r="AX213" s="176">
        <f>IFERROR(__xludf.DUMMYFUNCTION("""COMPUTED_VALUE"""),45687.64583333333)</f>
        <v>45687.64583</v>
      </c>
      <c r="AY213" s="177">
        <f>IFERROR(__xludf.DUMMYFUNCTION("""COMPUTED_VALUE"""),433.0)</f>
        <v>433</v>
      </c>
      <c r="AZ213" s="177">
        <f>IFERROR(__xludf.DUMMYFUNCTION("""COMPUTED_VALUE"""),438.0)</f>
        <v>438</v>
      </c>
      <c r="BA213" s="177">
        <f>IFERROR(__xludf.DUMMYFUNCTION("""COMPUTED_VALUE"""),431.45)</f>
        <v>431.45</v>
      </c>
      <c r="BB213" s="177">
        <f>IFERROR(__xludf.DUMMYFUNCTION("""COMPUTED_VALUE"""),436.2)</f>
        <v>436.2</v>
      </c>
      <c r="BC213" s="177">
        <f>IFERROR(__xludf.DUMMYFUNCTION("""COMPUTED_VALUE"""),2.2496695E7)</f>
        <v>22496695</v>
      </c>
      <c r="BD213" s="177">
        <f t="shared" si="5"/>
        <v>0.006555138187</v>
      </c>
      <c r="BE213" s="177"/>
      <c r="BF213" s="177"/>
      <c r="BG213" s="189"/>
      <c r="BH213" s="140"/>
      <c r="BI213" s="140"/>
      <c r="BJ213" s="140"/>
      <c r="BK213" s="140"/>
      <c r="BL213" s="140"/>
      <c r="BM213" s="140"/>
      <c r="BN213" s="140"/>
      <c r="BO213" s="140"/>
      <c r="BP213" s="140"/>
      <c r="BQ213" s="140"/>
      <c r="BR213" s="140"/>
      <c r="BS213" s="140"/>
      <c r="BT213" s="140"/>
      <c r="BU213" s="140"/>
      <c r="BV213" s="140"/>
      <c r="BW213" s="140"/>
      <c r="BX213" s="140"/>
      <c r="BY213" s="140"/>
    </row>
    <row r="214" ht="15.75" customHeight="1">
      <c r="A214" s="168"/>
      <c r="B214" s="169">
        <v>45688.0</v>
      </c>
      <c r="C214" s="170">
        <v>7780.12</v>
      </c>
      <c r="D214" s="170">
        <v>7845.12</v>
      </c>
      <c r="E214" s="170">
        <v>7770.12</v>
      </c>
      <c r="F214" s="170">
        <v>7792.12</v>
      </c>
      <c r="G214" s="171" t="s">
        <v>238</v>
      </c>
      <c r="H214" s="172">
        <f t="shared" si="1"/>
        <v>0.002055467494</v>
      </c>
      <c r="I214" s="172"/>
      <c r="J214" s="172"/>
      <c r="K214" s="188"/>
      <c r="L214" s="140"/>
      <c r="M214" s="140"/>
      <c r="N214" s="176">
        <f>IFERROR(__xludf.DUMMYFUNCTION("""COMPUTED_VALUE"""),45688.64583333333)</f>
        <v>45688.64583</v>
      </c>
      <c r="O214" s="177">
        <f>IFERROR(__xludf.DUMMYFUNCTION("""COMPUTED_VALUE"""),1254.5)</f>
        <v>1254.5</v>
      </c>
      <c r="P214" s="177">
        <f>IFERROR(__xludf.DUMMYFUNCTION("""COMPUTED_VALUE"""),1256.0)</f>
        <v>1256</v>
      </c>
      <c r="Q214" s="177">
        <f>IFERROR(__xludf.DUMMYFUNCTION("""COMPUTED_VALUE"""),1239.1)</f>
        <v>1239.1</v>
      </c>
      <c r="R214" s="177">
        <f>IFERROR(__xludf.DUMMYFUNCTION("""COMPUTED_VALUE"""),1252.8)</f>
        <v>1252.8</v>
      </c>
      <c r="S214" s="177">
        <f>IFERROR(__xludf.DUMMYFUNCTION("""COMPUTED_VALUE"""),1.0195417E7)</f>
        <v>10195417</v>
      </c>
      <c r="T214" s="177">
        <f t="shared" si="2"/>
        <v>-0.002232499731</v>
      </c>
      <c r="U214" s="178"/>
      <c r="V214" s="177"/>
      <c r="W214" s="189"/>
      <c r="X214" s="140"/>
      <c r="Y214" s="140"/>
      <c r="Z214" s="176">
        <f>IFERROR(__xludf.DUMMYFUNCTION("""COMPUTED_VALUE"""),45688.64583333333)</f>
        <v>45688.64583</v>
      </c>
      <c r="AA214" s="177">
        <f>IFERROR(__xludf.DUMMYFUNCTION("""COMPUTED_VALUE"""),345.95)</f>
        <v>345.95</v>
      </c>
      <c r="AB214" s="177">
        <f>IFERROR(__xludf.DUMMYFUNCTION("""COMPUTED_VALUE"""),348.9)</f>
        <v>348.9</v>
      </c>
      <c r="AC214" s="177">
        <f>IFERROR(__xludf.DUMMYFUNCTION("""COMPUTED_VALUE"""),342.4)</f>
        <v>342.4</v>
      </c>
      <c r="AD214" s="177">
        <f>IFERROR(__xludf.DUMMYFUNCTION("""COMPUTED_VALUE"""),347.2)</f>
        <v>347.2</v>
      </c>
      <c r="AE214" s="177">
        <f>IFERROR(__xludf.DUMMYFUNCTION("""COMPUTED_VALUE"""),6499334.0)</f>
        <v>6499334</v>
      </c>
      <c r="AF214" s="177">
        <f t="shared" si="3"/>
        <v>0.004618945856</v>
      </c>
      <c r="AG214" s="177"/>
      <c r="AH214" s="177"/>
      <c r="AI214" s="189"/>
      <c r="AJ214" s="140"/>
      <c r="AK214" s="140"/>
      <c r="AL214" s="176">
        <f>IFERROR(__xludf.DUMMYFUNCTION("""COMPUTED_VALUE"""),45688.64583333333)</f>
        <v>45688.64583</v>
      </c>
      <c r="AM214" s="177">
        <f>IFERROR(__xludf.DUMMYFUNCTION("""COMPUTED_VALUE"""),3804.1)</f>
        <v>3804.1</v>
      </c>
      <c r="AN214" s="177">
        <f>IFERROR(__xludf.DUMMYFUNCTION("""COMPUTED_VALUE"""),3969.0)</f>
        <v>3969</v>
      </c>
      <c r="AO214" s="177">
        <f>IFERROR(__xludf.DUMMYFUNCTION("""COMPUTED_VALUE"""),3784.8)</f>
        <v>3784.8</v>
      </c>
      <c r="AP214" s="177">
        <f>IFERROR(__xludf.DUMMYFUNCTION("""COMPUTED_VALUE"""),3936.8)</f>
        <v>3936.8</v>
      </c>
      <c r="AQ214" s="177">
        <f>IFERROR(__xludf.DUMMYFUNCTION("""COMPUTED_VALUE"""),1976237.0)</f>
        <v>1976237</v>
      </c>
      <c r="AR214" s="177">
        <f t="shared" si="4"/>
        <v>0.04086909395</v>
      </c>
      <c r="AS214" s="177"/>
      <c r="AT214" s="177"/>
      <c r="AU214" s="189"/>
      <c r="AV214" s="140"/>
      <c r="AW214" s="140"/>
      <c r="AX214" s="176">
        <f>IFERROR(__xludf.DUMMYFUNCTION("""COMPUTED_VALUE"""),45688.64583333333)</f>
        <v>45688.64583</v>
      </c>
      <c r="AY214" s="177">
        <f>IFERROR(__xludf.DUMMYFUNCTION("""COMPUTED_VALUE"""),436.5)</f>
        <v>436.5</v>
      </c>
      <c r="AZ214" s="177">
        <f>IFERROR(__xludf.DUMMYFUNCTION("""COMPUTED_VALUE"""),448.2)</f>
        <v>448.2</v>
      </c>
      <c r="BA214" s="177">
        <f>IFERROR(__xludf.DUMMYFUNCTION("""COMPUTED_VALUE"""),435.1)</f>
        <v>435.1</v>
      </c>
      <c r="BB214" s="177">
        <f>IFERROR(__xludf.DUMMYFUNCTION("""COMPUTED_VALUE"""),447.5)</f>
        <v>447.5</v>
      </c>
      <c r="BC214" s="177">
        <f>IFERROR(__xludf.DUMMYFUNCTION("""COMPUTED_VALUE"""),1.3546181E7)</f>
        <v>13546181</v>
      </c>
      <c r="BD214" s="177">
        <f t="shared" si="5"/>
        <v>0.02557568395</v>
      </c>
      <c r="BE214" s="177"/>
      <c r="BF214" s="177"/>
      <c r="BG214" s="189"/>
      <c r="BH214" s="140"/>
      <c r="BI214" s="140"/>
      <c r="BJ214" s="140"/>
      <c r="BK214" s="140"/>
      <c r="BL214" s="140"/>
      <c r="BM214" s="140"/>
      <c r="BN214" s="140"/>
      <c r="BO214" s="140"/>
      <c r="BP214" s="140"/>
      <c r="BQ214" s="140"/>
      <c r="BR214" s="140"/>
      <c r="BS214" s="140"/>
      <c r="BT214" s="140"/>
      <c r="BU214" s="140"/>
      <c r="BV214" s="140"/>
      <c r="BW214" s="140"/>
      <c r="BX214" s="140"/>
      <c r="BY214" s="140"/>
    </row>
    <row r="215" ht="15.75" customHeight="1">
      <c r="A215" s="168"/>
      <c r="B215" s="169">
        <v>45691.0</v>
      </c>
      <c r="C215" s="170">
        <v>7795.52</v>
      </c>
      <c r="D215" s="170">
        <v>7930.78</v>
      </c>
      <c r="E215" s="170">
        <v>7726.12</v>
      </c>
      <c r="F215" s="170">
        <v>7868.78</v>
      </c>
      <c r="G215" s="171" t="s">
        <v>238</v>
      </c>
      <c r="H215" s="172">
        <f t="shared" si="1"/>
        <v>0.009790064721</v>
      </c>
      <c r="I215" s="172"/>
      <c r="J215" s="172"/>
      <c r="K215" s="188"/>
      <c r="L215" s="140"/>
      <c r="M215" s="140"/>
      <c r="N215" s="176">
        <f>IFERROR(__xludf.DUMMYFUNCTION("""COMPUTED_VALUE"""),45691.64583333333)</f>
        <v>45691.64583</v>
      </c>
      <c r="O215" s="177">
        <f>IFERROR(__xludf.DUMMYFUNCTION("""COMPUTED_VALUE"""),1246.85)</f>
        <v>1246.85</v>
      </c>
      <c r="P215" s="177">
        <f>IFERROR(__xludf.DUMMYFUNCTION("""COMPUTED_VALUE"""),1260.0)</f>
        <v>1260</v>
      </c>
      <c r="Q215" s="177">
        <f>IFERROR(__xludf.DUMMYFUNCTION("""COMPUTED_VALUE"""),1237.8)</f>
        <v>1237.8</v>
      </c>
      <c r="R215" s="177">
        <f>IFERROR(__xludf.DUMMYFUNCTION("""COMPUTED_VALUE"""),1253.0)</f>
        <v>1253</v>
      </c>
      <c r="S215" s="177">
        <f>IFERROR(__xludf.DUMMYFUNCTION("""COMPUTED_VALUE"""),6176831.0)</f>
        <v>6176831</v>
      </c>
      <c r="T215" s="177">
        <f t="shared" si="2"/>
        <v>0.0001596296595</v>
      </c>
      <c r="U215" s="178"/>
      <c r="V215" s="177"/>
      <c r="W215" s="189"/>
      <c r="X215" s="140"/>
      <c r="Y215" s="140"/>
      <c r="Z215" s="176">
        <f>IFERROR(__xludf.DUMMYFUNCTION("""COMPUTED_VALUE"""),45691.64583333333)</f>
        <v>45691.64583</v>
      </c>
      <c r="AA215" s="177">
        <f>IFERROR(__xludf.DUMMYFUNCTION("""COMPUTED_VALUE"""),347.1)</f>
        <v>347.1</v>
      </c>
      <c r="AB215" s="177">
        <f>IFERROR(__xludf.DUMMYFUNCTION("""COMPUTED_VALUE"""),351.25)</f>
        <v>351.25</v>
      </c>
      <c r="AC215" s="177">
        <f>IFERROR(__xludf.DUMMYFUNCTION("""COMPUTED_VALUE"""),338.7)</f>
        <v>338.7</v>
      </c>
      <c r="AD215" s="177">
        <f>IFERROR(__xludf.DUMMYFUNCTION("""COMPUTED_VALUE"""),350.1)</f>
        <v>350.1</v>
      </c>
      <c r="AE215" s="177">
        <f>IFERROR(__xludf.DUMMYFUNCTION("""COMPUTED_VALUE"""),4618051.0)</f>
        <v>4618051</v>
      </c>
      <c r="AF215" s="177">
        <f t="shared" si="3"/>
        <v>0.008317845174</v>
      </c>
      <c r="AG215" s="177"/>
      <c r="AH215" s="177"/>
      <c r="AI215" s="189"/>
      <c r="AJ215" s="140"/>
      <c r="AK215" s="140"/>
      <c r="AL215" s="176">
        <f>IFERROR(__xludf.DUMMYFUNCTION("""COMPUTED_VALUE"""),45691.64583333333)</f>
        <v>45691.64583</v>
      </c>
      <c r="AM215" s="177">
        <f>IFERROR(__xludf.DUMMYFUNCTION("""COMPUTED_VALUE"""),3720.0)</f>
        <v>3720</v>
      </c>
      <c r="AN215" s="177">
        <f>IFERROR(__xludf.DUMMYFUNCTION("""COMPUTED_VALUE"""),3730.0)</f>
        <v>3730</v>
      </c>
      <c r="AO215" s="177">
        <f>IFERROR(__xludf.DUMMYFUNCTION("""COMPUTED_VALUE"""),3513.0)</f>
        <v>3513</v>
      </c>
      <c r="AP215" s="177">
        <f>IFERROR(__xludf.DUMMYFUNCTION("""COMPUTED_VALUE"""),3528.55)</f>
        <v>3528.55</v>
      </c>
      <c r="AQ215" s="177">
        <f>IFERROR(__xludf.DUMMYFUNCTION("""COMPUTED_VALUE"""),3692250.0)</f>
        <v>3692250</v>
      </c>
      <c r="AR215" s="177">
        <f t="shared" si="4"/>
        <v>-0.1094811889</v>
      </c>
      <c r="AS215" s="177"/>
      <c r="AT215" s="177"/>
      <c r="AU215" s="189"/>
      <c r="AV215" s="140"/>
      <c r="AW215" s="140"/>
      <c r="AX215" s="176">
        <f>IFERROR(__xludf.DUMMYFUNCTION("""COMPUTED_VALUE"""),45691.64583333333)</f>
        <v>45691.64583</v>
      </c>
      <c r="AY215" s="177">
        <f>IFERROR(__xludf.DUMMYFUNCTION("""COMPUTED_VALUE"""),462.0)</f>
        <v>462</v>
      </c>
      <c r="AZ215" s="177">
        <f>IFERROR(__xludf.DUMMYFUNCTION("""COMPUTED_VALUE"""),465.2)</f>
        <v>465.2</v>
      </c>
      <c r="BA215" s="177">
        <f>IFERROR(__xludf.DUMMYFUNCTION("""COMPUTED_VALUE"""),452.3)</f>
        <v>452.3</v>
      </c>
      <c r="BB215" s="177">
        <f>IFERROR(__xludf.DUMMYFUNCTION("""COMPUTED_VALUE"""),454.35)</f>
        <v>454.35</v>
      </c>
      <c r="BC215" s="177">
        <f>IFERROR(__xludf.DUMMYFUNCTION("""COMPUTED_VALUE"""),1.699173E7)</f>
        <v>16991730</v>
      </c>
      <c r="BD215" s="177">
        <f t="shared" si="5"/>
        <v>0.01519128843</v>
      </c>
      <c r="BE215" s="177"/>
      <c r="BF215" s="177"/>
      <c r="BG215" s="189"/>
      <c r="BH215" s="140"/>
      <c r="BI215" s="140"/>
      <c r="BJ215" s="140"/>
      <c r="BK215" s="140"/>
      <c r="BL215" s="140"/>
      <c r="BM215" s="140"/>
      <c r="BN215" s="140"/>
      <c r="BO215" s="140"/>
      <c r="BP215" s="140"/>
      <c r="BQ215" s="140"/>
      <c r="BR215" s="140"/>
      <c r="BS215" s="140"/>
      <c r="BT215" s="140"/>
      <c r="BU215" s="140"/>
      <c r="BV215" s="140"/>
      <c r="BW215" s="140"/>
      <c r="BX215" s="140"/>
      <c r="BY215" s="140"/>
    </row>
    <row r="216" ht="15.75" customHeight="1">
      <c r="A216" s="168"/>
      <c r="B216" s="169">
        <v>45692.0</v>
      </c>
      <c r="C216" s="170">
        <v>7872.78</v>
      </c>
      <c r="D216" s="170">
        <v>7966.12</v>
      </c>
      <c r="E216" s="170">
        <v>7860.12</v>
      </c>
      <c r="F216" s="170">
        <v>7956.78</v>
      </c>
      <c r="G216" s="171" t="s">
        <v>238</v>
      </c>
      <c r="H216" s="172">
        <f t="shared" si="1"/>
        <v>0.01112136405</v>
      </c>
      <c r="I216" s="172"/>
      <c r="J216" s="172"/>
      <c r="K216" s="188"/>
      <c r="L216" s="140"/>
      <c r="M216" s="140"/>
      <c r="N216" s="176">
        <f>IFERROR(__xludf.DUMMYFUNCTION("""COMPUTED_VALUE"""),45692.64583333333)</f>
        <v>45692.64583</v>
      </c>
      <c r="O216" s="177">
        <f>IFERROR(__xludf.DUMMYFUNCTION("""COMPUTED_VALUE"""),1262.8)</f>
        <v>1262.8</v>
      </c>
      <c r="P216" s="177">
        <f>IFERROR(__xludf.DUMMYFUNCTION("""COMPUTED_VALUE"""),1280.5)</f>
        <v>1280.5</v>
      </c>
      <c r="Q216" s="177">
        <f>IFERROR(__xludf.DUMMYFUNCTION("""COMPUTED_VALUE"""),1260.0)</f>
        <v>1260</v>
      </c>
      <c r="R216" s="177">
        <f>IFERROR(__xludf.DUMMYFUNCTION("""COMPUTED_VALUE"""),1268.2)</f>
        <v>1268.2</v>
      </c>
      <c r="S216" s="177">
        <f>IFERROR(__xludf.DUMMYFUNCTION("""COMPUTED_VALUE"""),1.4839077E7)</f>
        <v>14839077</v>
      </c>
      <c r="T216" s="177">
        <f t="shared" si="2"/>
        <v>0.01205789637</v>
      </c>
      <c r="U216" s="178"/>
      <c r="V216" s="177"/>
      <c r="W216" s="189"/>
      <c r="X216" s="140"/>
      <c r="Y216" s="140"/>
      <c r="Z216" s="176">
        <f>IFERROR(__xludf.DUMMYFUNCTION("""COMPUTED_VALUE"""),45692.64583333333)</f>
        <v>45692.64583</v>
      </c>
      <c r="AA216" s="177">
        <f>IFERROR(__xludf.DUMMYFUNCTION("""COMPUTED_VALUE"""),353.65)</f>
        <v>353.65</v>
      </c>
      <c r="AB216" s="177">
        <f>IFERROR(__xludf.DUMMYFUNCTION("""COMPUTED_VALUE"""),359.15)</f>
        <v>359.15</v>
      </c>
      <c r="AC216" s="177">
        <f>IFERROR(__xludf.DUMMYFUNCTION("""COMPUTED_VALUE"""),349.7)</f>
        <v>349.7</v>
      </c>
      <c r="AD216" s="177">
        <f>IFERROR(__xludf.DUMMYFUNCTION("""COMPUTED_VALUE"""),356.9)</f>
        <v>356.9</v>
      </c>
      <c r="AE216" s="177">
        <f>IFERROR(__xludf.DUMMYFUNCTION("""COMPUTED_VALUE"""),5792352.0)</f>
        <v>5792352</v>
      </c>
      <c r="AF216" s="177">
        <f t="shared" si="3"/>
        <v>0.01923680254</v>
      </c>
      <c r="AG216" s="177"/>
      <c r="AH216" s="177"/>
      <c r="AI216" s="189"/>
      <c r="AJ216" s="140"/>
      <c r="AK216" s="140"/>
      <c r="AL216" s="176">
        <f>IFERROR(__xludf.DUMMYFUNCTION("""COMPUTED_VALUE"""),45692.64583333333)</f>
        <v>45692.64583</v>
      </c>
      <c r="AM216" s="177">
        <f>IFERROR(__xludf.DUMMYFUNCTION("""COMPUTED_VALUE"""),3600.0)</f>
        <v>3600</v>
      </c>
      <c r="AN216" s="177">
        <f>IFERROR(__xludf.DUMMYFUNCTION("""COMPUTED_VALUE"""),3738.9)</f>
        <v>3738.9</v>
      </c>
      <c r="AO216" s="177">
        <f>IFERROR(__xludf.DUMMYFUNCTION("""COMPUTED_VALUE"""),3580.0)</f>
        <v>3580</v>
      </c>
      <c r="AP216" s="177">
        <f>IFERROR(__xludf.DUMMYFUNCTION("""COMPUTED_VALUE"""),3729.75)</f>
        <v>3729.75</v>
      </c>
      <c r="AQ216" s="177">
        <f>IFERROR(__xludf.DUMMYFUNCTION("""COMPUTED_VALUE"""),2467011.0)</f>
        <v>2467011</v>
      </c>
      <c r="AR216" s="177">
        <f t="shared" si="4"/>
        <v>0.0554541856</v>
      </c>
      <c r="AS216" s="177"/>
      <c r="AT216" s="177"/>
      <c r="AU216" s="189"/>
      <c r="AV216" s="140"/>
      <c r="AW216" s="140"/>
      <c r="AX216" s="176">
        <f>IFERROR(__xludf.DUMMYFUNCTION("""COMPUTED_VALUE"""),45692.64583333333)</f>
        <v>45692.64583</v>
      </c>
      <c r="AY216" s="177">
        <f>IFERROR(__xludf.DUMMYFUNCTION("""COMPUTED_VALUE"""),458.0)</f>
        <v>458</v>
      </c>
      <c r="AZ216" s="177">
        <f>IFERROR(__xludf.DUMMYFUNCTION("""COMPUTED_VALUE"""),460.35)</f>
        <v>460.35</v>
      </c>
      <c r="BA216" s="177">
        <f>IFERROR(__xludf.DUMMYFUNCTION("""COMPUTED_VALUE"""),448.75)</f>
        <v>448.75</v>
      </c>
      <c r="BB216" s="177">
        <f>IFERROR(__xludf.DUMMYFUNCTION("""COMPUTED_VALUE"""),455.15)</f>
        <v>455.15</v>
      </c>
      <c r="BC216" s="177">
        <f>IFERROR(__xludf.DUMMYFUNCTION("""COMPUTED_VALUE"""),1.8923681E7)</f>
        <v>18923681</v>
      </c>
      <c r="BD216" s="177">
        <f t="shared" si="5"/>
        <v>0.00175920881</v>
      </c>
      <c r="BE216" s="177"/>
      <c r="BF216" s="177"/>
      <c r="BG216" s="189"/>
      <c r="BH216" s="140"/>
      <c r="BI216" s="140"/>
      <c r="BJ216" s="140"/>
      <c r="BK216" s="140"/>
      <c r="BL216" s="140"/>
      <c r="BM216" s="140"/>
      <c r="BN216" s="140"/>
      <c r="BO216" s="140"/>
      <c r="BP216" s="140"/>
      <c r="BQ216" s="140"/>
      <c r="BR216" s="140"/>
      <c r="BS216" s="140"/>
      <c r="BT216" s="140"/>
      <c r="BU216" s="140"/>
      <c r="BV216" s="140"/>
      <c r="BW216" s="140"/>
      <c r="BX216" s="140"/>
      <c r="BY216" s="140"/>
    </row>
    <row r="217" ht="15.75" customHeight="1">
      <c r="A217" s="168"/>
      <c r="B217" s="169">
        <v>45693.0</v>
      </c>
      <c r="C217" s="170">
        <v>7953.12</v>
      </c>
      <c r="D217" s="170">
        <v>8094.78</v>
      </c>
      <c r="E217" s="170">
        <v>7949.12</v>
      </c>
      <c r="F217" s="170">
        <v>8049.12</v>
      </c>
      <c r="G217" s="171" t="s">
        <v>238</v>
      </c>
      <c r="H217" s="172">
        <f t="shared" si="1"/>
        <v>0.01153837328</v>
      </c>
      <c r="I217" s="172"/>
      <c r="J217" s="172"/>
      <c r="K217" s="188"/>
      <c r="L217" s="140"/>
      <c r="M217" s="140"/>
      <c r="N217" s="176">
        <f>IFERROR(__xludf.DUMMYFUNCTION("""COMPUTED_VALUE"""),45693.64583333333)</f>
        <v>45693.64583</v>
      </c>
      <c r="O217" s="177">
        <f>IFERROR(__xludf.DUMMYFUNCTION("""COMPUTED_VALUE"""),1270.2)</f>
        <v>1270.2</v>
      </c>
      <c r="P217" s="177">
        <f>IFERROR(__xludf.DUMMYFUNCTION("""COMPUTED_VALUE"""),1277.75)</f>
        <v>1277.75</v>
      </c>
      <c r="Q217" s="177">
        <f>IFERROR(__xludf.DUMMYFUNCTION("""COMPUTED_VALUE"""),1265.15)</f>
        <v>1265.15</v>
      </c>
      <c r="R217" s="177">
        <f>IFERROR(__xludf.DUMMYFUNCTION("""COMPUTED_VALUE"""),1267.7)</f>
        <v>1267.7</v>
      </c>
      <c r="S217" s="177">
        <f>IFERROR(__xludf.DUMMYFUNCTION("""COMPUTED_VALUE"""),6840709.0)</f>
        <v>6840709</v>
      </c>
      <c r="T217" s="177">
        <f t="shared" si="2"/>
        <v>-0.0003943373213</v>
      </c>
      <c r="U217" s="178"/>
      <c r="V217" s="177"/>
      <c r="W217" s="189"/>
      <c r="X217" s="140"/>
      <c r="Y217" s="140"/>
      <c r="Z217" s="176">
        <f>IFERROR(__xludf.DUMMYFUNCTION("""COMPUTED_VALUE"""),45693.64583333333)</f>
        <v>45693.64583</v>
      </c>
      <c r="AA217" s="177">
        <f>IFERROR(__xludf.DUMMYFUNCTION("""COMPUTED_VALUE"""),358.25)</f>
        <v>358.25</v>
      </c>
      <c r="AB217" s="177">
        <f>IFERROR(__xludf.DUMMYFUNCTION("""COMPUTED_VALUE"""),363.45)</f>
        <v>363.45</v>
      </c>
      <c r="AC217" s="177">
        <f>IFERROR(__xludf.DUMMYFUNCTION("""COMPUTED_VALUE"""),356.45)</f>
        <v>356.45</v>
      </c>
      <c r="AD217" s="177">
        <f>IFERROR(__xludf.DUMMYFUNCTION("""COMPUTED_VALUE"""),358.05)</f>
        <v>358.05</v>
      </c>
      <c r="AE217" s="177">
        <f>IFERROR(__xludf.DUMMYFUNCTION("""COMPUTED_VALUE"""),6894532.0)</f>
        <v>6894532</v>
      </c>
      <c r="AF217" s="177">
        <f t="shared" si="3"/>
        <v>0.003217010957</v>
      </c>
      <c r="AG217" s="177"/>
      <c r="AH217" s="177"/>
      <c r="AI217" s="189"/>
      <c r="AJ217" s="140"/>
      <c r="AK217" s="140"/>
      <c r="AL217" s="176">
        <f>IFERROR(__xludf.DUMMYFUNCTION("""COMPUTED_VALUE"""),45693.64583333333)</f>
        <v>45693.64583</v>
      </c>
      <c r="AM217" s="177">
        <f>IFERROR(__xludf.DUMMYFUNCTION("""COMPUTED_VALUE"""),3765.0)</f>
        <v>3765</v>
      </c>
      <c r="AN217" s="177">
        <f>IFERROR(__xludf.DUMMYFUNCTION("""COMPUTED_VALUE"""),3853.8)</f>
        <v>3853.8</v>
      </c>
      <c r="AO217" s="177">
        <f>IFERROR(__xludf.DUMMYFUNCTION("""COMPUTED_VALUE"""),3750.0)</f>
        <v>3750</v>
      </c>
      <c r="AP217" s="177">
        <f>IFERROR(__xludf.DUMMYFUNCTION("""COMPUTED_VALUE"""),3817.3)</f>
        <v>3817.3</v>
      </c>
      <c r="AQ217" s="177">
        <f>IFERROR(__xludf.DUMMYFUNCTION("""COMPUTED_VALUE"""),1621003.0)</f>
        <v>1621003</v>
      </c>
      <c r="AR217" s="177">
        <f t="shared" si="4"/>
        <v>0.02320215915</v>
      </c>
      <c r="AS217" s="177"/>
      <c r="AT217" s="177"/>
      <c r="AU217" s="189"/>
      <c r="AV217" s="140"/>
      <c r="AW217" s="140"/>
      <c r="AX217" s="176">
        <f>IFERROR(__xludf.DUMMYFUNCTION("""COMPUTED_VALUE"""),45693.64583333333)</f>
        <v>45693.64583</v>
      </c>
      <c r="AY217" s="177">
        <f>IFERROR(__xludf.DUMMYFUNCTION("""COMPUTED_VALUE"""),455.15)</f>
        <v>455.15</v>
      </c>
      <c r="AZ217" s="177">
        <f>IFERROR(__xludf.DUMMYFUNCTION("""COMPUTED_VALUE"""),455.85)</f>
        <v>455.85</v>
      </c>
      <c r="BA217" s="177">
        <f>IFERROR(__xludf.DUMMYFUNCTION("""COMPUTED_VALUE"""),446.5)</f>
        <v>446.5</v>
      </c>
      <c r="BB217" s="177">
        <f>IFERROR(__xludf.DUMMYFUNCTION("""COMPUTED_VALUE"""),448.15)</f>
        <v>448.15</v>
      </c>
      <c r="BC217" s="177">
        <f>IFERROR(__xludf.DUMMYFUNCTION("""COMPUTED_VALUE"""),1.2836283E7)</f>
        <v>12836283</v>
      </c>
      <c r="BD217" s="177">
        <f t="shared" si="5"/>
        <v>-0.01549903715</v>
      </c>
      <c r="BE217" s="177"/>
      <c r="BF217" s="177"/>
      <c r="BG217" s="189"/>
      <c r="BH217" s="140"/>
      <c r="BI217" s="140"/>
      <c r="BJ217" s="140"/>
      <c r="BK217" s="140"/>
      <c r="BL217" s="140"/>
      <c r="BM217" s="140"/>
      <c r="BN217" s="140"/>
      <c r="BO217" s="140"/>
      <c r="BP217" s="140"/>
      <c r="BQ217" s="140"/>
      <c r="BR217" s="140"/>
      <c r="BS217" s="140"/>
      <c r="BT217" s="140"/>
      <c r="BU217" s="140"/>
      <c r="BV217" s="140"/>
      <c r="BW217" s="140"/>
      <c r="BX217" s="140"/>
      <c r="BY217" s="140"/>
    </row>
    <row r="218" ht="15.75" customHeight="1">
      <c r="A218" s="168"/>
      <c r="B218" s="169">
        <v>45694.0</v>
      </c>
      <c r="C218" s="170">
        <v>8049.52</v>
      </c>
      <c r="D218" s="170">
        <v>8085.52</v>
      </c>
      <c r="E218" s="170">
        <v>7984.78</v>
      </c>
      <c r="F218" s="170">
        <v>8041.52</v>
      </c>
      <c r="G218" s="171" t="s">
        <v>238</v>
      </c>
      <c r="H218" s="172">
        <f t="shared" si="1"/>
        <v>-0.0009446486361</v>
      </c>
      <c r="I218" s="172"/>
      <c r="J218" s="172"/>
      <c r="K218" s="188"/>
      <c r="L218" s="140"/>
      <c r="M218" s="140"/>
      <c r="N218" s="176">
        <f>IFERROR(__xludf.DUMMYFUNCTION("""COMPUTED_VALUE"""),45694.64583333333)</f>
        <v>45694.64583</v>
      </c>
      <c r="O218" s="177">
        <f>IFERROR(__xludf.DUMMYFUNCTION("""COMPUTED_VALUE"""),1275.0)</f>
        <v>1275</v>
      </c>
      <c r="P218" s="177">
        <f>IFERROR(__xludf.DUMMYFUNCTION("""COMPUTED_VALUE"""),1279.0)</f>
        <v>1279</v>
      </c>
      <c r="Q218" s="177">
        <f>IFERROR(__xludf.DUMMYFUNCTION("""COMPUTED_VALUE"""),1263.2)</f>
        <v>1263.2</v>
      </c>
      <c r="R218" s="177">
        <f>IFERROR(__xludf.DUMMYFUNCTION("""COMPUTED_VALUE"""),1272.4)</f>
        <v>1272.4</v>
      </c>
      <c r="S218" s="177">
        <f>IFERROR(__xludf.DUMMYFUNCTION("""COMPUTED_VALUE"""),8396554.0)</f>
        <v>8396554</v>
      </c>
      <c r="T218" s="177">
        <f t="shared" si="2"/>
        <v>0.00370064593</v>
      </c>
      <c r="U218" s="178"/>
      <c r="V218" s="177"/>
      <c r="W218" s="189"/>
      <c r="X218" s="140"/>
      <c r="Y218" s="140"/>
      <c r="Z218" s="176">
        <f>IFERROR(__xludf.DUMMYFUNCTION("""COMPUTED_VALUE"""),45694.64583333333)</f>
        <v>45694.64583</v>
      </c>
      <c r="AA218" s="177">
        <f>IFERROR(__xludf.DUMMYFUNCTION("""COMPUTED_VALUE"""),359.95)</f>
        <v>359.95</v>
      </c>
      <c r="AB218" s="177">
        <f>IFERROR(__xludf.DUMMYFUNCTION("""COMPUTED_VALUE"""),368.3)</f>
        <v>368.3</v>
      </c>
      <c r="AC218" s="177">
        <f>IFERROR(__xludf.DUMMYFUNCTION("""COMPUTED_VALUE"""),354.05)</f>
        <v>354.05</v>
      </c>
      <c r="AD218" s="177">
        <f>IFERROR(__xludf.DUMMYFUNCTION("""COMPUTED_VALUE"""),356.1)</f>
        <v>356.1</v>
      </c>
      <c r="AE218" s="177">
        <f>IFERROR(__xludf.DUMMYFUNCTION("""COMPUTED_VALUE"""),8285405.0)</f>
        <v>8285405</v>
      </c>
      <c r="AF218" s="177">
        <f t="shared" si="3"/>
        <v>-0.005461051169</v>
      </c>
      <c r="AG218" s="177"/>
      <c r="AH218" s="177"/>
      <c r="AI218" s="189"/>
      <c r="AJ218" s="140"/>
      <c r="AK218" s="140"/>
      <c r="AL218" s="176">
        <f>IFERROR(__xludf.DUMMYFUNCTION("""COMPUTED_VALUE"""),45694.64583333333)</f>
        <v>45694.64583</v>
      </c>
      <c r="AM218" s="177">
        <f>IFERROR(__xludf.DUMMYFUNCTION("""COMPUTED_VALUE"""),3830.0)</f>
        <v>3830</v>
      </c>
      <c r="AN218" s="177">
        <f>IFERROR(__xludf.DUMMYFUNCTION("""COMPUTED_VALUE"""),3846.0)</f>
        <v>3846</v>
      </c>
      <c r="AO218" s="177">
        <f>IFERROR(__xludf.DUMMYFUNCTION("""COMPUTED_VALUE"""),3748.05)</f>
        <v>3748.05</v>
      </c>
      <c r="AP218" s="177">
        <f>IFERROR(__xludf.DUMMYFUNCTION("""COMPUTED_VALUE"""),3771.9)</f>
        <v>3771.9</v>
      </c>
      <c r="AQ218" s="177">
        <f>IFERROR(__xludf.DUMMYFUNCTION("""COMPUTED_VALUE"""),1253037.0)</f>
        <v>1253037</v>
      </c>
      <c r="AR218" s="177">
        <f t="shared" si="4"/>
        <v>-0.01196451315</v>
      </c>
      <c r="AS218" s="177"/>
      <c r="AT218" s="177"/>
      <c r="AU218" s="189"/>
      <c r="AV218" s="140"/>
      <c r="AW218" s="140"/>
      <c r="AX218" s="176">
        <f>IFERROR(__xludf.DUMMYFUNCTION("""COMPUTED_VALUE"""),45694.64583333333)</f>
        <v>45694.64583</v>
      </c>
      <c r="AY218" s="177">
        <f>IFERROR(__xludf.DUMMYFUNCTION("""COMPUTED_VALUE"""),450.0)</f>
        <v>450</v>
      </c>
      <c r="AZ218" s="177">
        <f>IFERROR(__xludf.DUMMYFUNCTION("""COMPUTED_VALUE"""),450.0)</f>
        <v>450</v>
      </c>
      <c r="BA218" s="177">
        <f>IFERROR(__xludf.DUMMYFUNCTION("""COMPUTED_VALUE"""),438.2)</f>
        <v>438.2</v>
      </c>
      <c r="BB218" s="177">
        <f>IFERROR(__xludf.DUMMYFUNCTION("""COMPUTED_VALUE"""),441.1)</f>
        <v>441.1</v>
      </c>
      <c r="BC218" s="177">
        <f>IFERROR(__xludf.DUMMYFUNCTION("""COMPUTED_VALUE"""),1.7469129E7)</f>
        <v>17469129</v>
      </c>
      <c r="BD218" s="177">
        <f t="shared" si="5"/>
        <v>-0.01585639069</v>
      </c>
      <c r="BE218" s="177"/>
      <c r="BF218" s="177"/>
      <c r="BG218" s="189"/>
      <c r="BH218" s="140"/>
      <c r="BI218" s="140"/>
      <c r="BJ218" s="140"/>
      <c r="BK218" s="140"/>
      <c r="BL218" s="140"/>
      <c r="BM218" s="140"/>
      <c r="BN218" s="140"/>
      <c r="BO218" s="140"/>
      <c r="BP218" s="140"/>
      <c r="BQ218" s="140"/>
      <c r="BR218" s="140"/>
      <c r="BS218" s="140"/>
      <c r="BT218" s="140"/>
      <c r="BU218" s="140"/>
      <c r="BV218" s="140"/>
      <c r="BW218" s="140"/>
      <c r="BX218" s="140"/>
      <c r="BY218" s="140"/>
    </row>
    <row r="219" ht="15.75" customHeight="1">
      <c r="A219" s="168"/>
      <c r="B219" s="169">
        <v>45695.0</v>
      </c>
      <c r="C219" s="170">
        <v>8043.12</v>
      </c>
      <c r="D219" s="170">
        <v>8132.12</v>
      </c>
      <c r="E219" s="170">
        <v>8026.12</v>
      </c>
      <c r="F219" s="170">
        <v>8060.12</v>
      </c>
      <c r="G219" s="171" t="s">
        <v>238</v>
      </c>
      <c r="H219" s="172">
        <f t="shared" si="1"/>
        <v>0.002310324697</v>
      </c>
      <c r="I219" s="172"/>
      <c r="J219" s="172"/>
      <c r="K219" s="188"/>
      <c r="L219" s="140"/>
      <c r="M219" s="140"/>
      <c r="N219" s="176">
        <f>IFERROR(__xludf.DUMMYFUNCTION("""COMPUTED_VALUE"""),45695.64583333333)</f>
        <v>45695.64583</v>
      </c>
      <c r="O219" s="177">
        <f>IFERROR(__xludf.DUMMYFUNCTION("""COMPUTED_VALUE"""),1272.0)</f>
        <v>1272</v>
      </c>
      <c r="P219" s="177">
        <f>IFERROR(__xludf.DUMMYFUNCTION("""COMPUTED_VALUE"""),1275.0)</f>
        <v>1275</v>
      </c>
      <c r="Q219" s="177">
        <f>IFERROR(__xludf.DUMMYFUNCTION("""COMPUTED_VALUE"""),1249.55)</f>
        <v>1249.55</v>
      </c>
      <c r="R219" s="177">
        <f>IFERROR(__xludf.DUMMYFUNCTION("""COMPUTED_VALUE"""),1256.9)</f>
        <v>1256.9</v>
      </c>
      <c r="S219" s="177">
        <f>IFERROR(__xludf.DUMMYFUNCTION("""COMPUTED_VALUE"""),7382039.0)</f>
        <v>7382039</v>
      </c>
      <c r="T219" s="177">
        <f t="shared" si="2"/>
        <v>-0.01225650894</v>
      </c>
      <c r="U219" s="178"/>
      <c r="V219" s="177"/>
      <c r="W219" s="189"/>
      <c r="X219" s="140"/>
      <c r="Y219" s="140"/>
      <c r="Z219" s="176">
        <f>IFERROR(__xludf.DUMMYFUNCTION("""COMPUTED_VALUE"""),45695.64583333333)</f>
        <v>45695.64583</v>
      </c>
      <c r="AA219" s="177">
        <f>IFERROR(__xludf.DUMMYFUNCTION("""COMPUTED_VALUE"""),358.3)</f>
        <v>358.3</v>
      </c>
      <c r="AB219" s="177">
        <f>IFERROR(__xludf.DUMMYFUNCTION("""COMPUTED_VALUE"""),369.35)</f>
        <v>369.35</v>
      </c>
      <c r="AC219" s="177">
        <f>IFERROR(__xludf.DUMMYFUNCTION("""COMPUTED_VALUE"""),357.7)</f>
        <v>357.7</v>
      </c>
      <c r="AD219" s="177">
        <f>IFERROR(__xludf.DUMMYFUNCTION("""COMPUTED_VALUE"""),363.3)</f>
        <v>363.3</v>
      </c>
      <c r="AE219" s="177">
        <f>IFERROR(__xludf.DUMMYFUNCTION("""COMPUTED_VALUE"""),1.0231223E7)</f>
        <v>10231223</v>
      </c>
      <c r="AF219" s="177">
        <f t="shared" si="3"/>
        <v>0.02001734894</v>
      </c>
      <c r="AG219" s="177"/>
      <c r="AH219" s="177"/>
      <c r="AI219" s="189"/>
      <c r="AJ219" s="140"/>
      <c r="AK219" s="140"/>
      <c r="AL219" s="176">
        <f>IFERROR(__xludf.DUMMYFUNCTION("""COMPUTED_VALUE"""),45695.64583333333)</f>
        <v>45695.64583</v>
      </c>
      <c r="AM219" s="177">
        <f>IFERROR(__xludf.DUMMYFUNCTION("""COMPUTED_VALUE"""),3795.0)</f>
        <v>3795</v>
      </c>
      <c r="AN219" s="177">
        <f>IFERROR(__xludf.DUMMYFUNCTION("""COMPUTED_VALUE"""),3834.3)</f>
        <v>3834.3</v>
      </c>
      <c r="AO219" s="177">
        <f>IFERROR(__xludf.DUMMYFUNCTION("""COMPUTED_VALUE"""),3748.6)</f>
        <v>3748.6</v>
      </c>
      <c r="AP219" s="177">
        <f>IFERROR(__xludf.DUMMYFUNCTION("""COMPUTED_VALUE"""),3818.85)</f>
        <v>3818.85</v>
      </c>
      <c r="AQ219" s="177">
        <f>IFERROR(__xludf.DUMMYFUNCTION("""COMPUTED_VALUE"""),1391172.0)</f>
        <v>1391172</v>
      </c>
      <c r="AR219" s="177">
        <f t="shared" si="4"/>
        <v>0.01237047689</v>
      </c>
      <c r="AS219" s="177"/>
      <c r="AT219" s="177"/>
      <c r="AU219" s="189"/>
      <c r="AV219" s="140"/>
      <c r="AW219" s="140"/>
      <c r="AX219" s="176">
        <f>IFERROR(__xludf.DUMMYFUNCTION("""COMPUTED_VALUE"""),45695.64583333333)</f>
        <v>45695.64583</v>
      </c>
      <c r="AY219" s="177">
        <f>IFERROR(__xludf.DUMMYFUNCTION("""COMPUTED_VALUE"""),440.0)</f>
        <v>440</v>
      </c>
      <c r="AZ219" s="177">
        <f>IFERROR(__xludf.DUMMYFUNCTION("""COMPUTED_VALUE"""),445.5)</f>
        <v>445.5</v>
      </c>
      <c r="BA219" s="177">
        <f>IFERROR(__xludf.DUMMYFUNCTION("""COMPUTED_VALUE"""),428.4)</f>
        <v>428.4</v>
      </c>
      <c r="BB219" s="177">
        <f>IFERROR(__xludf.DUMMYFUNCTION("""COMPUTED_VALUE"""),430.85)</f>
        <v>430.85</v>
      </c>
      <c r="BC219" s="177">
        <f>IFERROR(__xludf.DUMMYFUNCTION("""COMPUTED_VALUE"""),1.8875982E7)</f>
        <v>18875982</v>
      </c>
      <c r="BD219" s="177">
        <f t="shared" si="5"/>
        <v>-0.02351160543</v>
      </c>
      <c r="BE219" s="177"/>
      <c r="BF219" s="177"/>
      <c r="BG219" s="189"/>
      <c r="BH219" s="140"/>
      <c r="BI219" s="140"/>
      <c r="BJ219" s="140"/>
      <c r="BK219" s="140"/>
      <c r="BL219" s="140"/>
      <c r="BM219" s="140"/>
      <c r="BN219" s="140"/>
      <c r="BO219" s="140"/>
      <c r="BP219" s="140"/>
      <c r="BQ219" s="140"/>
      <c r="BR219" s="140"/>
      <c r="BS219" s="140"/>
      <c r="BT219" s="140"/>
      <c r="BU219" s="140"/>
      <c r="BV219" s="140"/>
      <c r="BW219" s="140"/>
      <c r="BX219" s="140"/>
      <c r="BY219" s="140"/>
    </row>
    <row r="220" ht="15.75" customHeight="1">
      <c r="A220" s="168"/>
      <c r="B220" s="169">
        <v>45698.0</v>
      </c>
      <c r="C220" s="170">
        <v>8071.52</v>
      </c>
      <c r="D220" s="170">
        <v>8188.78</v>
      </c>
      <c r="E220" s="170">
        <v>8044.78</v>
      </c>
      <c r="F220" s="170">
        <v>8177.52</v>
      </c>
      <c r="G220" s="171" t="s">
        <v>238</v>
      </c>
      <c r="H220" s="172">
        <f t="shared" si="1"/>
        <v>0.01446048142</v>
      </c>
      <c r="I220" s="172"/>
      <c r="J220" s="172"/>
      <c r="K220" s="188"/>
      <c r="L220" s="140"/>
      <c r="M220" s="140"/>
      <c r="N220" s="176">
        <f>IFERROR(__xludf.DUMMYFUNCTION("""COMPUTED_VALUE"""),45698.64583333333)</f>
        <v>45698.64583</v>
      </c>
      <c r="O220" s="177">
        <f>IFERROR(__xludf.DUMMYFUNCTION("""COMPUTED_VALUE"""),1257.2)</f>
        <v>1257.2</v>
      </c>
      <c r="P220" s="177">
        <f>IFERROR(__xludf.DUMMYFUNCTION("""COMPUTED_VALUE"""),1265.0)</f>
        <v>1265</v>
      </c>
      <c r="Q220" s="177">
        <f>IFERROR(__xludf.DUMMYFUNCTION("""COMPUTED_VALUE"""),1249.35)</f>
        <v>1249.35</v>
      </c>
      <c r="R220" s="177">
        <f>IFERROR(__xludf.DUMMYFUNCTION("""COMPUTED_VALUE"""),1262.6)</f>
        <v>1262.6</v>
      </c>
      <c r="S220" s="177">
        <f>IFERROR(__xludf.DUMMYFUNCTION("""COMPUTED_VALUE"""),5740361.0)</f>
        <v>5740361</v>
      </c>
      <c r="T220" s="177">
        <f t="shared" si="2"/>
        <v>0.004524715003</v>
      </c>
      <c r="U220" s="178"/>
      <c r="V220" s="177"/>
      <c r="W220" s="189"/>
      <c r="X220" s="140"/>
      <c r="Y220" s="140"/>
      <c r="Z220" s="176">
        <f>IFERROR(__xludf.DUMMYFUNCTION("""COMPUTED_VALUE"""),45698.64583333333)</f>
        <v>45698.64583</v>
      </c>
      <c r="AA220" s="177">
        <f>IFERROR(__xludf.DUMMYFUNCTION("""COMPUTED_VALUE"""),363.25)</f>
        <v>363.25</v>
      </c>
      <c r="AB220" s="177">
        <f>IFERROR(__xludf.DUMMYFUNCTION("""COMPUTED_VALUE"""),364.8)</f>
        <v>364.8</v>
      </c>
      <c r="AC220" s="177">
        <f>IFERROR(__xludf.DUMMYFUNCTION("""COMPUTED_VALUE"""),348.55)</f>
        <v>348.55</v>
      </c>
      <c r="AD220" s="177">
        <f>IFERROR(__xludf.DUMMYFUNCTION("""COMPUTED_VALUE"""),352.05)</f>
        <v>352.05</v>
      </c>
      <c r="AE220" s="177">
        <f>IFERROR(__xludf.DUMMYFUNCTION("""COMPUTED_VALUE"""),4667093.0)</f>
        <v>4667093</v>
      </c>
      <c r="AF220" s="177">
        <f t="shared" si="3"/>
        <v>-0.03145572826</v>
      </c>
      <c r="AG220" s="177"/>
      <c r="AH220" s="177"/>
      <c r="AI220" s="189"/>
      <c r="AJ220" s="140"/>
      <c r="AK220" s="140"/>
      <c r="AL220" s="176">
        <f>IFERROR(__xludf.DUMMYFUNCTION("""COMPUTED_VALUE"""),45698.64583333333)</f>
        <v>45698.64583</v>
      </c>
      <c r="AM220" s="177">
        <f>IFERROR(__xludf.DUMMYFUNCTION("""COMPUTED_VALUE"""),3818.0)</f>
        <v>3818</v>
      </c>
      <c r="AN220" s="177">
        <f>IFERROR(__xludf.DUMMYFUNCTION("""COMPUTED_VALUE"""),3849.0)</f>
        <v>3849</v>
      </c>
      <c r="AO220" s="177">
        <f>IFERROR(__xludf.DUMMYFUNCTION("""COMPUTED_VALUE"""),3753.6)</f>
        <v>3753.6</v>
      </c>
      <c r="AP220" s="177">
        <f>IFERROR(__xludf.DUMMYFUNCTION("""COMPUTED_VALUE"""),3786.65)</f>
        <v>3786.65</v>
      </c>
      <c r="AQ220" s="177">
        <f>IFERROR(__xludf.DUMMYFUNCTION("""COMPUTED_VALUE"""),1336993.0)</f>
        <v>1336993</v>
      </c>
      <c r="AR220" s="177">
        <f t="shared" si="4"/>
        <v>-0.008467606968</v>
      </c>
      <c r="AS220" s="177"/>
      <c r="AT220" s="177"/>
      <c r="AU220" s="189"/>
      <c r="AV220" s="140"/>
      <c r="AW220" s="140"/>
      <c r="AX220" s="176">
        <f>IFERROR(__xludf.DUMMYFUNCTION("""COMPUTED_VALUE"""),45698.64583333333)</f>
        <v>45698.64583</v>
      </c>
      <c r="AY220" s="177">
        <f>IFERROR(__xludf.DUMMYFUNCTION("""COMPUTED_VALUE"""),427.0)</f>
        <v>427</v>
      </c>
      <c r="AZ220" s="177">
        <f>IFERROR(__xludf.DUMMYFUNCTION("""COMPUTED_VALUE"""),433.3)</f>
        <v>433.3</v>
      </c>
      <c r="BA220" s="177">
        <f>IFERROR(__xludf.DUMMYFUNCTION("""COMPUTED_VALUE"""),426.5)</f>
        <v>426.5</v>
      </c>
      <c r="BB220" s="177">
        <f>IFERROR(__xludf.DUMMYFUNCTION("""COMPUTED_VALUE"""),427.2)</f>
        <v>427.2</v>
      </c>
      <c r="BC220" s="177">
        <f>IFERROR(__xludf.DUMMYFUNCTION("""COMPUTED_VALUE"""),1.222714E7)</f>
        <v>12227140</v>
      </c>
      <c r="BD220" s="177">
        <f t="shared" si="5"/>
        <v>-0.00850771404</v>
      </c>
      <c r="BE220" s="177"/>
      <c r="BF220" s="177"/>
      <c r="BG220" s="189"/>
      <c r="BH220" s="140"/>
      <c r="BI220" s="140"/>
      <c r="BJ220" s="140"/>
      <c r="BK220" s="140"/>
      <c r="BL220" s="140"/>
      <c r="BM220" s="140"/>
      <c r="BN220" s="140"/>
      <c r="BO220" s="140"/>
      <c r="BP220" s="140"/>
      <c r="BQ220" s="140"/>
      <c r="BR220" s="140"/>
      <c r="BS220" s="140"/>
      <c r="BT220" s="140"/>
      <c r="BU220" s="140"/>
      <c r="BV220" s="140"/>
      <c r="BW220" s="140"/>
      <c r="BX220" s="140"/>
      <c r="BY220" s="140"/>
    </row>
    <row r="221" ht="15.75" customHeight="1">
      <c r="A221" s="168"/>
      <c r="B221" s="169">
        <v>45699.0</v>
      </c>
      <c r="C221" s="170">
        <v>8176.12</v>
      </c>
      <c r="D221" s="170">
        <v>8282.12</v>
      </c>
      <c r="E221" s="170">
        <v>8036.78</v>
      </c>
      <c r="F221" s="170">
        <v>8084.12</v>
      </c>
      <c r="G221" s="171" t="s">
        <v>238</v>
      </c>
      <c r="H221" s="172">
        <f t="shared" si="1"/>
        <v>-0.01148728259</v>
      </c>
      <c r="I221" s="172"/>
      <c r="J221" s="172"/>
      <c r="K221" s="188"/>
      <c r="L221" s="140"/>
      <c r="M221" s="140"/>
      <c r="N221" s="176">
        <f>IFERROR(__xludf.DUMMYFUNCTION("""COMPUTED_VALUE"""),45699.64583333333)</f>
        <v>45699.64583</v>
      </c>
      <c r="O221" s="177">
        <f>IFERROR(__xludf.DUMMYFUNCTION("""COMPUTED_VALUE"""),1255.85)</f>
        <v>1255.85</v>
      </c>
      <c r="P221" s="177">
        <f>IFERROR(__xludf.DUMMYFUNCTION("""COMPUTED_VALUE"""),1261.85)</f>
        <v>1261.85</v>
      </c>
      <c r="Q221" s="177">
        <f>IFERROR(__xludf.DUMMYFUNCTION("""COMPUTED_VALUE"""),1248.4)</f>
        <v>1248.4</v>
      </c>
      <c r="R221" s="177">
        <f>IFERROR(__xludf.DUMMYFUNCTION("""COMPUTED_VALUE"""),1252.75)</f>
        <v>1252.75</v>
      </c>
      <c r="S221" s="177">
        <f>IFERROR(__xludf.DUMMYFUNCTION("""COMPUTED_VALUE"""),6586627.0)</f>
        <v>6586627</v>
      </c>
      <c r="T221" s="177">
        <f t="shared" si="2"/>
        <v>-0.007831952094</v>
      </c>
      <c r="U221" s="178"/>
      <c r="V221" s="177"/>
      <c r="W221" s="189"/>
      <c r="X221" s="140"/>
      <c r="Y221" s="140"/>
      <c r="Z221" s="176">
        <f>IFERROR(__xludf.DUMMYFUNCTION("""COMPUTED_VALUE"""),45699.64583333333)</f>
        <v>45699.64583</v>
      </c>
      <c r="AA221" s="177">
        <f>IFERROR(__xludf.DUMMYFUNCTION("""COMPUTED_VALUE"""),353.25)</f>
        <v>353.25</v>
      </c>
      <c r="AB221" s="177">
        <f>IFERROR(__xludf.DUMMYFUNCTION("""COMPUTED_VALUE"""),354.45)</f>
        <v>354.45</v>
      </c>
      <c r="AC221" s="177">
        <f>IFERROR(__xludf.DUMMYFUNCTION("""COMPUTED_VALUE"""),344.5)</f>
        <v>344.5</v>
      </c>
      <c r="AD221" s="177">
        <f>IFERROR(__xludf.DUMMYFUNCTION("""COMPUTED_VALUE"""),348.2)</f>
        <v>348.2</v>
      </c>
      <c r="AE221" s="177">
        <f>IFERROR(__xludf.DUMMYFUNCTION("""COMPUTED_VALUE"""),4574371.0)</f>
        <v>4574371</v>
      </c>
      <c r="AF221" s="177">
        <f t="shared" si="3"/>
        <v>-0.01099618363</v>
      </c>
      <c r="AG221" s="177"/>
      <c r="AH221" s="177"/>
      <c r="AI221" s="189"/>
      <c r="AJ221" s="140"/>
      <c r="AK221" s="140"/>
      <c r="AL221" s="176">
        <f>IFERROR(__xludf.DUMMYFUNCTION("""COMPUTED_VALUE"""),45699.64583333333)</f>
        <v>45699.64583</v>
      </c>
      <c r="AM221" s="177">
        <f>IFERROR(__xludf.DUMMYFUNCTION("""COMPUTED_VALUE"""),3794.0)</f>
        <v>3794</v>
      </c>
      <c r="AN221" s="177">
        <f>IFERROR(__xludf.DUMMYFUNCTION("""COMPUTED_VALUE"""),3794.85)</f>
        <v>3794.85</v>
      </c>
      <c r="AO221" s="177">
        <f>IFERROR(__xludf.DUMMYFUNCTION("""COMPUTED_VALUE"""),3617.15)</f>
        <v>3617.15</v>
      </c>
      <c r="AP221" s="177">
        <f>IFERROR(__xludf.DUMMYFUNCTION("""COMPUTED_VALUE"""),3649.45)</f>
        <v>3649.45</v>
      </c>
      <c r="AQ221" s="177">
        <f>IFERROR(__xludf.DUMMYFUNCTION("""COMPUTED_VALUE"""),1551384.0)</f>
        <v>1551384</v>
      </c>
      <c r="AR221" s="177">
        <f t="shared" si="4"/>
        <v>-0.0369052519</v>
      </c>
      <c r="AS221" s="177"/>
      <c r="AT221" s="177"/>
      <c r="AU221" s="189"/>
      <c r="AV221" s="140"/>
      <c r="AW221" s="140"/>
      <c r="AX221" s="176">
        <f>IFERROR(__xludf.DUMMYFUNCTION("""COMPUTED_VALUE"""),45699.64583333333)</f>
        <v>45699.64583</v>
      </c>
      <c r="AY221" s="177">
        <f>IFERROR(__xludf.DUMMYFUNCTION("""COMPUTED_VALUE"""),428.8)</f>
        <v>428.8</v>
      </c>
      <c r="AZ221" s="177">
        <f>IFERROR(__xludf.DUMMYFUNCTION("""COMPUTED_VALUE"""),430.55)</f>
        <v>430.55</v>
      </c>
      <c r="BA221" s="177">
        <f>IFERROR(__xludf.DUMMYFUNCTION("""COMPUTED_VALUE"""),417.5)</f>
        <v>417.5</v>
      </c>
      <c r="BB221" s="177">
        <f>IFERROR(__xludf.DUMMYFUNCTION("""COMPUTED_VALUE"""),418.3)</f>
        <v>418.3</v>
      </c>
      <c r="BC221" s="177">
        <f>IFERROR(__xludf.DUMMYFUNCTION("""COMPUTED_VALUE"""),1.4288751E7)</f>
        <v>14288751</v>
      </c>
      <c r="BD221" s="177">
        <f t="shared" si="5"/>
        <v>-0.0210534092</v>
      </c>
      <c r="BE221" s="177"/>
      <c r="BF221" s="177"/>
      <c r="BG221" s="189"/>
      <c r="BH221" s="140"/>
      <c r="BI221" s="140"/>
      <c r="BJ221" s="140"/>
      <c r="BK221" s="140"/>
      <c r="BL221" s="140"/>
      <c r="BM221" s="140"/>
      <c r="BN221" s="140"/>
      <c r="BO221" s="140"/>
      <c r="BP221" s="140"/>
      <c r="BQ221" s="140"/>
      <c r="BR221" s="140"/>
      <c r="BS221" s="140"/>
      <c r="BT221" s="140"/>
      <c r="BU221" s="140"/>
      <c r="BV221" s="140"/>
      <c r="BW221" s="140"/>
      <c r="BX221" s="140"/>
      <c r="BY221" s="140"/>
    </row>
    <row r="222" ht="15.75" customHeight="1">
      <c r="A222" s="168"/>
      <c r="B222" s="169">
        <v>45700.0</v>
      </c>
      <c r="C222" s="170">
        <v>8087.12</v>
      </c>
      <c r="D222" s="170">
        <v>8129.12</v>
      </c>
      <c r="E222" s="170">
        <v>8000.78</v>
      </c>
      <c r="F222" s="170">
        <v>8113.52</v>
      </c>
      <c r="G222" s="171" t="s">
        <v>238</v>
      </c>
      <c r="H222" s="172">
        <f t="shared" si="1"/>
        <v>0.003630162454</v>
      </c>
      <c r="I222" s="172"/>
      <c r="J222" s="172"/>
      <c r="K222" s="188"/>
      <c r="L222" s="140"/>
      <c r="M222" s="140"/>
      <c r="N222" s="176">
        <f>IFERROR(__xludf.DUMMYFUNCTION("""COMPUTED_VALUE"""),45700.64583333333)</f>
        <v>45700.64583</v>
      </c>
      <c r="O222" s="177">
        <f>IFERROR(__xludf.DUMMYFUNCTION("""COMPUTED_VALUE"""),1257.2)</f>
        <v>1257.2</v>
      </c>
      <c r="P222" s="177">
        <f>IFERROR(__xludf.DUMMYFUNCTION("""COMPUTED_VALUE"""),1269.75)</f>
        <v>1269.75</v>
      </c>
      <c r="Q222" s="177">
        <f>IFERROR(__xludf.DUMMYFUNCTION("""COMPUTED_VALUE"""),1244.65)</f>
        <v>1244.65</v>
      </c>
      <c r="R222" s="177">
        <f>IFERROR(__xludf.DUMMYFUNCTION("""COMPUTED_VALUE"""),1251.8)</f>
        <v>1251.8</v>
      </c>
      <c r="S222" s="177">
        <f>IFERROR(__xludf.DUMMYFUNCTION("""COMPUTED_VALUE"""),8809352.0)</f>
        <v>8809352</v>
      </c>
      <c r="T222" s="177">
        <f t="shared" si="2"/>
        <v>-0.0007586193492</v>
      </c>
      <c r="U222" s="178"/>
      <c r="V222" s="177"/>
      <c r="W222" s="189"/>
      <c r="X222" s="140"/>
      <c r="Y222" s="140"/>
      <c r="Z222" s="176">
        <f>IFERROR(__xludf.DUMMYFUNCTION("""COMPUTED_VALUE"""),45700.64583333333)</f>
        <v>45700.64583</v>
      </c>
      <c r="AA222" s="177">
        <f>IFERROR(__xludf.DUMMYFUNCTION("""COMPUTED_VALUE"""),349.0)</f>
        <v>349</v>
      </c>
      <c r="AB222" s="177">
        <f>IFERROR(__xludf.DUMMYFUNCTION("""COMPUTED_VALUE"""),350.75)</f>
        <v>350.75</v>
      </c>
      <c r="AC222" s="177">
        <f>IFERROR(__xludf.DUMMYFUNCTION("""COMPUTED_VALUE"""),332.15)</f>
        <v>332.15</v>
      </c>
      <c r="AD222" s="177">
        <f>IFERROR(__xludf.DUMMYFUNCTION("""COMPUTED_VALUE"""),347.4)</f>
        <v>347.4</v>
      </c>
      <c r="AE222" s="177">
        <f>IFERROR(__xludf.DUMMYFUNCTION("""COMPUTED_VALUE"""),7020361.0)</f>
        <v>7020361</v>
      </c>
      <c r="AF222" s="177">
        <f t="shared" si="3"/>
        <v>-0.002300173527</v>
      </c>
      <c r="AG222" s="177"/>
      <c r="AH222" s="177"/>
      <c r="AI222" s="189"/>
      <c r="AJ222" s="140"/>
      <c r="AK222" s="140"/>
      <c r="AL222" s="176">
        <f>IFERROR(__xludf.DUMMYFUNCTION("""COMPUTED_VALUE"""),45700.64583333333)</f>
        <v>45700.64583</v>
      </c>
      <c r="AM222" s="177">
        <f>IFERROR(__xludf.DUMMYFUNCTION("""COMPUTED_VALUE"""),3639.05)</f>
        <v>3639.05</v>
      </c>
      <c r="AN222" s="177">
        <f>IFERROR(__xludf.DUMMYFUNCTION("""COMPUTED_VALUE"""),3658.55)</f>
        <v>3658.55</v>
      </c>
      <c r="AO222" s="177">
        <f>IFERROR(__xludf.DUMMYFUNCTION("""COMPUTED_VALUE"""),3470.05)</f>
        <v>3470.05</v>
      </c>
      <c r="AP222" s="177">
        <f>IFERROR(__xludf.DUMMYFUNCTION("""COMPUTED_VALUE"""),3594.15)</f>
        <v>3594.15</v>
      </c>
      <c r="AQ222" s="177">
        <f>IFERROR(__xludf.DUMMYFUNCTION("""COMPUTED_VALUE"""),3099846.0)</f>
        <v>3099846</v>
      </c>
      <c r="AR222" s="177">
        <f t="shared" si="4"/>
        <v>-0.01526894759</v>
      </c>
      <c r="AS222" s="177"/>
      <c r="AT222" s="177"/>
      <c r="AU222" s="189"/>
      <c r="AV222" s="140"/>
      <c r="AW222" s="140"/>
      <c r="AX222" s="176">
        <f>IFERROR(__xludf.DUMMYFUNCTION("""COMPUTED_VALUE"""),45700.64583333333)</f>
        <v>45700.64583</v>
      </c>
      <c r="AY222" s="177">
        <f>IFERROR(__xludf.DUMMYFUNCTION("""COMPUTED_VALUE"""),413.15)</f>
        <v>413.15</v>
      </c>
      <c r="AZ222" s="177">
        <f>IFERROR(__xludf.DUMMYFUNCTION("""COMPUTED_VALUE"""),413.8)</f>
        <v>413.8</v>
      </c>
      <c r="BA222" s="177">
        <f>IFERROR(__xludf.DUMMYFUNCTION("""COMPUTED_VALUE"""),407.6)</f>
        <v>407.6</v>
      </c>
      <c r="BB222" s="177">
        <f>IFERROR(__xludf.DUMMYFUNCTION("""COMPUTED_VALUE"""),409.9)</f>
        <v>409.9</v>
      </c>
      <c r="BC222" s="177">
        <f>IFERROR(__xludf.DUMMYFUNCTION("""COMPUTED_VALUE"""),1.3884574E7)</f>
        <v>13884574</v>
      </c>
      <c r="BD222" s="177">
        <f t="shared" si="5"/>
        <v>-0.02028565094</v>
      </c>
      <c r="BE222" s="177"/>
      <c r="BF222" s="177"/>
      <c r="BG222" s="189"/>
      <c r="BH222" s="140"/>
      <c r="BI222" s="140"/>
      <c r="BJ222" s="140"/>
      <c r="BK222" s="140"/>
      <c r="BL222" s="140"/>
      <c r="BM222" s="140"/>
      <c r="BN222" s="140"/>
      <c r="BO222" s="140"/>
      <c r="BP222" s="140"/>
      <c r="BQ222" s="140"/>
      <c r="BR222" s="140"/>
      <c r="BS222" s="140"/>
      <c r="BT222" s="140"/>
      <c r="BU222" s="140"/>
      <c r="BV222" s="140"/>
      <c r="BW222" s="140"/>
      <c r="BX222" s="140"/>
      <c r="BY222" s="140"/>
    </row>
    <row r="223" ht="15.75" customHeight="1">
      <c r="A223" s="168"/>
      <c r="B223" s="169">
        <v>45701.0</v>
      </c>
      <c r="C223" s="170">
        <v>8114.78</v>
      </c>
      <c r="D223" s="170">
        <v>8171.12</v>
      </c>
      <c r="E223" s="170">
        <v>8103.12</v>
      </c>
      <c r="F223" s="170">
        <v>8159.12</v>
      </c>
      <c r="G223" s="171" t="s">
        <v>238</v>
      </c>
      <c r="H223" s="172">
        <f t="shared" si="1"/>
        <v>0.005604514001</v>
      </c>
      <c r="I223" s="172"/>
      <c r="J223" s="172"/>
      <c r="K223" s="188"/>
      <c r="L223" s="140"/>
      <c r="M223" s="140"/>
      <c r="N223" s="176">
        <f>IFERROR(__xludf.DUMMYFUNCTION("""COMPUTED_VALUE"""),45701.64583333333)</f>
        <v>45701.64583</v>
      </c>
      <c r="O223" s="177">
        <f>IFERROR(__xludf.DUMMYFUNCTION("""COMPUTED_VALUE"""),1252.55)</f>
        <v>1252.55</v>
      </c>
      <c r="P223" s="177">
        <f>IFERROR(__xludf.DUMMYFUNCTION("""COMPUTED_VALUE"""),1266.0)</f>
        <v>1266</v>
      </c>
      <c r="Q223" s="177">
        <f>IFERROR(__xludf.DUMMYFUNCTION("""COMPUTED_VALUE"""),1245.9)</f>
        <v>1245.9</v>
      </c>
      <c r="R223" s="177">
        <f>IFERROR(__xludf.DUMMYFUNCTION("""COMPUTED_VALUE"""),1248.9)</f>
        <v>1248.9</v>
      </c>
      <c r="S223" s="177">
        <f>IFERROR(__xludf.DUMMYFUNCTION("""COMPUTED_VALUE"""),7263785.0)</f>
        <v>7263785</v>
      </c>
      <c r="T223" s="177">
        <f t="shared" si="2"/>
        <v>-0.002319351622</v>
      </c>
      <c r="U223" s="178"/>
      <c r="V223" s="177"/>
      <c r="W223" s="189"/>
      <c r="X223" s="140"/>
      <c r="Y223" s="140"/>
      <c r="Z223" s="176">
        <f>IFERROR(__xludf.DUMMYFUNCTION("""COMPUTED_VALUE"""),45701.64583333333)</f>
        <v>45701.64583</v>
      </c>
      <c r="AA223" s="177">
        <f>IFERROR(__xludf.DUMMYFUNCTION("""COMPUTED_VALUE"""),347.05)</f>
        <v>347.05</v>
      </c>
      <c r="AB223" s="177">
        <f>IFERROR(__xludf.DUMMYFUNCTION("""COMPUTED_VALUE"""),356.8)</f>
        <v>356.8</v>
      </c>
      <c r="AC223" s="177">
        <f>IFERROR(__xludf.DUMMYFUNCTION("""COMPUTED_VALUE"""),343.45)</f>
        <v>343.45</v>
      </c>
      <c r="AD223" s="177">
        <f>IFERROR(__xludf.DUMMYFUNCTION("""COMPUTED_VALUE"""),348.75)</f>
        <v>348.75</v>
      </c>
      <c r="AE223" s="177">
        <f>IFERROR(__xludf.DUMMYFUNCTION("""COMPUTED_VALUE"""),4427505.0)</f>
        <v>4427505</v>
      </c>
      <c r="AF223" s="177">
        <f t="shared" si="3"/>
        <v>0.003878479329</v>
      </c>
      <c r="AG223" s="177"/>
      <c r="AH223" s="177"/>
      <c r="AI223" s="189"/>
      <c r="AJ223" s="140"/>
      <c r="AK223" s="140"/>
      <c r="AL223" s="176">
        <f>IFERROR(__xludf.DUMMYFUNCTION("""COMPUTED_VALUE"""),45701.64583333333)</f>
        <v>45701.64583</v>
      </c>
      <c r="AM223" s="177">
        <f>IFERROR(__xludf.DUMMYFUNCTION("""COMPUTED_VALUE"""),3615.0)</f>
        <v>3615</v>
      </c>
      <c r="AN223" s="177">
        <f>IFERROR(__xludf.DUMMYFUNCTION("""COMPUTED_VALUE"""),3731.5)</f>
        <v>3731.5</v>
      </c>
      <c r="AO223" s="177">
        <f>IFERROR(__xludf.DUMMYFUNCTION("""COMPUTED_VALUE"""),3611.05)</f>
        <v>3611.05</v>
      </c>
      <c r="AP223" s="177">
        <f>IFERROR(__xludf.DUMMYFUNCTION("""COMPUTED_VALUE"""),3660.3)</f>
        <v>3660.3</v>
      </c>
      <c r="AQ223" s="177">
        <f>IFERROR(__xludf.DUMMYFUNCTION("""COMPUTED_VALUE"""),2224171.0)</f>
        <v>2224171</v>
      </c>
      <c r="AR223" s="177">
        <f t="shared" si="4"/>
        <v>0.01823758755</v>
      </c>
      <c r="AS223" s="177"/>
      <c r="AT223" s="177"/>
      <c r="AU223" s="189"/>
      <c r="AV223" s="140"/>
      <c r="AW223" s="140"/>
      <c r="AX223" s="176">
        <f>IFERROR(__xludf.DUMMYFUNCTION("""COMPUTED_VALUE"""),45701.64583333333)</f>
        <v>45701.64583</v>
      </c>
      <c r="AY223" s="177">
        <f>IFERROR(__xludf.DUMMYFUNCTION("""COMPUTED_VALUE"""),409.95)</f>
        <v>409.95</v>
      </c>
      <c r="AZ223" s="177">
        <f>IFERROR(__xludf.DUMMYFUNCTION("""COMPUTED_VALUE"""),413.95)</f>
        <v>413.95</v>
      </c>
      <c r="BA223" s="177">
        <f>IFERROR(__xludf.DUMMYFUNCTION("""COMPUTED_VALUE"""),409.0)</f>
        <v>409</v>
      </c>
      <c r="BB223" s="177">
        <f>IFERROR(__xludf.DUMMYFUNCTION("""COMPUTED_VALUE"""),409.7)</f>
        <v>409.7</v>
      </c>
      <c r="BC223" s="177">
        <f>IFERROR(__xludf.DUMMYFUNCTION("""COMPUTED_VALUE"""),1.2989029E7)</f>
        <v>12989029</v>
      </c>
      <c r="BD223" s="177">
        <f t="shared" si="5"/>
        <v>-0.0004880429575</v>
      </c>
      <c r="BE223" s="177"/>
      <c r="BF223" s="177"/>
      <c r="BG223" s="189"/>
      <c r="BH223" s="140"/>
      <c r="BI223" s="140"/>
      <c r="BJ223" s="140"/>
      <c r="BK223" s="140"/>
      <c r="BL223" s="140"/>
      <c r="BM223" s="140"/>
      <c r="BN223" s="140"/>
      <c r="BO223" s="140"/>
      <c r="BP223" s="140"/>
      <c r="BQ223" s="140"/>
      <c r="BR223" s="140"/>
      <c r="BS223" s="140"/>
      <c r="BT223" s="140"/>
      <c r="BU223" s="140"/>
      <c r="BV223" s="140"/>
      <c r="BW223" s="140"/>
      <c r="BX223" s="140"/>
      <c r="BY223" s="140"/>
    </row>
    <row r="224" ht="15.75" customHeight="1">
      <c r="A224" s="168"/>
      <c r="B224" s="169">
        <v>45702.0</v>
      </c>
      <c r="C224" s="170">
        <v>8161.12</v>
      </c>
      <c r="D224" s="170">
        <v>8208.78</v>
      </c>
      <c r="E224" s="170">
        <v>8012.78</v>
      </c>
      <c r="F224" s="170">
        <v>8029.12</v>
      </c>
      <c r="G224" s="171" t="s">
        <v>238</v>
      </c>
      <c r="H224" s="172">
        <f t="shared" si="1"/>
        <v>-0.01606138711</v>
      </c>
      <c r="I224" s="172"/>
      <c r="J224" s="172"/>
      <c r="K224" s="188"/>
      <c r="L224" s="140"/>
      <c r="M224" s="140"/>
      <c r="N224" s="176">
        <f>IFERROR(__xludf.DUMMYFUNCTION("""COMPUTED_VALUE"""),45702.64583333333)</f>
        <v>45702.64583</v>
      </c>
      <c r="O224" s="177">
        <f>IFERROR(__xludf.DUMMYFUNCTION("""COMPUTED_VALUE"""),1252.1)</f>
        <v>1252.1</v>
      </c>
      <c r="P224" s="177">
        <f>IFERROR(__xludf.DUMMYFUNCTION("""COMPUTED_VALUE"""),1263.5)</f>
        <v>1263.5</v>
      </c>
      <c r="Q224" s="177">
        <f>IFERROR(__xludf.DUMMYFUNCTION("""COMPUTED_VALUE"""),1244.45)</f>
        <v>1244.45</v>
      </c>
      <c r="R224" s="177">
        <f>IFERROR(__xludf.DUMMYFUNCTION("""COMPUTED_VALUE"""),1260.1)</f>
        <v>1260.1</v>
      </c>
      <c r="S224" s="177">
        <f>IFERROR(__xludf.DUMMYFUNCTION("""COMPUTED_VALUE"""),1.0368438E7)</f>
        <v>10368438</v>
      </c>
      <c r="T224" s="177">
        <f t="shared" si="2"/>
        <v>0.008927919007</v>
      </c>
      <c r="U224" s="178"/>
      <c r="V224" s="177"/>
      <c r="W224" s="189"/>
      <c r="X224" s="140"/>
      <c r="Y224" s="140"/>
      <c r="Z224" s="176">
        <f>IFERROR(__xludf.DUMMYFUNCTION("""COMPUTED_VALUE"""),45702.64583333333)</f>
        <v>45702.64583</v>
      </c>
      <c r="AA224" s="177">
        <f>IFERROR(__xludf.DUMMYFUNCTION("""COMPUTED_VALUE"""),350.15)</f>
        <v>350.15</v>
      </c>
      <c r="AB224" s="177">
        <f>IFERROR(__xludf.DUMMYFUNCTION("""COMPUTED_VALUE"""),350.4)</f>
        <v>350.4</v>
      </c>
      <c r="AC224" s="177">
        <f>IFERROR(__xludf.DUMMYFUNCTION("""COMPUTED_VALUE"""),329.6)</f>
        <v>329.6</v>
      </c>
      <c r="AD224" s="177">
        <f>IFERROR(__xludf.DUMMYFUNCTION("""COMPUTED_VALUE"""),335.5)</f>
        <v>335.5</v>
      </c>
      <c r="AE224" s="177">
        <f>IFERROR(__xludf.DUMMYFUNCTION("""COMPUTED_VALUE"""),3742431.0)</f>
        <v>3742431</v>
      </c>
      <c r="AF224" s="177">
        <f t="shared" si="3"/>
        <v>-0.03873337672</v>
      </c>
      <c r="AG224" s="177"/>
      <c r="AH224" s="177"/>
      <c r="AI224" s="189"/>
      <c r="AJ224" s="140"/>
      <c r="AK224" s="140"/>
      <c r="AL224" s="176">
        <f>IFERROR(__xludf.DUMMYFUNCTION("""COMPUTED_VALUE"""),45702.64583333333)</f>
        <v>45702.64583</v>
      </c>
      <c r="AM224" s="177">
        <f>IFERROR(__xludf.DUMMYFUNCTION("""COMPUTED_VALUE"""),3700.0)</f>
        <v>3700</v>
      </c>
      <c r="AN224" s="177">
        <f>IFERROR(__xludf.DUMMYFUNCTION("""COMPUTED_VALUE"""),3717.9)</f>
        <v>3717.9</v>
      </c>
      <c r="AO224" s="177">
        <f>IFERROR(__xludf.DUMMYFUNCTION("""COMPUTED_VALUE"""),3480.9)</f>
        <v>3480.9</v>
      </c>
      <c r="AP224" s="177">
        <f>IFERROR(__xludf.DUMMYFUNCTION("""COMPUTED_VALUE"""),3513.7)</f>
        <v>3513.7</v>
      </c>
      <c r="AQ224" s="177">
        <f>IFERROR(__xludf.DUMMYFUNCTION("""COMPUTED_VALUE"""),2355500.0)</f>
        <v>2355500</v>
      </c>
      <c r="AR224" s="177">
        <f t="shared" si="4"/>
        <v>-0.04087549794</v>
      </c>
      <c r="AS224" s="177"/>
      <c r="AT224" s="177"/>
      <c r="AU224" s="189"/>
      <c r="AV224" s="140"/>
      <c r="AW224" s="140"/>
      <c r="AX224" s="176">
        <f>IFERROR(__xludf.DUMMYFUNCTION("""COMPUTED_VALUE"""),45702.64583333333)</f>
        <v>45702.64583</v>
      </c>
      <c r="AY224" s="177">
        <f>IFERROR(__xludf.DUMMYFUNCTION("""COMPUTED_VALUE"""),411.75)</f>
        <v>411.75</v>
      </c>
      <c r="AZ224" s="177">
        <f>IFERROR(__xludf.DUMMYFUNCTION("""COMPUTED_VALUE"""),416.2)</f>
        <v>416.2</v>
      </c>
      <c r="BA224" s="177">
        <f>IFERROR(__xludf.DUMMYFUNCTION("""COMPUTED_VALUE"""),408.4)</f>
        <v>408.4</v>
      </c>
      <c r="BB224" s="177">
        <f>IFERROR(__xludf.DUMMYFUNCTION("""COMPUTED_VALUE"""),410.25)</f>
        <v>410.25</v>
      </c>
      <c r="BC224" s="177">
        <f>IFERROR(__xludf.DUMMYFUNCTION("""COMPUTED_VALUE"""),1.4124236E7)</f>
        <v>14124236</v>
      </c>
      <c r="BD224" s="177">
        <f t="shared" si="5"/>
        <v>0.001341545417</v>
      </c>
      <c r="BE224" s="177"/>
      <c r="BF224" s="177"/>
      <c r="BG224" s="189"/>
      <c r="BH224" s="140"/>
      <c r="BI224" s="140"/>
      <c r="BJ224" s="140"/>
      <c r="BK224" s="140"/>
      <c r="BL224" s="140"/>
      <c r="BM224" s="140"/>
      <c r="BN224" s="140"/>
      <c r="BO224" s="140"/>
      <c r="BP224" s="140"/>
      <c r="BQ224" s="140"/>
      <c r="BR224" s="140"/>
      <c r="BS224" s="140"/>
      <c r="BT224" s="140"/>
      <c r="BU224" s="140"/>
      <c r="BV224" s="140"/>
      <c r="BW224" s="140"/>
      <c r="BX224" s="140"/>
      <c r="BY224" s="140"/>
    </row>
    <row r="225" ht="15.75" customHeight="1">
      <c r="A225" s="168"/>
      <c r="B225" s="169">
        <v>45705.0</v>
      </c>
      <c r="C225" s="170">
        <v>8031.12</v>
      </c>
      <c r="D225" s="170">
        <v>8118.78</v>
      </c>
      <c r="E225" s="170">
        <v>8017.12</v>
      </c>
      <c r="F225" s="170">
        <v>8087.12</v>
      </c>
      <c r="G225" s="171" t="s">
        <v>238</v>
      </c>
      <c r="H225" s="172">
        <f t="shared" si="1"/>
        <v>0.007197739721</v>
      </c>
      <c r="I225" s="172"/>
      <c r="J225" s="172"/>
      <c r="K225" s="188"/>
      <c r="L225" s="140"/>
      <c r="M225" s="140"/>
      <c r="N225" s="176">
        <f>IFERROR(__xludf.DUMMYFUNCTION("""COMPUTED_VALUE"""),45705.64583333333)</f>
        <v>45705.64583</v>
      </c>
      <c r="O225" s="177">
        <f>IFERROR(__xludf.DUMMYFUNCTION("""COMPUTED_VALUE"""),1251.15)</f>
        <v>1251.15</v>
      </c>
      <c r="P225" s="177">
        <f>IFERROR(__xludf.DUMMYFUNCTION("""COMPUTED_VALUE"""),1258.15)</f>
        <v>1258.15</v>
      </c>
      <c r="Q225" s="177">
        <f>IFERROR(__xludf.DUMMYFUNCTION("""COMPUTED_VALUE"""),1233.25)</f>
        <v>1233.25</v>
      </c>
      <c r="R225" s="177">
        <f>IFERROR(__xludf.DUMMYFUNCTION("""COMPUTED_VALUE"""),1251.15)</f>
        <v>1251.15</v>
      </c>
      <c r="S225" s="177">
        <f>IFERROR(__xludf.DUMMYFUNCTION("""COMPUTED_VALUE"""),8386151.0)</f>
        <v>8386151</v>
      </c>
      <c r="T225" s="177">
        <f t="shared" si="2"/>
        <v>-0.00712795452</v>
      </c>
      <c r="U225" s="178"/>
      <c r="V225" s="177"/>
      <c r="W225" s="189"/>
      <c r="X225" s="140"/>
      <c r="Y225" s="140"/>
      <c r="Z225" s="176">
        <f>IFERROR(__xludf.DUMMYFUNCTION("""COMPUTED_VALUE"""),45705.64583333333)</f>
        <v>45705.64583</v>
      </c>
      <c r="AA225" s="177">
        <f>IFERROR(__xludf.DUMMYFUNCTION("""COMPUTED_VALUE"""),334.25)</f>
        <v>334.25</v>
      </c>
      <c r="AB225" s="177">
        <f>IFERROR(__xludf.DUMMYFUNCTION("""COMPUTED_VALUE"""),340.4)</f>
        <v>340.4</v>
      </c>
      <c r="AC225" s="177">
        <f>IFERROR(__xludf.DUMMYFUNCTION("""COMPUTED_VALUE"""),326.75)</f>
        <v>326.75</v>
      </c>
      <c r="AD225" s="177">
        <f>IFERROR(__xludf.DUMMYFUNCTION("""COMPUTED_VALUE"""),339.3)</f>
        <v>339.3</v>
      </c>
      <c r="AE225" s="177">
        <f>IFERROR(__xludf.DUMMYFUNCTION("""COMPUTED_VALUE"""),4162964.0)</f>
        <v>4162964</v>
      </c>
      <c r="AF225" s="177">
        <f t="shared" si="3"/>
        <v>0.01126271538</v>
      </c>
      <c r="AG225" s="177"/>
      <c r="AH225" s="177"/>
      <c r="AI225" s="189"/>
      <c r="AJ225" s="140"/>
      <c r="AK225" s="140"/>
      <c r="AL225" s="176">
        <f>IFERROR(__xludf.DUMMYFUNCTION("""COMPUTED_VALUE"""),45705.64583333333)</f>
        <v>45705.64583</v>
      </c>
      <c r="AM225" s="177">
        <f>IFERROR(__xludf.DUMMYFUNCTION("""COMPUTED_VALUE"""),3489.0)</f>
        <v>3489</v>
      </c>
      <c r="AN225" s="177">
        <f>IFERROR(__xludf.DUMMYFUNCTION("""COMPUTED_VALUE"""),3549.95)</f>
        <v>3549.95</v>
      </c>
      <c r="AO225" s="177">
        <f>IFERROR(__xludf.DUMMYFUNCTION("""COMPUTED_VALUE"""),3395.0)</f>
        <v>3395</v>
      </c>
      <c r="AP225" s="177">
        <f>IFERROR(__xludf.DUMMYFUNCTION("""COMPUTED_VALUE"""),3475.7)</f>
        <v>3475.7</v>
      </c>
      <c r="AQ225" s="177">
        <f>IFERROR(__xludf.DUMMYFUNCTION("""COMPUTED_VALUE"""),1606401.0)</f>
        <v>1606401</v>
      </c>
      <c r="AR225" s="177">
        <f t="shared" si="4"/>
        <v>-0.01087371575</v>
      </c>
      <c r="AS225" s="177"/>
      <c r="AT225" s="177"/>
      <c r="AU225" s="189"/>
      <c r="AV225" s="140"/>
      <c r="AW225" s="140"/>
      <c r="AX225" s="176">
        <f>IFERROR(__xludf.DUMMYFUNCTION("""COMPUTED_VALUE"""),45705.64583333333)</f>
        <v>45705.64583</v>
      </c>
      <c r="AY225" s="177">
        <f>IFERROR(__xludf.DUMMYFUNCTION("""COMPUTED_VALUE"""),409.8)</f>
        <v>409.8</v>
      </c>
      <c r="AZ225" s="177">
        <f>IFERROR(__xludf.DUMMYFUNCTION("""COMPUTED_VALUE"""),411.4)</f>
        <v>411.4</v>
      </c>
      <c r="BA225" s="177">
        <f>IFERROR(__xludf.DUMMYFUNCTION("""COMPUTED_VALUE"""),406.75)</f>
        <v>406.75</v>
      </c>
      <c r="BB225" s="177">
        <f>IFERROR(__xludf.DUMMYFUNCTION("""COMPUTED_VALUE"""),408.6)</f>
        <v>408.6</v>
      </c>
      <c r="BC225" s="177">
        <f>IFERROR(__xludf.DUMMYFUNCTION("""COMPUTED_VALUE"""),1.1975265E7)</f>
        <v>11975265</v>
      </c>
      <c r="BD225" s="177">
        <f t="shared" si="5"/>
        <v>-0.004030047587</v>
      </c>
      <c r="BE225" s="177"/>
      <c r="BF225" s="177"/>
      <c r="BG225" s="189"/>
      <c r="BH225" s="140"/>
      <c r="BI225" s="140"/>
      <c r="BJ225" s="140"/>
      <c r="BK225" s="140"/>
      <c r="BL225" s="140"/>
      <c r="BM225" s="140"/>
      <c r="BN225" s="140"/>
      <c r="BO225" s="140"/>
      <c r="BP225" s="140"/>
      <c r="BQ225" s="140"/>
      <c r="BR225" s="140"/>
      <c r="BS225" s="140"/>
      <c r="BT225" s="140"/>
      <c r="BU225" s="140"/>
      <c r="BV225" s="140"/>
      <c r="BW225" s="140"/>
      <c r="BX225" s="140"/>
      <c r="BY225" s="140"/>
    </row>
    <row r="226" ht="15.75" customHeight="1">
      <c r="A226" s="168"/>
      <c r="B226" s="169">
        <v>45706.0</v>
      </c>
      <c r="C226" s="170">
        <v>8092.78</v>
      </c>
      <c r="D226" s="170">
        <v>8206.12</v>
      </c>
      <c r="E226" s="170">
        <v>8078.12</v>
      </c>
      <c r="F226" s="170">
        <v>8196.12</v>
      </c>
      <c r="G226" s="171" t="s">
        <v>238</v>
      </c>
      <c r="H226" s="172">
        <f t="shared" si="1"/>
        <v>0.01338819892</v>
      </c>
      <c r="I226" s="172"/>
      <c r="J226" s="172"/>
      <c r="K226" s="188"/>
      <c r="L226" s="140"/>
      <c r="M226" s="140"/>
      <c r="N226" s="176">
        <f>IFERROR(__xludf.DUMMYFUNCTION("""COMPUTED_VALUE"""),45706.64583333333)</f>
        <v>45706.64583</v>
      </c>
      <c r="O226" s="177">
        <f>IFERROR(__xludf.DUMMYFUNCTION("""COMPUTED_VALUE"""),1252.9)</f>
        <v>1252.9</v>
      </c>
      <c r="P226" s="177">
        <f>IFERROR(__xludf.DUMMYFUNCTION("""COMPUTED_VALUE"""),1257.6)</f>
        <v>1257.6</v>
      </c>
      <c r="Q226" s="177">
        <f>IFERROR(__xludf.DUMMYFUNCTION("""COMPUTED_VALUE"""),1237.05)</f>
        <v>1237.05</v>
      </c>
      <c r="R226" s="177">
        <f>IFERROR(__xludf.DUMMYFUNCTION("""COMPUTED_VALUE"""),1243.05)</f>
        <v>1243.05</v>
      </c>
      <c r="S226" s="177">
        <f>IFERROR(__xludf.DUMMYFUNCTION("""COMPUTED_VALUE"""),8135042.0)</f>
        <v>8135042</v>
      </c>
      <c r="T226" s="177">
        <f t="shared" si="2"/>
        <v>-0.006495091393</v>
      </c>
      <c r="U226" s="178"/>
      <c r="V226" s="177"/>
      <c r="W226" s="189"/>
      <c r="X226" s="140"/>
      <c r="Y226" s="140"/>
      <c r="Z226" s="176">
        <f>IFERROR(__xludf.DUMMYFUNCTION("""COMPUTED_VALUE"""),45706.64583333333)</f>
        <v>45706.64583</v>
      </c>
      <c r="AA226" s="177">
        <f>IFERROR(__xludf.DUMMYFUNCTION("""COMPUTED_VALUE"""),339.3)</f>
        <v>339.3</v>
      </c>
      <c r="AB226" s="177">
        <f>IFERROR(__xludf.DUMMYFUNCTION("""COMPUTED_VALUE"""),340.1)</f>
        <v>340.1</v>
      </c>
      <c r="AC226" s="177">
        <f>IFERROR(__xludf.DUMMYFUNCTION("""COMPUTED_VALUE"""),329.05)</f>
        <v>329.05</v>
      </c>
      <c r="AD226" s="177">
        <f>IFERROR(__xludf.DUMMYFUNCTION("""COMPUTED_VALUE"""),337.05)</f>
        <v>337.05</v>
      </c>
      <c r="AE226" s="177">
        <f>IFERROR(__xludf.DUMMYFUNCTION("""COMPUTED_VALUE"""),2976715.0)</f>
        <v>2976715</v>
      </c>
      <c r="AF226" s="177">
        <f t="shared" si="3"/>
        <v>-0.006653384491</v>
      </c>
      <c r="AG226" s="177"/>
      <c r="AH226" s="177"/>
      <c r="AI226" s="189"/>
      <c r="AJ226" s="140"/>
      <c r="AK226" s="140"/>
      <c r="AL226" s="176">
        <f>IFERROR(__xludf.DUMMYFUNCTION("""COMPUTED_VALUE"""),45706.64583333333)</f>
        <v>45706.64583</v>
      </c>
      <c r="AM226" s="177">
        <f>IFERROR(__xludf.DUMMYFUNCTION("""COMPUTED_VALUE"""),3475.7)</f>
        <v>3475.7</v>
      </c>
      <c r="AN226" s="177">
        <f>IFERROR(__xludf.DUMMYFUNCTION("""COMPUTED_VALUE"""),3499.9)</f>
        <v>3499.9</v>
      </c>
      <c r="AO226" s="177">
        <f>IFERROR(__xludf.DUMMYFUNCTION("""COMPUTED_VALUE"""),3303.0)</f>
        <v>3303</v>
      </c>
      <c r="AP226" s="177">
        <f>IFERROR(__xludf.DUMMYFUNCTION("""COMPUTED_VALUE"""),3344.6)</f>
        <v>3344.6</v>
      </c>
      <c r="AQ226" s="177">
        <f>IFERROR(__xludf.DUMMYFUNCTION("""COMPUTED_VALUE"""),2310841.0)</f>
        <v>2310841</v>
      </c>
      <c r="AR226" s="177">
        <f t="shared" si="4"/>
        <v>-0.03844879261</v>
      </c>
      <c r="AS226" s="177"/>
      <c r="AT226" s="177"/>
      <c r="AU226" s="189"/>
      <c r="AV226" s="140"/>
      <c r="AW226" s="140"/>
      <c r="AX226" s="176">
        <f>IFERROR(__xludf.DUMMYFUNCTION("""COMPUTED_VALUE"""),45706.64583333333)</f>
        <v>45706.64583</v>
      </c>
      <c r="AY226" s="177">
        <f>IFERROR(__xludf.DUMMYFUNCTION("""COMPUTED_VALUE"""),408.0)</f>
        <v>408</v>
      </c>
      <c r="AZ226" s="177">
        <f>IFERROR(__xludf.DUMMYFUNCTION("""COMPUTED_VALUE"""),410.85)</f>
        <v>410.85</v>
      </c>
      <c r="BA226" s="177">
        <f>IFERROR(__xludf.DUMMYFUNCTION("""COMPUTED_VALUE"""),404.0)</f>
        <v>404</v>
      </c>
      <c r="BB226" s="177">
        <f>IFERROR(__xludf.DUMMYFUNCTION("""COMPUTED_VALUE"""),405.25)</f>
        <v>405.25</v>
      </c>
      <c r="BC226" s="177">
        <f>IFERROR(__xludf.DUMMYFUNCTION("""COMPUTED_VALUE"""),1.2998403E7)</f>
        <v>12998403</v>
      </c>
      <c r="BD226" s="177">
        <f t="shared" si="5"/>
        <v>-0.008232521768</v>
      </c>
      <c r="BE226" s="177"/>
      <c r="BF226" s="177"/>
      <c r="BG226" s="189"/>
      <c r="BH226" s="140"/>
      <c r="BI226" s="140"/>
      <c r="BJ226" s="140"/>
      <c r="BK226" s="140"/>
      <c r="BL226" s="140"/>
      <c r="BM226" s="140"/>
      <c r="BN226" s="140"/>
      <c r="BO226" s="140"/>
      <c r="BP226" s="140"/>
      <c r="BQ226" s="140"/>
      <c r="BR226" s="140"/>
      <c r="BS226" s="140"/>
      <c r="BT226" s="140"/>
      <c r="BU226" s="140"/>
      <c r="BV226" s="140"/>
      <c r="BW226" s="140"/>
      <c r="BX226" s="140"/>
      <c r="BY226" s="140"/>
    </row>
    <row r="227" ht="15.75" customHeight="1">
      <c r="A227" s="168"/>
      <c r="B227" s="169">
        <v>45707.0</v>
      </c>
      <c r="C227" s="170">
        <v>8199.12</v>
      </c>
      <c r="D227" s="170">
        <v>8231.12</v>
      </c>
      <c r="E227" s="170">
        <v>8153.12</v>
      </c>
      <c r="F227" s="170">
        <v>8193.12</v>
      </c>
      <c r="G227" s="171" t="s">
        <v>238</v>
      </c>
      <c r="H227" s="172">
        <f t="shared" si="1"/>
        <v>-0.0003660938559</v>
      </c>
      <c r="I227" s="172"/>
      <c r="J227" s="172"/>
      <c r="K227" s="188"/>
      <c r="L227" s="140"/>
      <c r="M227" s="140"/>
      <c r="N227" s="176">
        <f>IFERROR(__xludf.DUMMYFUNCTION("""COMPUTED_VALUE"""),45707.64583333333)</f>
        <v>45707.64583</v>
      </c>
      <c r="O227" s="177">
        <f>IFERROR(__xludf.DUMMYFUNCTION("""COMPUTED_VALUE"""),1234.85)</f>
        <v>1234.85</v>
      </c>
      <c r="P227" s="177">
        <f>IFERROR(__xludf.DUMMYFUNCTION("""COMPUTED_VALUE"""),1264.45)</f>
        <v>1264.45</v>
      </c>
      <c r="Q227" s="177">
        <f>IFERROR(__xludf.DUMMYFUNCTION("""COMPUTED_VALUE"""),1230.25)</f>
        <v>1230.25</v>
      </c>
      <c r="R227" s="177">
        <f>IFERROR(__xludf.DUMMYFUNCTION("""COMPUTED_VALUE"""),1261.65)</f>
        <v>1261.65</v>
      </c>
      <c r="S227" s="177">
        <f>IFERROR(__xludf.DUMMYFUNCTION("""COMPUTED_VALUE"""),1.0683412E7)</f>
        <v>10683412</v>
      </c>
      <c r="T227" s="177">
        <f t="shared" si="2"/>
        <v>0.01485235111</v>
      </c>
      <c r="U227" s="178"/>
      <c r="V227" s="177"/>
      <c r="W227" s="189"/>
      <c r="X227" s="140"/>
      <c r="Y227" s="140"/>
      <c r="Z227" s="176">
        <f>IFERROR(__xludf.DUMMYFUNCTION("""COMPUTED_VALUE"""),45707.64583333333)</f>
        <v>45707.64583</v>
      </c>
      <c r="AA227" s="177">
        <f>IFERROR(__xludf.DUMMYFUNCTION("""COMPUTED_VALUE"""),334.6)</f>
        <v>334.6</v>
      </c>
      <c r="AB227" s="177">
        <f>IFERROR(__xludf.DUMMYFUNCTION("""COMPUTED_VALUE"""),344.25)</f>
        <v>344.25</v>
      </c>
      <c r="AC227" s="177">
        <f>IFERROR(__xludf.DUMMYFUNCTION("""COMPUTED_VALUE"""),329.95)</f>
        <v>329.95</v>
      </c>
      <c r="AD227" s="177">
        <f>IFERROR(__xludf.DUMMYFUNCTION("""COMPUTED_VALUE"""),341.4)</f>
        <v>341.4</v>
      </c>
      <c r="AE227" s="177">
        <f>IFERROR(__xludf.DUMMYFUNCTION("""COMPUTED_VALUE"""),7010165.0)</f>
        <v>7010165</v>
      </c>
      <c r="AF227" s="177">
        <f t="shared" si="3"/>
        <v>0.01282352306</v>
      </c>
      <c r="AG227" s="177"/>
      <c r="AH227" s="177"/>
      <c r="AI227" s="189"/>
      <c r="AJ227" s="140"/>
      <c r="AK227" s="140"/>
      <c r="AL227" s="176">
        <f>IFERROR(__xludf.DUMMYFUNCTION("""COMPUTED_VALUE"""),45707.64583333333)</f>
        <v>45707.64583</v>
      </c>
      <c r="AM227" s="177">
        <f>IFERROR(__xludf.DUMMYFUNCTION("""COMPUTED_VALUE"""),3303.0)</f>
        <v>3303</v>
      </c>
      <c r="AN227" s="177">
        <f>IFERROR(__xludf.DUMMYFUNCTION("""COMPUTED_VALUE"""),3431.9)</f>
        <v>3431.9</v>
      </c>
      <c r="AO227" s="177">
        <f>IFERROR(__xludf.DUMMYFUNCTION("""COMPUTED_VALUE"""),3275.15)</f>
        <v>3275.15</v>
      </c>
      <c r="AP227" s="177">
        <f>IFERROR(__xludf.DUMMYFUNCTION("""COMPUTED_VALUE"""),3363.75)</f>
        <v>3363.75</v>
      </c>
      <c r="AQ227" s="177">
        <f>IFERROR(__xludf.DUMMYFUNCTION("""COMPUTED_VALUE"""),2689414.0)</f>
        <v>2689414</v>
      </c>
      <c r="AR227" s="177">
        <f t="shared" si="4"/>
        <v>0.005709318094</v>
      </c>
      <c r="AS227" s="177"/>
      <c r="AT227" s="177"/>
      <c r="AU227" s="189"/>
      <c r="AV227" s="140"/>
      <c r="AW227" s="140"/>
      <c r="AX227" s="176">
        <f>IFERROR(__xludf.DUMMYFUNCTION("""COMPUTED_VALUE"""),45707.64583333333)</f>
        <v>45707.64583</v>
      </c>
      <c r="AY227" s="177">
        <f>IFERROR(__xludf.DUMMYFUNCTION("""COMPUTED_VALUE"""),404.8)</f>
        <v>404.8</v>
      </c>
      <c r="AZ227" s="177">
        <f>IFERROR(__xludf.DUMMYFUNCTION("""COMPUTED_VALUE"""),408.8)</f>
        <v>408.8</v>
      </c>
      <c r="BA227" s="177">
        <f>IFERROR(__xludf.DUMMYFUNCTION("""COMPUTED_VALUE"""),404.5)</f>
        <v>404.5</v>
      </c>
      <c r="BB227" s="177">
        <f>IFERROR(__xludf.DUMMYFUNCTION("""COMPUTED_VALUE"""),406.4)</f>
        <v>406.4</v>
      </c>
      <c r="BC227" s="177">
        <f>IFERROR(__xludf.DUMMYFUNCTION("""COMPUTED_VALUE"""),7079032.0)</f>
        <v>7079032</v>
      </c>
      <c r="BD227" s="177">
        <f t="shared" si="5"/>
        <v>0.002833735648</v>
      </c>
      <c r="BE227" s="177"/>
      <c r="BF227" s="177"/>
      <c r="BG227" s="189"/>
      <c r="BH227" s="140"/>
      <c r="BI227" s="140"/>
      <c r="BJ227" s="140"/>
      <c r="BK227" s="140"/>
      <c r="BL227" s="140"/>
      <c r="BM227" s="140"/>
      <c r="BN227" s="140"/>
      <c r="BO227" s="140"/>
      <c r="BP227" s="140"/>
      <c r="BQ227" s="140"/>
      <c r="BR227" s="140"/>
      <c r="BS227" s="140"/>
      <c r="BT227" s="140"/>
      <c r="BU227" s="140"/>
      <c r="BV227" s="140"/>
      <c r="BW227" s="140"/>
      <c r="BX227" s="140"/>
      <c r="BY227" s="140"/>
    </row>
    <row r="228" ht="15.75" customHeight="1">
      <c r="A228" s="168"/>
      <c r="B228" s="169">
        <v>45708.0</v>
      </c>
      <c r="C228" s="170">
        <v>8194.78</v>
      </c>
      <c r="D228" s="170">
        <v>8238.78</v>
      </c>
      <c r="E228" s="170">
        <v>8140.78</v>
      </c>
      <c r="F228" s="170">
        <v>8178.78</v>
      </c>
      <c r="G228" s="171" t="s">
        <v>238</v>
      </c>
      <c r="H228" s="172">
        <f t="shared" si="1"/>
        <v>-0.001751782465</v>
      </c>
      <c r="I228" s="172"/>
      <c r="J228" s="172"/>
      <c r="K228" s="188"/>
      <c r="L228" s="140"/>
      <c r="M228" s="140"/>
      <c r="N228" s="176">
        <f>IFERROR(__xludf.DUMMYFUNCTION("""COMPUTED_VALUE"""),45708.64583333333)</f>
        <v>45708.64583</v>
      </c>
      <c r="O228" s="177">
        <f>IFERROR(__xludf.DUMMYFUNCTION("""COMPUTED_VALUE"""),1255.35)</f>
        <v>1255.35</v>
      </c>
      <c r="P228" s="177">
        <f>IFERROR(__xludf.DUMMYFUNCTION("""COMPUTED_VALUE"""),1264.0)</f>
        <v>1264</v>
      </c>
      <c r="Q228" s="177">
        <f>IFERROR(__xludf.DUMMYFUNCTION("""COMPUTED_VALUE"""),1246.75)</f>
        <v>1246.75</v>
      </c>
      <c r="R228" s="177">
        <f>IFERROR(__xludf.DUMMYFUNCTION("""COMPUTED_VALUE"""),1249.95)</f>
        <v>1249.95</v>
      </c>
      <c r="S228" s="177">
        <f>IFERROR(__xludf.DUMMYFUNCTION("""COMPUTED_VALUE"""),8398849.0)</f>
        <v>8398849</v>
      </c>
      <c r="T228" s="177">
        <f t="shared" si="2"/>
        <v>-0.00931683758</v>
      </c>
      <c r="U228" s="178"/>
      <c r="V228" s="177"/>
      <c r="W228" s="189"/>
      <c r="X228" s="140"/>
      <c r="Y228" s="140"/>
      <c r="Z228" s="176">
        <f>IFERROR(__xludf.DUMMYFUNCTION("""COMPUTED_VALUE"""),45708.64583333333)</f>
        <v>45708.64583</v>
      </c>
      <c r="AA228" s="177">
        <f>IFERROR(__xludf.DUMMYFUNCTION("""COMPUTED_VALUE"""),337.05)</f>
        <v>337.05</v>
      </c>
      <c r="AB228" s="177">
        <f>IFERROR(__xludf.DUMMYFUNCTION("""COMPUTED_VALUE"""),344.5)</f>
        <v>344.5</v>
      </c>
      <c r="AC228" s="177">
        <f>IFERROR(__xludf.DUMMYFUNCTION("""COMPUTED_VALUE"""),336.05)</f>
        <v>336.05</v>
      </c>
      <c r="AD228" s="177">
        <f>IFERROR(__xludf.DUMMYFUNCTION("""COMPUTED_VALUE"""),341.1)</f>
        <v>341.1</v>
      </c>
      <c r="AE228" s="177">
        <f>IFERROR(__xludf.DUMMYFUNCTION("""COMPUTED_VALUE"""),3324577.0)</f>
        <v>3324577</v>
      </c>
      <c r="AF228" s="177">
        <f t="shared" si="3"/>
        <v>-0.0008791209357</v>
      </c>
      <c r="AG228" s="177"/>
      <c r="AH228" s="177"/>
      <c r="AI228" s="189"/>
      <c r="AJ228" s="140"/>
      <c r="AK228" s="140"/>
      <c r="AL228" s="176">
        <f>IFERROR(__xludf.DUMMYFUNCTION("""COMPUTED_VALUE"""),45708.64583333333)</f>
        <v>45708.64583</v>
      </c>
      <c r="AM228" s="177">
        <f>IFERROR(__xludf.DUMMYFUNCTION("""COMPUTED_VALUE"""),3355.0)</f>
        <v>3355</v>
      </c>
      <c r="AN228" s="177">
        <f>IFERROR(__xludf.DUMMYFUNCTION("""COMPUTED_VALUE"""),3424.0)</f>
        <v>3424</v>
      </c>
      <c r="AO228" s="177">
        <f>IFERROR(__xludf.DUMMYFUNCTION("""COMPUTED_VALUE"""),3320.5)</f>
        <v>3320.5</v>
      </c>
      <c r="AP228" s="177">
        <f>IFERROR(__xludf.DUMMYFUNCTION("""COMPUTED_VALUE"""),3408.55)</f>
        <v>3408.55</v>
      </c>
      <c r="AQ228" s="177">
        <f>IFERROR(__xludf.DUMMYFUNCTION("""COMPUTED_VALUE"""),1492723.0)</f>
        <v>1492723</v>
      </c>
      <c r="AR228" s="177">
        <f t="shared" si="4"/>
        <v>0.01323055786</v>
      </c>
      <c r="AS228" s="177"/>
      <c r="AT228" s="177"/>
      <c r="AU228" s="189"/>
      <c r="AV228" s="140"/>
      <c r="AW228" s="140"/>
      <c r="AX228" s="176">
        <f>IFERROR(__xludf.DUMMYFUNCTION("""COMPUTED_VALUE"""),45708.64583333333)</f>
        <v>45708.64583</v>
      </c>
      <c r="AY228" s="177">
        <f>IFERROR(__xludf.DUMMYFUNCTION("""COMPUTED_VALUE"""),399.95)</f>
        <v>399.95</v>
      </c>
      <c r="AZ228" s="177">
        <f>IFERROR(__xludf.DUMMYFUNCTION("""COMPUTED_VALUE"""),403.9)</f>
        <v>403.9</v>
      </c>
      <c r="BA228" s="177">
        <f>IFERROR(__xludf.DUMMYFUNCTION("""COMPUTED_VALUE"""),396.2)</f>
        <v>396.2</v>
      </c>
      <c r="BB228" s="177">
        <f>IFERROR(__xludf.DUMMYFUNCTION("""COMPUTED_VALUE"""),402.05)</f>
        <v>402.05</v>
      </c>
      <c r="BC228" s="177">
        <f>IFERROR(__xludf.DUMMYFUNCTION("""COMPUTED_VALUE"""),1.5355585E7)</f>
        <v>15355585</v>
      </c>
      <c r="BD228" s="177">
        <f t="shared" si="5"/>
        <v>-0.01076143727</v>
      </c>
      <c r="BE228" s="177"/>
      <c r="BF228" s="177"/>
      <c r="BG228" s="189"/>
      <c r="BH228" s="140"/>
      <c r="BI228" s="140"/>
      <c r="BJ228" s="140"/>
      <c r="BK228" s="140"/>
      <c r="BL228" s="140"/>
      <c r="BM228" s="140"/>
      <c r="BN228" s="140"/>
      <c r="BO228" s="140"/>
      <c r="BP228" s="140"/>
      <c r="BQ228" s="140"/>
      <c r="BR228" s="140"/>
      <c r="BS228" s="140"/>
      <c r="BT228" s="140"/>
      <c r="BU228" s="140"/>
      <c r="BV228" s="140"/>
      <c r="BW228" s="140"/>
      <c r="BX228" s="140"/>
      <c r="BY228" s="140"/>
    </row>
    <row r="229" ht="15.75" customHeight="1">
      <c r="A229" s="168"/>
      <c r="B229" s="169">
        <v>45709.0</v>
      </c>
      <c r="C229" s="170">
        <v>8182.12</v>
      </c>
      <c r="D229" s="170">
        <v>8204.78</v>
      </c>
      <c r="E229" s="170">
        <v>8131.12</v>
      </c>
      <c r="F229" s="170">
        <v>8171.12</v>
      </c>
      <c r="G229" s="171" t="s">
        <v>238</v>
      </c>
      <c r="H229" s="172">
        <f t="shared" si="1"/>
        <v>-0.0009370088576</v>
      </c>
      <c r="I229" s="172"/>
      <c r="J229" s="172"/>
      <c r="K229" s="188"/>
      <c r="L229" s="140"/>
      <c r="M229" s="140"/>
      <c r="N229" s="176">
        <f>IFERROR(__xludf.DUMMYFUNCTION("""COMPUTED_VALUE"""),45709.64583333333)</f>
        <v>45709.64583</v>
      </c>
      <c r="O229" s="177">
        <f>IFERROR(__xludf.DUMMYFUNCTION("""COMPUTED_VALUE"""),1241.1)</f>
        <v>1241.1</v>
      </c>
      <c r="P229" s="177">
        <f>IFERROR(__xludf.DUMMYFUNCTION("""COMPUTED_VALUE"""),1244.7)</f>
        <v>1244.7</v>
      </c>
      <c r="Q229" s="177">
        <f>IFERROR(__xludf.DUMMYFUNCTION("""COMPUTED_VALUE"""),1224.55)</f>
        <v>1224.55</v>
      </c>
      <c r="R229" s="177">
        <f>IFERROR(__xludf.DUMMYFUNCTION("""COMPUTED_VALUE"""),1232.95)</f>
        <v>1232.95</v>
      </c>
      <c r="S229" s="177">
        <f>IFERROR(__xludf.DUMMYFUNCTION("""COMPUTED_VALUE"""),7786428.0)</f>
        <v>7786428</v>
      </c>
      <c r="T229" s="177">
        <f t="shared" si="2"/>
        <v>-0.01369387865</v>
      </c>
      <c r="U229" s="178"/>
      <c r="V229" s="177"/>
      <c r="W229" s="189"/>
      <c r="X229" s="140"/>
      <c r="Y229" s="140"/>
      <c r="Z229" s="176">
        <f>IFERROR(__xludf.DUMMYFUNCTION("""COMPUTED_VALUE"""),45709.64583333333)</f>
        <v>45709.64583</v>
      </c>
      <c r="AA229" s="177">
        <f>IFERROR(__xludf.DUMMYFUNCTION("""COMPUTED_VALUE"""),339.0)</f>
        <v>339</v>
      </c>
      <c r="AB229" s="177">
        <f>IFERROR(__xludf.DUMMYFUNCTION("""COMPUTED_VALUE"""),340.95)</f>
        <v>340.95</v>
      </c>
      <c r="AC229" s="177">
        <f>IFERROR(__xludf.DUMMYFUNCTION("""COMPUTED_VALUE"""),331.5)</f>
        <v>331.5</v>
      </c>
      <c r="AD229" s="177">
        <f>IFERROR(__xludf.DUMMYFUNCTION("""COMPUTED_VALUE"""),336.4)</f>
        <v>336.4</v>
      </c>
      <c r="AE229" s="177">
        <f>IFERROR(__xludf.DUMMYFUNCTION("""COMPUTED_VALUE"""),7741976.0)</f>
        <v>7741976</v>
      </c>
      <c r="AF229" s="177">
        <f t="shared" si="3"/>
        <v>-0.01387476133</v>
      </c>
      <c r="AG229" s="177"/>
      <c r="AH229" s="177"/>
      <c r="AI229" s="189"/>
      <c r="AJ229" s="140"/>
      <c r="AK229" s="140"/>
      <c r="AL229" s="176">
        <f>IFERROR(__xludf.DUMMYFUNCTION("""COMPUTED_VALUE"""),45709.64583333333)</f>
        <v>45709.64583</v>
      </c>
      <c r="AM229" s="177">
        <f>IFERROR(__xludf.DUMMYFUNCTION("""COMPUTED_VALUE"""),3408.3)</f>
        <v>3408.3</v>
      </c>
      <c r="AN229" s="177">
        <f>IFERROR(__xludf.DUMMYFUNCTION("""COMPUTED_VALUE"""),3475.6)</f>
        <v>3475.6</v>
      </c>
      <c r="AO229" s="177">
        <f>IFERROR(__xludf.DUMMYFUNCTION("""COMPUTED_VALUE"""),3355.05)</f>
        <v>3355.05</v>
      </c>
      <c r="AP229" s="177">
        <f>IFERROR(__xludf.DUMMYFUNCTION("""COMPUTED_VALUE"""),3368.5)</f>
        <v>3368.5</v>
      </c>
      <c r="AQ229" s="177">
        <f>IFERROR(__xludf.DUMMYFUNCTION("""COMPUTED_VALUE"""),1456123.0)</f>
        <v>1456123</v>
      </c>
      <c r="AR229" s="177">
        <f t="shared" si="4"/>
        <v>-0.0118194395</v>
      </c>
      <c r="AS229" s="177"/>
      <c r="AT229" s="177"/>
      <c r="AU229" s="189"/>
      <c r="AV229" s="140"/>
      <c r="AW229" s="140"/>
      <c r="AX229" s="176">
        <f>IFERROR(__xludf.DUMMYFUNCTION("""COMPUTED_VALUE"""),45709.64583333333)</f>
        <v>45709.64583</v>
      </c>
      <c r="AY229" s="177">
        <f>IFERROR(__xludf.DUMMYFUNCTION("""COMPUTED_VALUE"""),402.05)</f>
        <v>402.05</v>
      </c>
      <c r="AZ229" s="177">
        <f>IFERROR(__xludf.DUMMYFUNCTION("""COMPUTED_VALUE"""),403.25)</f>
        <v>403.25</v>
      </c>
      <c r="BA229" s="177">
        <f>IFERROR(__xludf.DUMMYFUNCTION("""COMPUTED_VALUE"""),399.2)</f>
        <v>399.2</v>
      </c>
      <c r="BB229" s="177">
        <f>IFERROR(__xludf.DUMMYFUNCTION("""COMPUTED_VALUE"""),400.9)</f>
        <v>400.9</v>
      </c>
      <c r="BC229" s="177">
        <f>IFERROR(__xludf.DUMMYFUNCTION("""COMPUTED_VALUE"""),8240986.0)</f>
        <v>8240986</v>
      </c>
      <c r="BD229" s="177">
        <f t="shared" si="5"/>
        <v>-0.002864439346</v>
      </c>
      <c r="BE229" s="177"/>
      <c r="BF229" s="177"/>
      <c r="BG229" s="189"/>
      <c r="BH229" s="140"/>
      <c r="BI229" s="140"/>
      <c r="BJ229" s="140"/>
      <c r="BK229" s="140"/>
      <c r="BL229" s="140"/>
      <c r="BM229" s="140"/>
      <c r="BN229" s="140"/>
      <c r="BO229" s="140"/>
      <c r="BP229" s="140"/>
      <c r="BQ229" s="140"/>
      <c r="BR229" s="140"/>
      <c r="BS229" s="140"/>
      <c r="BT229" s="140"/>
      <c r="BU229" s="140"/>
      <c r="BV229" s="140"/>
      <c r="BW229" s="140"/>
      <c r="BX229" s="140"/>
      <c r="BY229" s="140"/>
    </row>
    <row r="230" ht="15.75" customHeight="1">
      <c r="A230" s="168"/>
      <c r="B230" s="169">
        <v>45712.0</v>
      </c>
      <c r="C230" s="170">
        <v>8175.12</v>
      </c>
      <c r="D230" s="170">
        <v>8242.78</v>
      </c>
      <c r="E230" s="170">
        <v>8136.78</v>
      </c>
      <c r="F230" s="170">
        <v>8226.78</v>
      </c>
      <c r="G230" s="171" t="s">
        <v>238</v>
      </c>
      <c r="H230" s="172">
        <f t="shared" si="1"/>
        <v>0.006788700232</v>
      </c>
      <c r="I230" s="172"/>
      <c r="J230" s="172"/>
      <c r="K230" s="188"/>
      <c r="L230" s="140"/>
      <c r="M230" s="140"/>
      <c r="N230" s="176">
        <f>IFERROR(__xludf.DUMMYFUNCTION("""COMPUTED_VALUE"""),45712.64583333333)</f>
        <v>45712.64583</v>
      </c>
      <c r="O230" s="177">
        <f>IFERROR(__xludf.DUMMYFUNCTION("""COMPUTED_VALUE"""),1226.7)</f>
        <v>1226.7</v>
      </c>
      <c r="P230" s="177">
        <f>IFERROR(__xludf.DUMMYFUNCTION("""COMPUTED_VALUE"""),1231.9)</f>
        <v>1231.9</v>
      </c>
      <c r="Q230" s="177">
        <f>IFERROR(__xludf.DUMMYFUNCTION("""COMPUTED_VALUE"""),1210.25)</f>
        <v>1210.25</v>
      </c>
      <c r="R230" s="177">
        <f>IFERROR(__xludf.DUMMYFUNCTION("""COMPUTED_VALUE"""),1218.35)</f>
        <v>1218.35</v>
      </c>
      <c r="S230" s="177">
        <f>IFERROR(__xludf.DUMMYFUNCTION("""COMPUTED_VALUE"""),1.152248E7)</f>
        <v>11522480</v>
      </c>
      <c r="T230" s="177">
        <f t="shared" si="2"/>
        <v>-0.01191218753</v>
      </c>
      <c r="U230" s="178"/>
      <c r="V230" s="177"/>
      <c r="W230" s="189"/>
      <c r="X230" s="140"/>
      <c r="Y230" s="140"/>
      <c r="Z230" s="176">
        <f>IFERROR(__xludf.DUMMYFUNCTION("""COMPUTED_VALUE"""),45712.64583333333)</f>
        <v>45712.64583</v>
      </c>
      <c r="AA230" s="177">
        <f>IFERROR(__xludf.DUMMYFUNCTION("""COMPUTED_VALUE"""),332.0)</f>
        <v>332</v>
      </c>
      <c r="AB230" s="177">
        <f>IFERROR(__xludf.DUMMYFUNCTION("""COMPUTED_VALUE"""),333.9)</f>
        <v>333.9</v>
      </c>
      <c r="AC230" s="177">
        <f>IFERROR(__xludf.DUMMYFUNCTION("""COMPUTED_VALUE"""),325.25)</f>
        <v>325.25</v>
      </c>
      <c r="AD230" s="177">
        <f>IFERROR(__xludf.DUMMYFUNCTION("""COMPUTED_VALUE"""),330.2)</f>
        <v>330.2</v>
      </c>
      <c r="AE230" s="177">
        <f>IFERROR(__xludf.DUMMYFUNCTION("""COMPUTED_VALUE"""),5605913.0)</f>
        <v>5605913</v>
      </c>
      <c r="AF230" s="177">
        <f t="shared" si="3"/>
        <v>-0.01860239661</v>
      </c>
      <c r="AG230" s="177"/>
      <c r="AH230" s="177"/>
      <c r="AI230" s="189"/>
      <c r="AJ230" s="140"/>
      <c r="AK230" s="140"/>
      <c r="AL230" s="176">
        <f>IFERROR(__xludf.DUMMYFUNCTION("""COMPUTED_VALUE"""),45712.64583333333)</f>
        <v>45712.64583</v>
      </c>
      <c r="AM230" s="177">
        <f>IFERROR(__xludf.DUMMYFUNCTION("""COMPUTED_VALUE"""),3350.0)</f>
        <v>3350</v>
      </c>
      <c r="AN230" s="177">
        <f>IFERROR(__xludf.DUMMYFUNCTION("""COMPUTED_VALUE"""),3357.95)</f>
        <v>3357.95</v>
      </c>
      <c r="AO230" s="177">
        <f>IFERROR(__xludf.DUMMYFUNCTION("""COMPUTED_VALUE"""),3294.05)</f>
        <v>3294.05</v>
      </c>
      <c r="AP230" s="177">
        <f>IFERROR(__xludf.DUMMYFUNCTION("""COMPUTED_VALUE"""),3350.4)</f>
        <v>3350.4</v>
      </c>
      <c r="AQ230" s="177">
        <f>IFERROR(__xludf.DUMMYFUNCTION("""COMPUTED_VALUE"""),1026035.0)</f>
        <v>1026035</v>
      </c>
      <c r="AR230" s="177">
        <f t="shared" si="4"/>
        <v>-0.005387799724</v>
      </c>
      <c r="AS230" s="177"/>
      <c r="AT230" s="177"/>
      <c r="AU230" s="189"/>
      <c r="AV230" s="140"/>
      <c r="AW230" s="140"/>
      <c r="AX230" s="176">
        <f>IFERROR(__xludf.DUMMYFUNCTION("""COMPUTED_VALUE"""),45712.64583333333)</f>
        <v>45712.64583</v>
      </c>
      <c r="AY230" s="177">
        <f>IFERROR(__xludf.DUMMYFUNCTION("""COMPUTED_VALUE"""),400.0)</f>
        <v>400</v>
      </c>
      <c r="AZ230" s="177">
        <f>IFERROR(__xludf.DUMMYFUNCTION("""COMPUTED_VALUE"""),403.4)</f>
        <v>403.4</v>
      </c>
      <c r="BA230" s="177">
        <f>IFERROR(__xludf.DUMMYFUNCTION("""COMPUTED_VALUE"""),398.75)</f>
        <v>398.75</v>
      </c>
      <c r="BB230" s="177">
        <f>IFERROR(__xludf.DUMMYFUNCTION("""COMPUTED_VALUE"""),401.9)</f>
        <v>401.9</v>
      </c>
      <c r="BC230" s="177">
        <f>IFERROR(__xludf.DUMMYFUNCTION("""COMPUTED_VALUE"""),7037625.0)</f>
        <v>7037625</v>
      </c>
      <c r="BD230" s="177">
        <f t="shared" si="5"/>
        <v>0.002491281807</v>
      </c>
      <c r="BE230" s="177"/>
      <c r="BF230" s="177"/>
      <c r="BG230" s="189"/>
      <c r="BH230" s="140"/>
      <c r="BI230" s="140"/>
      <c r="BJ230" s="140"/>
      <c r="BK230" s="140"/>
      <c r="BL230" s="140"/>
      <c r="BM230" s="140"/>
      <c r="BN230" s="140"/>
      <c r="BO230" s="140"/>
      <c r="BP230" s="140"/>
      <c r="BQ230" s="140"/>
      <c r="BR230" s="140"/>
      <c r="BS230" s="140"/>
      <c r="BT230" s="140"/>
      <c r="BU230" s="140"/>
      <c r="BV230" s="140"/>
      <c r="BW230" s="140"/>
      <c r="BX230" s="140"/>
      <c r="BY230" s="140"/>
    </row>
    <row r="231" ht="15.75" customHeight="1">
      <c r="A231" s="168"/>
      <c r="B231" s="169">
        <v>45713.0</v>
      </c>
      <c r="C231" s="170">
        <v>8228.12</v>
      </c>
      <c r="D231" s="170">
        <v>8253.12</v>
      </c>
      <c r="E231" s="170">
        <v>8091.52</v>
      </c>
      <c r="F231" s="170">
        <v>8161.12</v>
      </c>
      <c r="G231" s="171" t="s">
        <v>238</v>
      </c>
      <c r="H231" s="172">
        <f t="shared" si="1"/>
        <v>-0.008013272152</v>
      </c>
      <c r="I231" s="172"/>
      <c r="J231" s="172"/>
      <c r="K231" s="188"/>
      <c r="L231" s="140"/>
      <c r="M231" s="140"/>
      <c r="N231" s="176">
        <f>IFERROR(__xludf.DUMMYFUNCTION("""COMPUTED_VALUE"""),45713.64583333333)</f>
        <v>45713.64583</v>
      </c>
      <c r="O231" s="177">
        <f>IFERROR(__xludf.DUMMYFUNCTION("""COMPUTED_VALUE"""),1226.6)</f>
        <v>1226.6</v>
      </c>
      <c r="P231" s="177">
        <f>IFERROR(__xludf.DUMMYFUNCTION("""COMPUTED_VALUE"""),1231.65)</f>
        <v>1231.65</v>
      </c>
      <c r="Q231" s="177">
        <f>IFERROR(__xludf.DUMMYFUNCTION("""COMPUTED_VALUE"""),1221.0)</f>
        <v>1221</v>
      </c>
      <c r="R231" s="177">
        <f>IFERROR(__xludf.DUMMYFUNCTION("""COMPUTED_VALUE"""),1224.15)</f>
        <v>1224.15</v>
      </c>
      <c r="S231" s="177">
        <f>IFERROR(__xludf.DUMMYFUNCTION("""COMPUTED_VALUE"""),1.1059417E7)</f>
        <v>11059417</v>
      </c>
      <c r="T231" s="177">
        <f t="shared" si="2"/>
        <v>0.004749241271</v>
      </c>
      <c r="U231" s="178"/>
      <c r="V231" s="177"/>
      <c r="W231" s="189"/>
      <c r="X231" s="140"/>
      <c r="Y231" s="140"/>
      <c r="Z231" s="176">
        <f>IFERROR(__xludf.DUMMYFUNCTION("""COMPUTED_VALUE"""),45713.64583333333)</f>
        <v>45713.64583</v>
      </c>
      <c r="AA231" s="177">
        <f>IFERROR(__xludf.DUMMYFUNCTION("""COMPUTED_VALUE"""),330.5)</f>
        <v>330.5</v>
      </c>
      <c r="AB231" s="177">
        <f>IFERROR(__xludf.DUMMYFUNCTION("""COMPUTED_VALUE"""),336.95)</f>
        <v>336.95</v>
      </c>
      <c r="AC231" s="177">
        <f>IFERROR(__xludf.DUMMYFUNCTION("""COMPUTED_VALUE"""),329.6)</f>
        <v>329.6</v>
      </c>
      <c r="AD231" s="177">
        <f>IFERROR(__xludf.DUMMYFUNCTION("""COMPUTED_VALUE"""),331.6)</f>
        <v>331.6</v>
      </c>
      <c r="AE231" s="177">
        <f>IFERROR(__xludf.DUMMYFUNCTION("""COMPUTED_VALUE"""),4709750.0)</f>
        <v>4709750</v>
      </c>
      <c r="AF231" s="177">
        <f t="shared" si="3"/>
        <v>0.004230891775</v>
      </c>
      <c r="AG231" s="177"/>
      <c r="AH231" s="177"/>
      <c r="AI231" s="189"/>
      <c r="AJ231" s="140"/>
      <c r="AK231" s="140"/>
      <c r="AL231" s="176">
        <f>IFERROR(__xludf.DUMMYFUNCTION("""COMPUTED_VALUE"""),45713.64583333333)</f>
        <v>45713.64583</v>
      </c>
      <c r="AM231" s="177">
        <f>IFERROR(__xludf.DUMMYFUNCTION("""COMPUTED_VALUE"""),3350.5)</f>
        <v>3350.5</v>
      </c>
      <c r="AN231" s="177">
        <f>IFERROR(__xludf.DUMMYFUNCTION("""COMPUTED_VALUE"""),3377.05)</f>
        <v>3377.05</v>
      </c>
      <c r="AO231" s="177">
        <f>IFERROR(__xludf.DUMMYFUNCTION("""COMPUTED_VALUE"""),3270.0)</f>
        <v>3270</v>
      </c>
      <c r="AP231" s="177">
        <f>IFERROR(__xludf.DUMMYFUNCTION("""COMPUTED_VALUE"""),3287.4)</f>
        <v>3287.4</v>
      </c>
      <c r="AQ231" s="177">
        <f>IFERROR(__xludf.DUMMYFUNCTION("""COMPUTED_VALUE"""),1135200.0)</f>
        <v>1135200</v>
      </c>
      <c r="AR231" s="177">
        <f t="shared" si="4"/>
        <v>-0.0189827629</v>
      </c>
      <c r="AS231" s="177"/>
      <c r="AT231" s="177"/>
      <c r="AU231" s="189"/>
      <c r="AV231" s="140"/>
      <c r="AW231" s="140"/>
      <c r="AX231" s="176">
        <f>IFERROR(__xludf.DUMMYFUNCTION("""COMPUTED_VALUE"""),45713.64583333333)</f>
        <v>45713.64583</v>
      </c>
      <c r="AY231" s="177">
        <f>IFERROR(__xludf.DUMMYFUNCTION("""COMPUTED_VALUE"""),402.0)</f>
        <v>402</v>
      </c>
      <c r="AZ231" s="177">
        <f>IFERROR(__xludf.DUMMYFUNCTION("""COMPUTED_VALUE"""),407.0)</f>
        <v>407</v>
      </c>
      <c r="BA231" s="177">
        <f>IFERROR(__xludf.DUMMYFUNCTION("""COMPUTED_VALUE"""),400.5)</f>
        <v>400.5</v>
      </c>
      <c r="BB231" s="177">
        <f>IFERROR(__xludf.DUMMYFUNCTION("""COMPUTED_VALUE"""),404.85)</f>
        <v>404.85</v>
      </c>
      <c r="BC231" s="177">
        <f>IFERROR(__xludf.DUMMYFUNCTION("""COMPUTED_VALUE"""),1.5760891E7)</f>
        <v>15760891</v>
      </c>
      <c r="BD231" s="177">
        <f t="shared" si="5"/>
        <v>0.007313326677</v>
      </c>
      <c r="BE231" s="177"/>
      <c r="BF231" s="177"/>
      <c r="BG231" s="189"/>
      <c r="BH231" s="140"/>
      <c r="BI231" s="140"/>
      <c r="BJ231" s="140"/>
      <c r="BK231" s="140"/>
      <c r="BL231" s="140"/>
      <c r="BM231" s="140"/>
      <c r="BN231" s="140"/>
      <c r="BO231" s="140"/>
      <c r="BP231" s="140"/>
      <c r="BQ231" s="140"/>
      <c r="BR231" s="140"/>
      <c r="BS231" s="140"/>
      <c r="BT231" s="140"/>
      <c r="BU231" s="140"/>
      <c r="BV231" s="140"/>
      <c r="BW231" s="140"/>
      <c r="BX231" s="140"/>
      <c r="BY231" s="140"/>
    </row>
    <row r="232" ht="15.75" customHeight="1">
      <c r="A232" s="168"/>
      <c r="B232" s="169">
        <v>45715.0</v>
      </c>
      <c r="C232" s="170">
        <v>8170.78</v>
      </c>
      <c r="D232" s="170">
        <v>8183.12</v>
      </c>
      <c r="E232" s="170">
        <v>8053.52</v>
      </c>
      <c r="F232" s="170">
        <v>8075.12</v>
      </c>
      <c r="G232" s="171" t="s">
        <v>238</v>
      </c>
      <c r="H232" s="172">
        <f t="shared" si="1"/>
        <v>-0.01059368478</v>
      </c>
      <c r="I232" s="172"/>
      <c r="J232" s="172"/>
      <c r="K232" s="188"/>
      <c r="L232" s="140"/>
      <c r="M232" s="140"/>
      <c r="N232" s="176">
        <f>IFERROR(__xludf.DUMMYFUNCTION("""COMPUTED_VALUE"""),45715.64583333333)</f>
        <v>45715.64583</v>
      </c>
      <c r="O232" s="177">
        <f>IFERROR(__xludf.DUMMYFUNCTION("""COMPUTED_VALUE"""),1225.15)</f>
        <v>1225.15</v>
      </c>
      <c r="P232" s="177">
        <f>IFERROR(__xludf.DUMMYFUNCTION("""COMPUTED_VALUE"""),1234.85)</f>
        <v>1234.85</v>
      </c>
      <c r="Q232" s="177">
        <f>IFERROR(__xludf.DUMMYFUNCTION("""COMPUTED_VALUE"""),1218.45)</f>
        <v>1218.45</v>
      </c>
      <c r="R232" s="177">
        <f>IFERROR(__xludf.DUMMYFUNCTION("""COMPUTED_VALUE"""),1222.45)</f>
        <v>1222.45</v>
      </c>
      <c r="S232" s="177">
        <f>IFERROR(__xludf.DUMMYFUNCTION("""COMPUTED_VALUE"""),1.2008162E7)</f>
        <v>12008162</v>
      </c>
      <c r="T232" s="177">
        <f t="shared" si="2"/>
        <v>-0.001389683866</v>
      </c>
      <c r="U232" s="178"/>
      <c r="V232" s="177"/>
      <c r="W232" s="189"/>
      <c r="X232" s="140"/>
      <c r="Y232" s="140"/>
      <c r="Z232" s="176">
        <f>IFERROR(__xludf.DUMMYFUNCTION("""COMPUTED_VALUE"""),45715.64583333333)</f>
        <v>45715.64583</v>
      </c>
      <c r="AA232" s="177">
        <f>IFERROR(__xludf.DUMMYFUNCTION("""COMPUTED_VALUE"""),331.65)</f>
        <v>331.65</v>
      </c>
      <c r="AB232" s="177">
        <f>IFERROR(__xludf.DUMMYFUNCTION("""COMPUTED_VALUE"""),339.9)</f>
        <v>339.9</v>
      </c>
      <c r="AC232" s="177">
        <f>IFERROR(__xludf.DUMMYFUNCTION("""COMPUTED_VALUE"""),329.5)</f>
        <v>329.5</v>
      </c>
      <c r="AD232" s="177">
        <f>IFERROR(__xludf.DUMMYFUNCTION("""COMPUTED_VALUE"""),338.25)</f>
        <v>338.25</v>
      </c>
      <c r="AE232" s="177">
        <f>IFERROR(__xludf.DUMMYFUNCTION("""COMPUTED_VALUE"""),8675643.0)</f>
        <v>8675643</v>
      </c>
      <c r="AF232" s="177">
        <f t="shared" si="3"/>
        <v>0.01985584379</v>
      </c>
      <c r="AG232" s="177"/>
      <c r="AH232" s="177"/>
      <c r="AI232" s="189"/>
      <c r="AJ232" s="140"/>
      <c r="AK232" s="140"/>
      <c r="AL232" s="176">
        <f>IFERROR(__xludf.DUMMYFUNCTION("""COMPUTED_VALUE"""),45715.64583333333)</f>
        <v>45715.64583</v>
      </c>
      <c r="AM232" s="177">
        <f>IFERROR(__xludf.DUMMYFUNCTION("""COMPUTED_VALUE"""),3300.0)</f>
        <v>3300</v>
      </c>
      <c r="AN232" s="177">
        <f>IFERROR(__xludf.DUMMYFUNCTION("""COMPUTED_VALUE"""),3316.7)</f>
        <v>3316.7</v>
      </c>
      <c r="AO232" s="177">
        <f>IFERROR(__xludf.DUMMYFUNCTION("""COMPUTED_VALUE"""),3230.0)</f>
        <v>3230</v>
      </c>
      <c r="AP232" s="177">
        <f>IFERROR(__xludf.DUMMYFUNCTION("""COMPUTED_VALUE"""),3242.65)</f>
        <v>3242.65</v>
      </c>
      <c r="AQ232" s="177">
        <f>IFERROR(__xludf.DUMMYFUNCTION("""COMPUTED_VALUE"""),1573040.0)</f>
        <v>1573040</v>
      </c>
      <c r="AR232" s="177">
        <f t="shared" si="4"/>
        <v>-0.01370608205</v>
      </c>
      <c r="AS232" s="177"/>
      <c r="AT232" s="177"/>
      <c r="AU232" s="189"/>
      <c r="AV232" s="140"/>
      <c r="AW232" s="140"/>
      <c r="AX232" s="176">
        <f>IFERROR(__xludf.DUMMYFUNCTION("""COMPUTED_VALUE"""),45715.64583333333)</f>
        <v>45715.64583</v>
      </c>
      <c r="AY232" s="177">
        <f>IFERROR(__xludf.DUMMYFUNCTION("""COMPUTED_VALUE"""),404.85)</f>
        <v>404.85</v>
      </c>
      <c r="AZ232" s="177">
        <f>IFERROR(__xludf.DUMMYFUNCTION("""COMPUTED_VALUE"""),406.5)</f>
        <v>406.5</v>
      </c>
      <c r="BA232" s="177">
        <f>IFERROR(__xludf.DUMMYFUNCTION("""COMPUTED_VALUE"""),399.5)</f>
        <v>399.5</v>
      </c>
      <c r="BB232" s="177">
        <f>IFERROR(__xludf.DUMMYFUNCTION("""COMPUTED_VALUE"""),401.6)</f>
        <v>401.6</v>
      </c>
      <c r="BC232" s="177">
        <f>IFERROR(__xludf.DUMMYFUNCTION("""COMPUTED_VALUE"""),1.9051003E7)</f>
        <v>19051003</v>
      </c>
      <c r="BD232" s="177">
        <f t="shared" si="5"/>
        <v>-0.008060059755</v>
      </c>
      <c r="BE232" s="177"/>
      <c r="BF232" s="177"/>
      <c r="BG232" s="189"/>
      <c r="BH232" s="140"/>
      <c r="BI232" s="140"/>
      <c r="BJ232" s="140"/>
      <c r="BK232" s="140"/>
      <c r="BL232" s="140"/>
      <c r="BM232" s="140"/>
      <c r="BN232" s="140"/>
      <c r="BO232" s="140"/>
      <c r="BP232" s="140"/>
      <c r="BQ232" s="140"/>
      <c r="BR232" s="140"/>
      <c r="BS232" s="140"/>
      <c r="BT232" s="140"/>
      <c r="BU232" s="140"/>
      <c r="BV232" s="140"/>
      <c r="BW232" s="140"/>
      <c r="BX232" s="140"/>
      <c r="BY232" s="140"/>
    </row>
    <row r="233" ht="15.75" customHeight="1">
      <c r="A233" s="168"/>
      <c r="B233" s="169">
        <v>45716.0</v>
      </c>
      <c r="C233" s="170">
        <v>8079.12</v>
      </c>
      <c r="D233" s="170">
        <v>8099.12</v>
      </c>
      <c r="E233" s="170">
        <v>7961.52</v>
      </c>
      <c r="F233" s="170">
        <v>8038.12</v>
      </c>
      <c r="G233" s="171" t="s">
        <v>238</v>
      </c>
      <c r="H233" s="172">
        <f t="shared" si="1"/>
        <v>-0.004592504677</v>
      </c>
      <c r="I233" s="172"/>
      <c r="J233" s="172"/>
      <c r="K233" s="188"/>
      <c r="L233" s="140"/>
      <c r="M233" s="140"/>
      <c r="N233" s="176">
        <f>IFERROR(__xludf.DUMMYFUNCTION("""COMPUTED_VALUE"""),45716.64583333333)</f>
        <v>45716.64583</v>
      </c>
      <c r="O233" s="177">
        <f>IFERROR(__xludf.DUMMYFUNCTION("""COMPUTED_VALUE"""),1216.0)</f>
        <v>1216</v>
      </c>
      <c r="P233" s="177">
        <f>IFERROR(__xludf.DUMMYFUNCTION("""COMPUTED_VALUE"""),1225.0)</f>
        <v>1225</v>
      </c>
      <c r="Q233" s="177">
        <f>IFERROR(__xludf.DUMMYFUNCTION("""COMPUTED_VALUE"""),1200.1)</f>
        <v>1200.1</v>
      </c>
      <c r="R233" s="177">
        <f>IFERROR(__xludf.DUMMYFUNCTION("""COMPUTED_VALUE"""),1204.1)</f>
        <v>1204.1</v>
      </c>
      <c r="S233" s="177">
        <f>IFERROR(__xludf.DUMMYFUNCTION("""COMPUTED_VALUE"""),2.0215075E7)</f>
        <v>20215075</v>
      </c>
      <c r="T233" s="177">
        <f t="shared" si="2"/>
        <v>-0.01512464182</v>
      </c>
      <c r="U233" s="178"/>
      <c r="V233" s="177"/>
      <c r="W233" s="189"/>
      <c r="X233" s="140"/>
      <c r="Y233" s="140"/>
      <c r="Z233" s="176">
        <f>IFERROR(__xludf.DUMMYFUNCTION("""COMPUTED_VALUE"""),45716.64583333333)</f>
        <v>45716.64583</v>
      </c>
      <c r="AA233" s="177">
        <f>IFERROR(__xludf.DUMMYFUNCTION("""COMPUTED_VALUE"""),337.9)</f>
        <v>337.9</v>
      </c>
      <c r="AB233" s="177">
        <f>IFERROR(__xludf.DUMMYFUNCTION("""COMPUTED_VALUE"""),337.9)</f>
        <v>337.9</v>
      </c>
      <c r="AC233" s="177">
        <f>IFERROR(__xludf.DUMMYFUNCTION("""COMPUTED_VALUE"""),321.9)</f>
        <v>321.9</v>
      </c>
      <c r="AD233" s="177">
        <f>IFERROR(__xludf.DUMMYFUNCTION("""COMPUTED_VALUE"""),323.35)</f>
        <v>323.35</v>
      </c>
      <c r="AE233" s="177">
        <f>IFERROR(__xludf.DUMMYFUNCTION("""COMPUTED_VALUE"""),9209911.0)</f>
        <v>9209911</v>
      </c>
      <c r="AF233" s="177">
        <f t="shared" si="3"/>
        <v>-0.04504993916</v>
      </c>
      <c r="AG233" s="177"/>
      <c r="AH233" s="177"/>
      <c r="AI233" s="189"/>
      <c r="AJ233" s="140"/>
      <c r="AK233" s="140"/>
      <c r="AL233" s="176">
        <f>IFERROR(__xludf.DUMMYFUNCTION("""COMPUTED_VALUE"""),45716.64583333333)</f>
        <v>45716.64583</v>
      </c>
      <c r="AM233" s="177">
        <f>IFERROR(__xludf.DUMMYFUNCTION("""COMPUTED_VALUE"""),3202.0)</f>
        <v>3202</v>
      </c>
      <c r="AN233" s="177">
        <f>IFERROR(__xludf.DUMMYFUNCTION("""COMPUTED_VALUE"""),3224.8)</f>
        <v>3224.8</v>
      </c>
      <c r="AO233" s="177">
        <f>IFERROR(__xludf.DUMMYFUNCTION("""COMPUTED_VALUE"""),3080.0)</f>
        <v>3080</v>
      </c>
      <c r="AP233" s="177">
        <f>IFERROR(__xludf.DUMMYFUNCTION("""COMPUTED_VALUE"""),3088.2)</f>
        <v>3088.2</v>
      </c>
      <c r="AQ233" s="177">
        <f>IFERROR(__xludf.DUMMYFUNCTION("""COMPUTED_VALUE"""),2413864.0)</f>
        <v>2413864</v>
      </c>
      <c r="AR233" s="177">
        <f t="shared" si="4"/>
        <v>-0.04880249984</v>
      </c>
      <c r="AS233" s="177"/>
      <c r="AT233" s="177"/>
      <c r="AU233" s="189"/>
      <c r="AV233" s="140"/>
      <c r="AW233" s="140"/>
      <c r="AX233" s="176">
        <f>IFERROR(__xludf.DUMMYFUNCTION("""COMPUTED_VALUE"""),45716.64583333333)</f>
        <v>45716.64583</v>
      </c>
      <c r="AY233" s="177">
        <f>IFERROR(__xludf.DUMMYFUNCTION("""COMPUTED_VALUE"""),399.0)</f>
        <v>399</v>
      </c>
      <c r="AZ233" s="177">
        <f>IFERROR(__xludf.DUMMYFUNCTION("""COMPUTED_VALUE"""),402.5)</f>
        <v>402.5</v>
      </c>
      <c r="BA233" s="177">
        <f>IFERROR(__xludf.DUMMYFUNCTION("""COMPUTED_VALUE"""),392.2)</f>
        <v>392.2</v>
      </c>
      <c r="BB233" s="177">
        <f>IFERROR(__xludf.DUMMYFUNCTION("""COMPUTED_VALUE"""),395.0)</f>
        <v>395</v>
      </c>
      <c r="BC233" s="177">
        <f>IFERROR(__xludf.DUMMYFUNCTION("""COMPUTED_VALUE"""),3.1954776E7)</f>
        <v>31954776</v>
      </c>
      <c r="BD233" s="177">
        <f t="shared" si="5"/>
        <v>-0.01657080348</v>
      </c>
      <c r="BE233" s="177"/>
      <c r="BF233" s="177"/>
      <c r="BG233" s="189"/>
      <c r="BH233" s="140"/>
      <c r="BI233" s="140"/>
      <c r="BJ233" s="140"/>
      <c r="BK233" s="140"/>
      <c r="BL233" s="140"/>
      <c r="BM233" s="140"/>
      <c r="BN233" s="140"/>
      <c r="BO233" s="140"/>
      <c r="BP233" s="140"/>
      <c r="BQ233" s="140"/>
      <c r="BR233" s="140"/>
      <c r="BS233" s="140"/>
      <c r="BT233" s="140"/>
      <c r="BU233" s="140"/>
      <c r="BV233" s="140"/>
      <c r="BW233" s="140"/>
      <c r="BX233" s="140"/>
      <c r="BY233" s="140"/>
    </row>
    <row r="234" ht="15.75" customHeight="1">
      <c r="A234" s="168"/>
      <c r="B234" s="169">
        <v>45719.0</v>
      </c>
      <c r="C234" s="170">
        <v>8034.12</v>
      </c>
      <c r="D234" s="170">
        <v>8124.12</v>
      </c>
      <c r="E234" s="170">
        <v>8030.78</v>
      </c>
      <c r="F234" s="170">
        <v>8113.12</v>
      </c>
      <c r="G234" s="171" t="s">
        <v>238</v>
      </c>
      <c r="H234" s="172">
        <f t="shared" si="1"/>
        <v>0.009287279377</v>
      </c>
      <c r="I234" s="172"/>
      <c r="J234" s="172"/>
      <c r="K234" s="188"/>
      <c r="L234" s="140"/>
      <c r="M234" s="140"/>
      <c r="N234" s="176">
        <f>IFERROR(__xludf.DUMMYFUNCTION("""COMPUTED_VALUE"""),45719.64583333333)</f>
        <v>45719.64583</v>
      </c>
      <c r="O234" s="177">
        <f>IFERROR(__xludf.DUMMYFUNCTION("""COMPUTED_VALUE"""),1210.5)</f>
        <v>1210.5</v>
      </c>
      <c r="P234" s="177">
        <f>IFERROR(__xludf.DUMMYFUNCTION("""COMPUTED_VALUE"""),1217.0)</f>
        <v>1217</v>
      </c>
      <c r="Q234" s="177">
        <f>IFERROR(__xludf.DUMMYFUNCTION("""COMPUTED_VALUE"""),1204.15)</f>
        <v>1204.15</v>
      </c>
      <c r="R234" s="177">
        <f>IFERROR(__xludf.DUMMYFUNCTION("""COMPUTED_VALUE"""),1206.2)</f>
        <v>1206.2</v>
      </c>
      <c r="S234" s="177">
        <f>IFERROR(__xludf.DUMMYFUNCTION("""COMPUTED_VALUE"""),8158881.0)</f>
        <v>8158881</v>
      </c>
      <c r="T234" s="177">
        <f t="shared" si="2"/>
        <v>0.001742522119</v>
      </c>
      <c r="U234" s="178"/>
      <c r="V234" s="177"/>
      <c r="W234" s="189"/>
      <c r="X234" s="140"/>
      <c r="Y234" s="140"/>
      <c r="Z234" s="176">
        <f>IFERROR(__xludf.DUMMYFUNCTION("""COMPUTED_VALUE"""),45719.64583333333)</f>
        <v>45719.64583</v>
      </c>
      <c r="AA234" s="177">
        <f>IFERROR(__xludf.DUMMYFUNCTION("""COMPUTED_VALUE"""),325.0)</f>
        <v>325</v>
      </c>
      <c r="AB234" s="177">
        <f>IFERROR(__xludf.DUMMYFUNCTION("""COMPUTED_VALUE"""),328.25)</f>
        <v>328.25</v>
      </c>
      <c r="AC234" s="177">
        <f>IFERROR(__xludf.DUMMYFUNCTION("""COMPUTED_VALUE"""),312.75)</f>
        <v>312.75</v>
      </c>
      <c r="AD234" s="177">
        <f>IFERROR(__xludf.DUMMYFUNCTION("""COMPUTED_VALUE"""),326.7)</f>
        <v>326.7</v>
      </c>
      <c r="AE234" s="177">
        <f>IFERROR(__xludf.DUMMYFUNCTION("""COMPUTED_VALUE"""),6628370.0)</f>
        <v>6628370</v>
      </c>
      <c r="AF234" s="177">
        <f t="shared" si="3"/>
        <v>0.01030699071</v>
      </c>
      <c r="AG234" s="177"/>
      <c r="AH234" s="177"/>
      <c r="AI234" s="189"/>
      <c r="AJ234" s="140"/>
      <c r="AK234" s="140"/>
      <c r="AL234" s="176">
        <f>IFERROR(__xludf.DUMMYFUNCTION("""COMPUTED_VALUE"""),45719.64583333333)</f>
        <v>45719.64583</v>
      </c>
      <c r="AM234" s="177">
        <f>IFERROR(__xludf.DUMMYFUNCTION("""COMPUTED_VALUE"""),3096.0)</f>
        <v>3096</v>
      </c>
      <c r="AN234" s="177">
        <f>IFERROR(__xludf.DUMMYFUNCTION("""COMPUTED_VALUE"""),3204.95)</f>
        <v>3204.95</v>
      </c>
      <c r="AO234" s="177">
        <f>IFERROR(__xludf.DUMMYFUNCTION("""COMPUTED_VALUE"""),3046.05)</f>
        <v>3046.05</v>
      </c>
      <c r="AP234" s="177">
        <f>IFERROR(__xludf.DUMMYFUNCTION("""COMPUTED_VALUE"""),3187.05)</f>
        <v>3187.05</v>
      </c>
      <c r="AQ234" s="177">
        <f>IFERROR(__xludf.DUMMYFUNCTION("""COMPUTED_VALUE"""),2306313.0)</f>
        <v>2306313</v>
      </c>
      <c r="AR234" s="177">
        <f t="shared" si="4"/>
        <v>0.03150732714</v>
      </c>
      <c r="AS234" s="177"/>
      <c r="AT234" s="177"/>
      <c r="AU234" s="189"/>
      <c r="AV234" s="140"/>
      <c r="AW234" s="140"/>
      <c r="AX234" s="176">
        <f>IFERROR(__xludf.DUMMYFUNCTION("""COMPUTED_VALUE"""),45719.64583333333)</f>
        <v>45719.64583</v>
      </c>
      <c r="AY234" s="177">
        <f>IFERROR(__xludf.DUMMYFUNCTION("""COMPUTED_VALUE"""),395.95)</f>
        <v>395.95</v>
      </c>
      <c r="AZ234" s="177">
        <f>IFERROR(__xludf.DUMMYFUNCTION("""COMPUTED_VALUE"""),399.0)</f>
        <v>399</v>
      </c>
      <c r="BA234" s="177">
        <f>IFERROR(__xludf.DUMMYFUNCTION("""COMPUTED_VALUE"""),391.2)</f>
        <v>391.2</v>
      </c>
      <c r="BB234" s="177">
        <f>IFERROR(__xludf.DUMMYFUNCTION("""COMPUTED_VALUE"""),397.45)</f>
        <v>397.45</v>
      </c>
      <c r="BC234" s="177">
        <f>IFERROR(__xludf.DUMMYFUNCTION("""COMPUTED_VALUE"""),1.0702826E7)</f>
        <v>10702826</v>
      </c>
      <c r="BD234" s="177">
        <f t="shared" si="5"/>
        <v>0.006183375118</v>
      </c>
      <c r="BE234" s="177"/>
      <c r="BF234" s="177"/>
      <c r="BG234" s="189"/>
      <c r="BH234" s="140"/>
      <c r="BI234" s="140"/>
      <c r="BJ234" s="140"/>
      <c r="BK234" s="140"/>
      <c r="BL234" s="140"/>
      <c r="BM234" s="140"/>
      <c r="BN234" s="140"/>
      <c r="BO234" s="140"/>
      <c r="BP234" s="140"/>
      <c r="BQ234" s="140"/>
      <c r="BR234" s="140"/>
      <c r="BS234" s="140"/>
      <c r="BT234" s="140"/>
      <c r="BU234" s="140"/>
      <c r="BV234" s="140"/>
      <c r="BW234" s="140"/>
      <c r="BX234" s="140"/>
      <c r="BY234" s="140"/>
    </row>
    <row r="235" ht="15.75" customHeight="1">
      <c r="A235" s="168"/>
      <c r="B235" s="169">
        <v>45720.0</v>
      </c>
      <c r="C235" s="170">
        <v>8117.52</v>
      </c>
      <c r="D235" s="170">
        <v>8204.78</v>
      </c>
      <c r="E235" s="170">
        <v>8085.52</v>
      </c>
      <c r="F235" s="170">
        <v>8182.12</v>
      </c>
      <c r="G235" s="171" t="s">
        <v>238</v>
      </c>
      <c r="H235" s="172">
        <f t="shared" si="1"/>
        <v>0.008468781361</v>
      </c>
      <c r="I235" s="172"/>
      <c r="J235" s="172"/>
      <c r="K235" s="188"/>
      <c r="L235" s="140"/>
      <c r="M235" s="140"/>
      <c r="N235" s="176">
        <f>IFERROR(__xludf.DUMMYFUNCTION("""COMPUTED_VALUE"""),45720.64583333333)</f>
        <v>45720.64583</v>
      </c>
      <c r="O235" s="177">
        <f>IFERROR(__xludf.DUMMYFUNCTION("""COMPUTED_VALUE"""),1207.15)</f>
        <v>1207.15</v>
      </c>
      <c r="P235" s="177">
        <f>IFERROR(__xludf.DUMMYFUNCTION("""COMPUTED_VALUE"""),1216.65)</f>
        <v>1216.65</v>
      </c>
      <c r="Q235" s="177">
        <f>IFERROR(__xludf.DUMMYFUNCTION("""COMPUTED_VALUE"""),1206.25)</f>
        <v>1206.25</v>
      </c>
      <c r="R235" s="177">
        <f>IFERROR(__xludf.DUMMYFUNCTION("""COMPUTED_VALUE"""),1210.4)</f>
        <v>1210.4</v>
      </c>
      <c r="S235" s="177">
        <f>IFERROR(__xludf.DUMMYFUNCTION("""COMPUTED_VALUE"""),9574490.0)</f>
        <v>9574490</v>
      </c>
      <c r="T235" s="177">
        <f t="shared" si="2"/>
        <v>0.003475961457</v>
      </c>
      <c r="U235" s="178"/>
      <c r="V235" s="177"/>
      <c r="W235" s="189"/>
      <c r="X235" s="140"/>
      <c r="Y235" s="140"/>
      <c r="Z235" s="176">
        <f>IFERROR(__xludf.DUMMYFUNCTION("""COMPUTED_VALUE"""),45720.64583333333)</f>
        <v>45720.64583</v>
      </c>
      <c r="AA235" s="177">
        <f>IFERROR(__xludf.DUMMYFUNCTION("""COMPUTED_VALUE"""),326.0)</f>
        <v>326</v>
      </c>
      <c r="AB235" s="177">
        <f>IFERROR(__xludf.DUMMYFUNCTION("""COMPUTED_VALUE"""),330.15)</f>
        <v>330.15</v>
      </c>
      <c r="AC235" s="177">
        <f>IFERROR(__xludf.DUMMYFUNCTION("""COMPUTED_VALUE"""),319.5)</f>
        <v>319.5</v>
      </c>
      <c r="AD235" s="177">
        <f>IFERROR(__xludf.DUMMYFUNCTION("""COMPUTED_VALUE"""),327.0)</f>
        <v>327</v>
      </c>
      <c r="AE235" s="177">
        <f>IFERROR(__xludf.DUMMYFUNCTION("""COMPUTED_VALUE"""),3429689.0)</f>
        <v>3429689</v>
      </c>
      <c r="AF235" s="177">
        <f t="shared" si="3"/>
        <v>0.0009178522902</v>
      </c>
      <c r="AG235" s="177"/>
      <c r="AH235" s="177"/>
      <c r="AI235" s="189"/>
      <c r="AJ235" s="140"/>
      <c r="AK235" s="140"/>
      <c r="AL235" s="176">
        <f>IFERROR(__xludf.DUMMYFUNCTION("""COMPUTED_VALUE"""),45720.64583333333)</f>
        <v>45720.64583</v>
      </c>
      <c r="AM235" s="177">
        <f>IFERROR(__xludf.DUMMYFUNCTION("""COMPUTED_VALUE"""),3162.0)</f>
        <v>3162</v>
      </c>
      <c r="AN235" s="177">
        <f>IFERROR(__xludf.DUMMYFUNCTION("""COMPUTED_VALUE"""),3330.0)</f>
        <v>3330</v>
      </c>
      <c r="AO235" s="177">
        <f>IFERROR(__xludf.DUMMYFUNCTION("""COMPUTED_VALUE"""),3108.95)</f>
        <v>3108.95</v>
      </c>
      <c r="AP235" s="177">
        <f>IFERROR(__xludf.DUMMYFUNCTION("""COMPUTED_VALUE"""),3311.15)</f>
        <v>3311.15</v>
      </c>
      <c r="AQ235" s="177">
        <f>IFERROR(__xludf.DUMMYFUNCTION("""COMPUTED_VALUE"""),2598027.0)</f>
        <v>2598027</v>
      </c>
      <c r="AR235" s="177">
        <f t="shared" si="4"/>
        <v>0.03819983702</v>
      </c>
      <c r="AS235" s="177"/>
      <c r="AT235" s="177"/>
      <c r="AU235" s="189"/>
      <c r="AV235" s="140"/>
      <c r="AW235" s="140"/>
      <c r="AX235" s="176">
        <f>IFERROR(__xludf.DUMMYFUNCTION("""COMPUTED_VALUE"""),45720.64583333333)</f>
        <v>45720.64583</v>
      </c>
      <c r="AY235" s="177">
        <f>IFERROR(__xludf.DUMMYFUNCTION("""COMPUTED_VALUE"""),395.4)</f>
        <v>395.4</v>
      </c>
      <c r="AZ235" s="177">
        <f>IFERROR(__xludf.DUMMYFUNCTION("""COMPUTED_VALUE"""),397.2)</f>
        <v>397.2</v>
      </c>
      <c r="BA235" s="177">
        <f>IFERROR(__xludf.DUMMYFUNCTION("""COMPUTED_VALUE"""),392.85)</f>
        <v>392.85</v>
      </c>
      <c r="BB235" s="177">
        <f>IFERROR(__xludf.DUMMYFUNCTION("""COMPUTED_VALUE"""),394.85)</f>
        <v>394.85</v>
      </c>
      <c r="BC235" s="177">
        <f>IFERROR(__xludf.DUMMYFUNCTION("""COMPUTED_VALUE"""),1.3404774E7)</f>
        <v>13404774</v>
      </c>
      <c r="BD235" s="177">
        <f t="shared" si="5"/>
        <v>-0.006563194076</v>
      </c>
      <c r="BE235" s="177"/>
      <c r="BF235" s="177"/>
      <c r="BG235" s="189"/>
      <c r="BH235" s="140"/>
      <c r="BI235" s="140"/>
      <c r="BJ235" s="140"/>
      <c r="BK235" s="140"/>
      <c r="BL235" s="140"/>
      <c r="BM235" s="140"/>
      <c r="BN235" s="140"/>
      <c r="BO235" s="140"/>
      <c r="BP235" s="140"/>
      <c r="BQ235" s="140"/>
      <c r="BR235" s="140"/>
      <c r="BS235" s="140"/>
      <c r="BT235" s="140"/>
      <c r="BU235" s="140"/>
      <c r="BV235" s="140"/>
      <c r="BW235" s="140"/>
      <c r="BX235" s="140"/>
      <c r="BY235" s="140"/>
    </row>
    <row r="236" ht="15.75" customHeight="1">
      <c r="A236" s="168"/>
      <c r="B236" s="169">
        <v>45721.0</v>
      </c>
      <c r="C236" s="170">
        <v>8186.78</v>
      </c>
      <c r="D236" s="170">
        <v>8191.12</v>
      </c>
      <c r="E236" s="170">
        <v>8098.12</v>
      </c>
      <c r="F236" s="170">
        <v>8150.78</v>
      </c>
      <c r="G236" s="171" t="s">
        <v>238</v>
      </c>
      <c r="H236" s="172">
        <f t="shared" si="1"/>
        <v>-0.003837657546</v>
      </c>
      <c r="I236" s="172"/>
      <c r="J236" s="172"/>
      <c r="K236" s="188"/>
      <c r="L236" s="140"/>
      <c r="M236" s="140"/>
      <c r="N236" s="176">
        <f>IFERROR(__xludf.DUMMYFUNCTION("""COMPUTED_VALUE"""),45721.64583333333)</f>
        <v>45721.64583</v>
      </c>
      <c r="O236" s="177">
        <f>IFERROR(__xludf.DUMMYFUNCTION("""COMPUTED_VALUE"""),1217.0)</f>
        <v>1217</v>
      </c>
      <c r="P236" s="177">
        <f>IFERROR(__xludf.DUMMYFUNCTION("""COMPUTED_VALUE"""),1225.95)</f>
        <v>1225.95</v>
      </c>
      <c r="Q236" s="177">
        <f>IFERROR(__xludf.DUMMYFUNCTION("""COMPUTED_VALUE"""),1211.3)</f>
        <v>1211.3</v>
      </c>
      <c r="R236" s="177">
        <f>IFERROR(__xludf.DUMMYFUNCTION("""COMPUTED_VALUE"""),1215.7)</f>
        <v>1215.7</v>
      </c>
      <c r="S236" s="177">
        <f>IFERROR(__xludf.DUMMYFUNCTION("""COMPUTED_VALUE"""),9052846.0)</f>
        <v>9052846</v>
      </c>
      <c r="T236" s="177">
        <f t="shared" si="2"/>
        <v>0.004369159088</v>
      </c>
      <c r="U236" s="178"/>
      <c r="V236" s="177"/>
      <c r="W236" s="189"/>
      <c r="X236" s="140"/>
      <c r="Y236" s="140"/>
      <c r="Z236" s="176">
        <f>IFERROR(__xludf.DUMMYFUNCTION("""COMPUTED_VALUE"""),45721.64583333333)</f>
        <v>45721.64583</v>
      </c>
      <c r="AA236" s="177">
        <f>IFERROR(__xludf.DUMMYFUNCTION("""COMPUTED_VALUE"""),329.9)</f>
        <v>329.9</v>
      </c>
      <c r="AB236" s="177">
        <f>IFERROR(__xludf.DUMMYFUNCTION("""COMPUTED_VALUE"""),337.5)</f>
        <v>337.5</v>
      </c>
      <c r="AC236" s="177">
        <f>IFERROR(__xludf.DUMMYFUNCTION("""COMPUTED_VALUE"""),326.55)</f>
        <v>326.55</v>
      </c>
      <c r="AD236" s="177">
        <f>IFERROR(__xludf.DUMMYFUNCTION("""COMPUTED_VALUE"""),336.8)</f>
        <v>336.8</v>
      </c>
      <c r="AE236" s="177">
        <f>IFERROR(__xludf.DUMMYFUNCTION("""COMPUTED_VALUE"""),3824203.0)</f>
        <v>3824203</v>
      </c>
      <c r="AF236" s="177">
        <f t="shared" si="3"/>
        <v>0.02952911147</v>
      </c>
      <c r="AG236" s="177"/>
      <c r="AH236" s="177"/>
      <c r="AI236" s="189"/>
      <c r="AJ236" s="140"/>
      <c r="AK236" s="140"/>
      <c r="AL236" s="176">
        <f>IFERROR(__xludf.DUMMYFUNCTION("""COMPUTED_VALUE"""),45721.64583333333)</f>
        <v>45721.64583</v>
      </c>
      <c r="AM236" s="177">
        <f>IFERROR(__xludf.DUMMYFUNCTION("""COMPUTED_VALUE"""),3313.0)</f>
        <v>3313</v>
      </c>
      <c r="AN236" s="177">
        <f>IFERROR(__xludf.DUMMYFUNCTION("""COMPUTED_VALUE"""),3435.95)</f>
        <v>3435.95</v>
      </c>
      <c r="AO236" s="177">
        <f>IFERROR(__xludf.DUMMYFUNCTION("""COMPUTED_VALUE"""),3295.95)</f>
        <v>3295.95</v>
      </c>
      <c r="AP236" s="177">
        <f>IFERROR(__xludf.DUMMYFUNCTION("""COMPUTED_VALUE"""),3424.5)</f>
        <v>3424.5</v>
      </c>
      <c r="AQ236" s="177">
        <f>IFERROR(__xludf.DUMMYFUNCTION("""COMPUTED_VALUE"""),1884731.0)</f>
        <v>1884731</v>
      </c>
      <c r="AR236" s="177">
        <f t="shared" si="4"/>
        <v>0.03365991458</v>
      </c>
      <c r="AS236" s="177"/>
      <c r="AT236" s="177"/>
      <c r="AU236" s="189"/>
      <c r="AV236" s="140"/>
      <c r="AW236" s="140"/>
      <c r="AX236" s="176">
        <f>IFERROR(__xludf.DUMMYFUNCTION("""COMPUTED_VALUE"""),45721.64583333333)</f>
        <v>45721.64583</v>
      </c>
      <c r="AY236" s="177">
        <f>IFERROR(__xludf.DUMMYFUNCTION("""COMPUTED_VALUE"""),394.5)</f>
        <v>394.5</v>
      </c>
      <c r="AZ236" s="177">
        <f>IFERROR(__xludf.DUMMYFUNCTION("""COMPUTED_VALUE"""),412.75)</f>
        <v>412.75</v>
      </c>
      <c r="BA236" s="177">
        <f>IFERROR(__xludf.DUMMYFUNCTION("""COMPUTED_VALUE"""),394.5)</f>
        <v>394.5</v>
      </c>
      <c r="BB236" s="177">
        <f>IFERROR(__xludf.DUMMYFUNCTION("""COMPUTED_VALUE"""),405.05)</f>
        <v>405.05</v>
      </c>
      <c r="BC236" s="177">
        <f>IFERROR(__xludf.DUMMYFUNCTION("""COMPUTED_VALUE"""),1.5665018E7)</f>
        <v>15665018</v>
      </c>
      <c r="BD236" s="177">
        <f t="shared" si="5"/>
        <v>0.02550457033</v>
      </c>
      <c r="BE236" s="177"/>
      <c r="BF236" s="177"/>
      <c r="BG236" s="189"/>
      <c r="BH236" s="140"/>
      <c r="BI236" s="140"/>
      <c r="BJ236" s="140"/>
      <c r="BK236" s="140"/>
      <c r="BL236" s="140"/>
      <c r="BM236" s="140"/>
      <c r="BN236" s="140"/>
      <c r="BO236" s="140"/>
      <c r="BP236" s="140"/>
      <c r="BQ236" s="140"/>
      <c r="BR236" s="140"/>
      <c r="BS236" s="140"/>
      <c r="BT236" s="140"/>
      <c r="BU236" s="140"/>
      <c r="BV236" s="140"/>
      <c r="BW236" s="140"/>
      <c r="BX236" s="140"/>
      <c r="BY236" s="140"/>
    </row>
    <row r="237" ht="15.75" customHeight="1">
      <c r="A237" s="168"/>
      <c r="B237" s="169">
        <v>45722.0</v>
      </c>
      <c r="C237" s="170">
        <v>8154.12</v>
      </c>
      <c r="D237" s="170">
        <v>8182.12</v>
      </c>
      <c r="E237" s="170">
        <v>8096.78</v>
      </c>
      <c r="F237" s="170">
        <v>8146.12</v>
      </c>
      <c r="G237" s="171" t="s">
        <v>238</v>
      </c>
      <c r="H237" s="172">
        <f t="shared" si="1"/>
        <v>-0.0005718879206</v>
      </c>
      <c r="I237" s="172"/>
      <c r="J237" s="172"/>
      <c r="K237" s="188"/>
      <c r="L237" s="140"/>
      <c r="M237" s="140"/>
      <c r="N237" s="176">
        <f>IFERROR(__xludf.DUMMYFUNCTION("""COMPUTED_VALUE"""),45722.64583333333)</f>
        <v>45722.64583</v>
      </c>
      <c r="O237" s="177">
        <f>IFERROR(__xludf.DUMMYFUNCTION("""COMPUTED_VALUE"""),1227.95)</f>
        <v>1227.95</v>
      </c>
      <c r="P237" s="177">
        <f>IFERROR(__xludf.DUMMYFUNCTION("""COMPUTED_VALUE"""),1227.95)</f>
        <v>1227.95</v>
      </c>
      <c r="Q237" s="177">
        <f>IFERROR(__xludf.DUMMYFUNCTION("""COMPUTED_VALUE"""),1209.0)</f>
        <v>1209</v>
      </c>
      <c r="R237" s="177">
        <f>IFERROR(__xludf.DUMMYFUNCTION("""COMPUTED_VALUE"""),1218.05)</f>
        <v>1218.05</v>
      </c>
      <c r="S237" s="177">
        <f>IFERROR(__xludf.DUMMYFUNCTION("""COMPUTED_VALUE"""),1.1949475E7)</f>
        <v>11949475</v>
      </c>
      <c r="T237" s="177">
        <f t="shared" si="2"/>
        <v>0.001931176769</v>
      </c>
      <c r="U237" s="178"/>
      <c r="V237" s="177"/>
      <c r="W237" s="189"/>
      <c r="X237" s="140"/>
      <c r="Y237" s="140"/>
      <c r="Z237" s="176">
        <f>IFERROR(__xludf.DUMMYFUNCTION("""COMPUTED_VALUE"""),45722.64583333333)</f>
        <v>45722.64583</v>
      </c>
      <c r="AA237" s="177">
        <f>IFERROR(__xludf.DUMMYFUNCTION("""COMPUTED_VALUE"""),338.0)</f>
        <v>338</v>
      </c>
      <c r="AB237" s="177">
        <f>IFERROR(__xludf.DUMMYFUNCTION("""COMPUTED_VALUE"""),340.9)</f>
        <v>340.9</v>
      </c>
      <c r="AC237" s="177">
        <f>IFERROR(__xludf.DUMMYFUNCTION("""COMPUTED_VALUE"""),328.6)</f>
        <v>328.6</v>
      </c>
      <c r="AD237" s="177">
        <f>IFERROR(__xludf.DUMMYFUNCTION("""COMPUTED_VALUE"""),330.45)</f>
        <v>330.45</v>
      </c>
      <c r="AE237" s="177">
        <f>IFERROR(__xludf.DUMMYFUNCTION("""COMPUTED_VALUE"""),5352132.0)</f>
        <v>5352132</v>
      </c>
      <c r="AF237" s="177">
        <f t="shared" si="3"/>
        <v>-0.01903392045</v>
      </c>
      <c r="AG237" s="177"/>
      <c r="AH237" s="177"/>
      <c r="AI237" s="189"/>
      <c r="AJ237" s="140"/>
      <c r="AK237" s="140"/>
      <c r="AL237" s="176">
        <f>IFERROR(__xludf.DUMMYFUNCTION("""COMPUTED_VALUE"""),45722.64583333333)</f>
        <v>45722.64583</v>
      </c>
      <c r="AM237" s="177">
        <f>IFERROR(__xludf.DUMMYFUNCTION("""COMPUTED_VALUE"""),3472.0)</f>
        <v>3472</v>
      </c>
      <c r="AN237" s="177">
        <f>IFERROR(__xludf.DUMMYFUNCTION("""COMPUTED_VALUE"""),3497.0)</f>
        <v>3497</v>
      </c>
      <c r="AO237" s="177">
        <f>IFERROR(__xludf.DUMMYFUNCTION("""COMPUTED_VALUE"""),3405.25)</f>
        <v>3405.25</v>
      </c>
      <c r="AP237" s="177">
        <f>IFERROR(__xludf.DUMMYFUNCTION("""COMPUTED_VALUE"""),3417.7)</f>
        <v>3417.7</v>
      </c>
      <c r="AQ237" s="177">
        <f>IFERROR(__xludf.DUMMYFUNCTION("""COMPUTED_VALUE"""),1331348.0)</f>
        <v>1331348</v>
      </c>
      <c r="AR237" s="177">
        <f t="shared" si="4"/>
        <v>-0.001987665441</v>
      </c>
      <c r="AS237" s="177"/>
      <c r="AT237" s="177"/>
      <c r="AU237" s="189"/>
      <c r="AV237" s="140"/>
      <c r="AW237" s="140"/>
      <c r="AX237" s="176">
        <f>IFERROR(__xludf.DUMMYFUNCTION("""COMPUTED_VALUE"""),45722.64583333333)</f>
        <v>45722.64583</v>
      </c>
      <c r="AY237" s="177">
        <f>IFERROR(__xludf.DUMMYFUNCTION("""COMPUTED_VALUE"""),409.15)</f>
        <v>409.15</v>
      </c>
      <c r="AZ237" s="177">
        <f>IFERROR(__xludf.DUMMYFUNCTION("""COMPUTED_VALUE"""),409.7)</f>
        <v>409.7</v>
      </c>
      <c r="BA237" s="177">
        <f>IFERROR(__xludf.DUMMYFUNCTION("""COMPUTED_VALUE"""),400.55)</f>
        <v>400.55</v>
      </c>
      <c r="BB237" s="177">
        <f>IFERROR(__xludf.DUMMYFUNCTION("""COMPUTED_VALUE"""),405.7)</f>
        <v>405.7</v>
      </c>
      <c r="BC237" s="177">
        <f>IFERROR(__xludf.DUMMYFUNCTION("""COMPUTED_VALUE"""),1.7869996E7)</f>
        <v>17869996</v>
      </c>
      <c r="BD237" s="177">
        <f t="shared" si="5"/>
        <v>0.001603453936</v>
      </c>
      <c r="BE237" s="177"/>
      <c r="BF237" s="177"/>
      <c r="BG237" s="189"/>
      <c r="BH237" s="140"/>
      <c r="BI237" s="140"/>
      <c r="BJ237" s="140"/>
      <c r="BK237" s="140"/>
      <c r="BL237" s="140"/>
      <c r="BM237" s="140"/>
      <c r="BN237" s="140"/>
      <c r="BO237" s="140"/>
      <c r="BP237" s="140"/>
      <c r="BQ237" s="140"/>
      <c r="BR237" s="140"/>
      <c r="BS237" s="140"/>
      <c r="BT237" s="140"/>
      <c r="BU237" s="140"/>
      <c r="BV237" s="140"/>
      <c r="BW237" s="140"/>
      <c r="BX237" s="140"/>
      <c r="BY237" s="140"/>
    </row>
    <row r="238" ht="15.75" customHeight="1">
      <c r="A238" s="168"/>
      <c r="B238" s="169">
        <v>45723.0</v>
      </c>
      <c r="C238" s="170">
        <v>8149.12</v>
      </c>
      <c r="D238" s="170">
        <v>8204.12</v>
      </c>
      <c r="E238" s="170">
        <v>8106.12</v>
      </c>
      <c r="F238" s="170">
        <v>8152.78</v>
      </c>
      <c r="G238" s="171" t="s">
        <v>238</v>
      </c>
      <c r="H238" s="172">
        <f t="shared" si="1"/>
        <v>0.0008172331103</v>
      </c>
      <c r="I238" s="172"/>
      <c r="J238" s="172"/>
      <c r="K238" s="188"/>
      <c r="L238" s="140"/>
      <c r="M238" s="140"/>
      <c r="N238" s="176">
        <f>IFERROR(__xludf.DUMMYFUNCTION("""COMPUTED_VALUE"""),45723.64583333333)</f>
        <v>45723.64583</v>
      </c>
      <c r="O238" s="177">
        <f>IFERROR(__xludf.DUMMYFUNCTION("""COMPUTED_VALUE"""),1211.1)</f>
        <v>1211.1</v>
      </c>
      <c r="P238" s="177">
        <f>IFERROR(__xludf.DUMMYFUNCTION("""COMPUTED_VALUE"""),1217.85)</f>
        <v>1217.85</v>
      </c>
      <c r="Q238" s="177">
        <f>IFERROR(__xludf.DUMMYFUNCTION("""COMPUTED_VALUE"""),1206.3)</f>
        <v>1206.3</v>
      </c>
      <c r="R238" s="177">
        <f>IFERROR(__xludf.DUMMYFUNCTION("""COMPUTED_VALUE"""),1214.55)</f>
        <v>1214.55</v>
      </c>
      <c r="S238" s="177">
        <f>IFERROR(__xludf.DUMMYFUNCTION("""COMPUTED_VALUE"""),6620284.0)</f>
        <v>6620284</v>
      </c>
      <c r="T238" s="177">
        <f t="shared" si="2"/>
        <v>-0.00287758153</v>
      </c>
      <c r="U238" s="178"/>
      <c r="V238" s="177"/>
      <c r="W238" s="189"/>
      <c r="X238" s="140"/>
      <c r="Y238" s="140"/>
      <c r="Z238" s="176">
        <f>IFERROR(__xludf.DUMMYFUNCTION("""COMPUTED_VALUE"""),45723.64583333333)</f>
        <v>45723.64583</v>
      </c>
      <c r="AA238" s="177">
        <f>IFERROR(__xludf.DUMMYFUNCTION("""COMPUTED_VALUE"""),331.05)</f>
        <v>331.05</v>
      </c>
      <c r="AB238" s="177">
        <f>IFERROR(__xludf.DUMMYFUNCTION("""COMPUTED_VALUE"""),332.25)</f>
        <v>332.25</v>
      </c>
      <c r="AC238" s="177">
        <f>IFERROR(__xludf.DUMMYFUNCTION("""COMPUTED_VALUE"""),325.9)</f>
        <v>325.9</v>
      </c>
      <c r="AD238" s="177">
        <f>IFERROR(__xludf.DUMMYFUNCTION("""COMPUTED_VALUE"""),327.4)</f>
        <v>327.4</v>
      </c>
      <c r="AE238" s="177">
        <f>IFERROR(__xludf.DUMMYFUNCTION("""COMPUTED_VALUE"""),3798696.0)</f>
        <v>3798696</v>
      </c>
      <c r="AF238" s="177">
        <f t="shared" si="3"/>
        <v>-0.009272696979</v>
      </c>
      <c r="AG238" s="177"/>
      <c r="AH238" s="177"/>
      <c r="AI238" s="189"/>
      <c r="AJ238" s="140"/>
      <c r="AK238" s="140"/>
      <c r="AL238" s="176">
        <f>IFERROR(__xludf.DUMMYFUNCTION("""COMPUTED_VALUE"""),45723.64583333333)</f>
        <v>45723.64583</v>
      </c>
      <c r="AM238" s="177">
        <f>IFERROR(__xludf.DUMMYFUNCTION("""COMPUTED_VALUE"""),3418.65)</f>
        <v>3418.65</v>
      </c>
      <c r="AN238" s="177">
        <f>IFERROR(__xludf.DUMMYFUNCTION("""COMPUTED_VALUE"""),3502.0)</f>
        <v>3502</v>
      </c>
      <c r="AO238" s="177">
        <f>IFERROR(__xludf.DUMMYFUNCTION("""COMPUTED_VALUE"""),3371.65)</f>
        <v>3371.65</v>
      </c>
      <c r="AP238" s="177">
        <f>IFERROR(__xludf.DUMMYFUNCTION("""COMPUTED_VALUE"""),3452.05)</f>
        <v>3452.05</v>
      </c>
      <c r="AQ238" s="177">
        <f>IFERROR(__xludf.DUMMYFUNCTION("""COMPUTED_VALUE"""),1732838.0)</f>
        <v>1732838</v>
      </c>
      <c r="AR238" s="177">
        <f t="shared" si="4"/>
        <v>0.01000044726</v>
      </c>
      <c r="AS238" s="177"/>
      <c r="AT238" s="177"/>
      <c r="AU238" s="189"/>
      <c r="AV238" s="140"/>
      <c r="AW238" s="140"/>
      <c r="AX238" s="176">
        <f>IFERROR(__xludf.DUMMYFUNCTION("""COMPUTED_VALUE"""),45723.64583333333)</f>
        <v>45723.64583</v>
      </c>
      <c r="AY238" s="177">
        <f>IFERROR(__xludf.DUMMYFUNCTION("""COMPUTED_VALUE"""),403.55)</f>
        <v>403.55</v>
      </c>
      <c r="AZ238" s="177">
        <f>IFERROR(__xludf.DUMMYFUNCTION("""COMPUTED_VALUE"""),405.85)</f>
        <v>405.85</v>
      </c>
      <c r="BA238" s="177">
        <f>IFERROR(__xludf.DUMMYFUNCTION("""COMPUTED_VALUE"""),401.7)</f>
        <v>401.7</v>
      </c>
      <c r="BB238" s="177">
        <f>IFERROR(__xludf.DUMMYFUNCTION("""COMPUTED_VALUE"""),403.9)</f>
        <v>403.9</v>
      </c>
      <c r="BC238" s="177">
        <f>IFERROR(__xludf.DUMMYFUNCTION("""COMPUTED_VALUE"""),1.1180761E7)</f>
        <v>11180761</v>
      </c>
      <c r="BD238" s="177">
        <f t="shared" si="5"/>
        <v>-0.004446647643</v>
      </c>
      <c r="BE238" s="177"/>
      <c r="BF238" s="177"/>
      <c r="BG238" s="189"/>
      <c r="BH238" s="140"/>
      <c r="BI238" s="140"/>
      <c r="BJ238" s="140"/>
      <c r="BK238" s="140"/>
      <c r="BL238" s="140"/>
      <c r="BM238" s="140"/>
      <c r="BN238" s="140"/>
      <c r="BO238" s="140"/>
      <c r="BP238" s="140"/>
      <c r="BQ238" s="140"/>
      <c r="BR238" s="140"/>
      <c r="BS238" s="140"/>
      <c r="BT238" s="140"/>
      <c r="BU238" s="140"/>
      <c r="BV238" s="140"/>
      <c r="BW238" s="140"/>
      <c r="BX238" s="140"/>
      <c r="BY238" s="140"/>
    </row>
    <row r="239" ht="15.75" customHeight="1">
      <c r="A239" s="168"/>
      <c r="B239" s="169">
        <v>45726.0</v>
      </c>
      <c r="C239" s="170">
        <v>8155.12</v>
      </c>
      <c r="D239" s="170">
        <v>8185.12</v>
      </c>
      <c r="E239" s="170">
        <v>8084.12</v>
      </c>
      <c r="F239" s="170">
        <v>8103.12</v>
      </c>
      <c r="G239" s="171" t="s">
        <v>238</v>
      </c>
      <c r="H239" s="172">
        <f t="shared" si="1"/>
        <v>-0.006109800686</v>
      </c>
      <c r="I239" s="172"/>
      <c r="J239" s="172"/>
      <c r="K239" s="188"/>
      <c r="L239" s="140"/>
      <c r="M239" s="140"/>
      <c r="N239" s="176">
        <f>IFERROR(__xludf.DUMMYFUNCTION("""COMPUTED_VALUE"""),45726.64583333333)</f>
        <v>45726.64583</v>
      </c>
      <c r="O239" s="177">
        <f>IFERROR(__xludf.DUMMYFUNCTION("""COMPUTED_VALUE"""),1208.0)</f>
        <v>1208</v>
      </c>
      <c r="P239" s="177">
        <f>IFERROR(__xludf.DUMMYFUNCTION("""COMPUTED_VALUE"""),1225.8)</f>
        <v>1225.8</v>
      </c>
      <c r="Q239" s="177">
        <f>IFERROR(__xludf.DUMMYFUNCTION("""COMPUTED_VALUE"""),1208.0)</f>
        <v>1208</v>
      </c>
      <c r="R239" s="177">
        <f>IFERROR(__xludf.DUMMYFUNCTION("""COMPUTED_VALUE"""),1214.85)</f>
        <v>1214.85</v>
      </c>
      <c r="S239" s="177">
        <f>IFERROR(__xludf.DUMMYFUNCTION("""COMPUTED_VALUE"""),7363437.0)</f>
        <v>7363437</v>
      </c>
      <c r="T239" s="177">
        <f t="shared" si="2"/>
        <v>0.0002469745629</v>
      </c>
      <c r="U239" s="178"/>
      <c r="V239" s="177"/>
      <c r="W239" s="189"/>
      <c r="X239" s="140"/>
      <c r="Y239" s="140"/>
      <c r="Z239" s="176">
        <f>IFERROR(__xludf.DUMMYFUNCTION("""COMPUTED_VALUE"""),45726.64583333333)</f>
        <v>45726.64583</v>
      </c>
      <c r="AA239" s="177">
        <f>IFERROR(__xludf.DUMMYFUNCTION("""COMPUTED_VALUE"""),329.05)</f>
        <v>329.05</v>
      </c>
      <c r="AB239" s="177">
        <f>IFERROR(__xludf.DUMMYFUNCTION("""COMPUTED_VALUE"""),336.55)</f>
        <v>336.55</v>
      </c>
      <c r="AC239" s="177">
        <f>IFERROR(__xludf.DUMMYFUNCTION("""COMPUTED_VALUE"""),328.15)</f>
        <v>328.15</v>
      </c>
      <c r="AD239" s="177">
        <f>IFERROR(__xludf.DUMMYFUNCTION("""COMPUTED_VALUE"""),330.2)</f>
        <v>330.2</v>
      </c>
      <c r="AE239" s="177">
        <f>IFERROR(__xludf.DUMMYFUNCTION("""COMPUTED_VALUE"""),4911269.0)</f>
        <v>4911269</v>
      </c>
      <c r="AF239" s="177">
        <f t="shared" si="3"/>
        <v>0.008515866549</v>
      </c>
      <c r="AG239" s="177"/>
      <c r="AH239" s="177"/>
      <c r="AI239" s="189"/>
      <c r="AJ239" s="140"/>
      <c r="AK239" s="140"/>
      <c r="AL239" s="176">
        <f>IFERROR(__xludf.DUMMYFUNCTION("""COMPUTED_VALUE"""),45726.64583333333)</f>
        <v>45726.64583</v>
      </c>
      <c r="AM239" s="177">
        <f>IFERROR(__xludf.DUMMYFUNCTION("""COMPUTED_VALUE"""),3452.05)</f>
        <v>3452.05</v>
      </c>
      <c r="AN239" s="177">
        <f>IFERROR(__xludf.DUMMYFUNCTION("""COMPUTED_VALUE"""),3538.95)</f>
        <v>3538.95</v>
      </c>
      <c r="AO239" s="177">
        <f>IFERROR(__xludf.DUMMYFUNCTION("""COMPUTED_VALUE"""),3410.0)</f>
        <v>3410</v>
      </c>
      <c r="AP239" s="177">
        <f>IFERROR(__xludf.DUMMYFUNCTION("""COMPUTED_VALUE"""),3417.9)</f>
        <v>3417.9</v>
      </c>
      <c r="AQ239" s="177">
        <f>IFERROR(__xludf.DUMMYFUNCTION("""COMPUTED_VALUE"""),2150456.0)</f>
        <v>2150456</v>
      </c>
      <c r="AR239" s="177">
        <f t="shared" si="4"/>
        <v>-0.009941930083</v>
      </c>
      <c r="AS239" s="177"/>
      <c r="AT239" s="177"/>
      <c r="AU239" s="189"/>
      <c r="AV239" s="140"/>
      <c r="AW239" s="140"/>
      <c r="AX239" s="176">
        <f>IFERROR(__xludf.DUMMYFUNCTION("""COMPUTED_VALUE"""),45726.64583333333)</f>
        <v>45726.64583</v>
      </c>
      <c r="AY239" s="177">
        <f>IFERROR(__xludf.DUMMYFUNCTION("""COMPUTED_VALUE"""),401.05)</f>
        <v>401.05</v>
      </c>
      <c r="AZ239" s="177">
        <f>IFERROR(__xludf.DUMMYFUNCTION("""COMPUTED_VALUE"""),406.85)</f>
        <v>406.85</v>
      </c>
      <c r="BA239" s="177">
        <f>IFERROR(__xludf.DUMMYFUNCTION("""COMPUTED_VALUE"""),400.4)</f>
        <v>400.4</v>
      </c>
      <c r="BB239" s="177">
        <f>IFERROR(__xludf.DUMMYFUNCTION("""COMPUTED_VALUE"""),405.0)</f>
        <v>405</v>
      </c>
      <c r="BC239" s="177">
        <f>IFERROR(__xludf.DUMMYFUNCTION("""COMPUTED_VALUE"""),9785018.0)</f>
        <v>9785018</v>
      </c>
      <c r="BD239" s="177">
        <f t="shared" si="5"/>
        <v>0.002719744537</v>
      </c>
      <c r="BE239" s="177"/>
      <c r="BF239" s="177"/>
      <c r="BG239" s="189"/>
      <c r="BH239" s="140"/>
      <c r="BI239" s="140"/>
      <c r="BJ239" s="140"/>
      <c r="BK239" s="140"/>
      <c r="BL239" s="140"/>
      <c r="BM239" s="140"/>
      <c r="BN239" s="140"/>
      <c r="BO239" s="140"/>
      <c r="BP239" s="140"/>
      <c r="BQ239" s="140"/>
      <c r="BR239" s="140"/>
      <c r="BS239" s="140"/>
      <c r="BT239" s="140"/>
      <c r="BU239" s="140"/>
      <c r="BV239" s="140"/>
      <c r="BW239" s="140"/>
      <c r="BX239" s="140"/>
      <c r="BY239" s="140"/>
    </row>
    <row r="240" ht="15.75" customHeight="1">
      <c r="A240" s="168"/>
      <c r="B240" s="169">
        <v>45727.0</v>
      </c>
      <c r="C240" s="170">
        <v>8098.78</v>
      </c>
      <c r="D240" s="170">
        <v>8191.12</v>
      </c>
      <c r="E240" s="170">
        <v>8089.52</v>
      </c>
      <c r="F240" s="170">
        <v>8170.12</v>
      </c>
      <c r="G240" s="171" t="s">
        <v>238</v>
      </c>
      <c r="H240" s="172">
        <f t="shared" si="1"/>
        <v>0.008234423948</v>
      </c>
      <c r="I240" s="172"/>
      <c r="J240" s="172"/>
      <c r="K240" s="188"/>
      <c r="L240" s="140"/>
      <c r="M240" s="140"/>
      <c r="N240" s="176">
        <f>IFERROR(__xludf.DUMMYFUNCTION("""COMPUTED_VALUE"""),45727.64583333333)</f>
        <v>45727.64583</v>
      </c>
      <c r="O240" s="177">
        <f>IFERROR(__xludf.DUMMYFUNCTION("""COMPUTED_VALUE"""),1217.2)</f>
        <v>1217.2</v>
      </c>
      <c r="P240" s="177">
        <f>IFERROR(__xludf.DUMMYFUNCTION("""COMPUTED_VALUE"""),1248.0)</f>
        <v>1248</v>
      </c>
      <c r="Q240" s="177">
        <f>IFERROR(__xludf.DUMMYFUNCTION("""COMPUTED_VALUE"""),1217.2)</f>
        <v>1217.2</v>
      </c>
      <c r="R240" s="177">
        <f>IFERROR(__xludf.DUMMYFUNCTION("""COMPUTED_VALUE"""),1245.4)</f>
        <v>1245.4</v>
      </c>
      <c r="S240" s="177">
        <f>IFERROR(__xludf.DUMMYFUNCTION("""COMPUTED_VALUE"""),1.092795E7)</f>
        <v>10927950</v>
      </c>
      <c r="T240" s="177">
        <f t="shared" si="2"/>
        <v>0.02483615108</v>
      </c>
      <c r="U240" s="178"/>
      <c r="V240" s="177"/>
      <c r="W240" s="189"/>
      <c r="X240" s="140"/>
      <c r="Y240" s="140"/>
      <c r="Z240" s="176">
        <f>IFERROR(__xludf.DUMMYFUNCTION("""COMPUTED_VALUE"""),45727.64583333333)</f>
        <v>45727.64583</v>
      </c>
      <c r="AA240" s="177">
        <f>IFERROR(__xludf.DUMMYFUNCTION("""COMPUTED_VALUE"""),326.3)</f>
        <v>326.3</v>
      </c>
      <c r="AB240" s="177">
        <f>IFERROR(__xludf.DUMMYFUNCTION("""COMPUTED_VALUE"""),342.5)</f>
        <v>342.5</v>
      </c>
      <c r="AC240" s="177">
        <f>IFERROR(__xludf.DUMMYFUNCTION("""COMPUTED_VALUE"""),325.2)</f>
        <v>325.2</v>
      </c>
      <c r="AD240" s="177">
        <f>IFERROR(__xludf.DUMMYFUNCTION("""COMPUTED_VALUE"""),341.4)</f>
        <v>341.4</v>
      </c>
      <c r="AE240" s="177">
        <f>IFERROR(__xludf.DUMMYFUNCTION("""COMPUTED_VALUE"""),6330559.0)</f>
        <v>6330559</v>
      </c>
      <c r="AF240" s="177">
        <f t="shared" si="3"/>
        <v>0.03335627887</v>
      </c>
      <c r="AG240" s="177"/>
      <c r="AH240" s="177"/>
      <c r="AI240" s="189"/>
      <c r="AJ240" s="140"/>
      <c r="AK240" s="140"/>
      <c r="AL240" s="176">
        <f>IFERROR(__xludf.DUMMYFUNCTION("""COMPUTED_VALUE"""),45727.64583333333)</f>
        <v>45727.64583</v>
      </c>
      <c r="AM240" s="177">
        <f>IFERROR(__xludf.DUMMYFUNCTION("""COMPUTED_VALUE"""),3390.65)</f>
        <v>3390.65</v>
      </c>
      <c r="AN240" s="177">
        <f>IFERROR(__xludf.DUMMYFUNCTION("""COMPUTED_VALUE"""),3471.0)</f>
        <v>3471</v>
      </c>
      <c r="AO240" s="177">
        <f>IFERROR(__xludf.DUMMYFUNCTION("""COMPUTED_VALUE"""),3355.0)</f>
        <v>3355</v>
      </c>
      <c r="AP240" s="177">
        <f>IFERROR(__xludf.DUMMYFUNCTION("""COMPUTED_VALUE"""),3459.85)</f>
        <v>3459.85</v>
      </c>
      <c r="AQ240" s="177">
        <f>IFERROR(__xludf.DUMMYFUNCTION("""COMPUTED_VALUE"""),1502808.0)</f>
        <v>1502808</v>
      </c>
      <c r="AR240" s="177">
        <f t="shared" si="4"/>
        <v>0.01219890814</v>
      </c>
      <c r="AS240" s="177"/>
      <c r="AT240" s="177"/>
      <c r="AU240" s="189"/>
      <c r="AV240" s="140"/>
      <c r="AW240" s="140"/>
      <c r="AX240" s="176">
        <f>IFERROR(__xludf.DUMMYFUNCTION("""COMPUTED_VALUE"""),45727.64583333333)</f>
        <v>45727.64583</v>
      </c>
      <c r="AY240" s="177">
        <f>IFERROR(__xludf.DUMMYFUNCTION("""COMPUTED_VALUE"""),401.5)</f>
        <v>401.5</v>
      </c>
      <c r="AZ240" s="177">
        <f>IFERROR(__xludf.DUMMYFUNCTION("""COMPUTED_VALUE"""),408.4)</f>
        <v>408.4</v>
      </c>
      <c r="BA240" s="177">
        <f>IFERROR(__xludf.DUMMYFUNCTION("""COMPUTED_VALUE"""),401.2)</f>
        <v>401.2</v>
      </c>
      <c r="BB240" s="177">
        <f>IFERROR(__xludf.DUMMYFUNCTION("""COMPUTED_VALUE"""),406.2)</f>
        <v>406.2</v>
      </c>
      <c r="BC240" s="177">
        <f>IFERROR(__xludf.DUMMYFUNCTION("""COMPUTED_VALUE"""),1.1099475E7)</f>
        <v>11099475</v>
      </c>
      <c r="BD240" s="177">
        <f t="shared" si="5"/>
        <v>0.00295858204</v>
      </c>
      <c r="BE240" s="177"/>
      <c r="BF240" s="177"/>
      <c r="BG240" s="189"/>
      <c r="BH240" s="140"/>
      <c r="BI240" s="140"/>
      <c r="BJ240" s="140"/>
      <c r="BK240" s="140"/>
      <c r="BL240" s="140"/>
      <c r="BM240" s="140"/>
      <c r="BN240" s="140"/>
      <c r="BO240" s="140"/>
      <c r="BP240" s="140"/>
      <c r="BQ240" s="140"/>
      <c r="BR240" s="140"/>
      <c r="BS240" s="140"/>
      <c r="BT240" s="140"/>
      <c r="BU240" s="140"/>
      <c r="BV240" s="140"/>
      <c r="BW240" s="140"/>
      <c r="BX240" s="140"/>
      <c r="BY240" s="140"/>
    </row>
    <row r="241" ht="15.75" customHeight="1">
      <c r="A241" s="168"/>
      <c r="B241" s="169">
        <v>45728.0</v>
      </c>
      <c r="C241" s="170">
        <v>8173.52</v>
      </c>
      <c r="D241" s="170">
        <v>8241.12</v>
      </c>
      <c r="E241" s="170">
        <v>8148.12</v>
      </c>
      <c r="F241" s="170">
        <v>8219.12</v>
      </c>
      <c r="G241" s="171" t="s">
        <v>238</v>
      </c>
      <c r="H241" s="172">
        <f t="shared" si="1"/>
        <v>0.00597955073</v>
      </c>
      <c r="I241" s="172"/>
      <c r="J241" s="172"/>
      <c r="K241" s="188"/>
      <c r="L241" s="140"/>
      <c r="M241" s="140"/>
      <c r="N241" s="176">
        <f>IFERROR(__xludf.DUMMYFUNCTION("""COMPUTED_VALUE"""),45728.64583333333)</f>
        <v>45728.64583</v>
      </c>
      <c r="O241" s="177">
        <f>IFERROR(__xludf.DUMMYFUNCTION("""COMPUTED_VALUE"""),1246.95)</f>
        <v>1246.95</v>
      </c>
      <c r="P241" s="177">
        <f>IFERROR(__xludf.DUMMYFUNCTION("""COMPUTED_VALUE"""),1251.95)</f>
        <v>1251.95</v>
      </c>
      <c r="Q241" s="177">
        <f>IFERROR(__xludf.DUMMYFUNCTION("""COMPUTED_VALUE"""),1235.3)</f>
        <v>1235.3</v>
      </c>
      <c r="R241" s="177">
        <f>IFERROR(__xludf.DUMMYFUNCTION("""COMPUTED_VALUE"""),1243.95)</f>
        <v>1243.95</v>
      </c>
      <c r="S241" s="177">
        <f>IFERROR(__xludf.DUMMYFUNCTION("""COMPUTED_VALUE"""),1.1548372E7)</f>
        <v>11548372</v>
      </c>
      <c r="T241" s="177">
        <f t="shared" si="2"/>
        <v>-0.001164962873</v>
      </c>
      <c r="U241" s="178"/>
      <c r="V241" s="177"/>
      <c r="W241" s="189"/>
      <c r="X241" s="140"/>
      <c r="Y241" s="140"/>
      <c r="Z241" s="176">
        <f>IFERROR(__xludf.DUMMYFUNCTION("""COMPUTED_VALUE"""),45728.64583333333)</f>
        <v>45728.64583</v>
      </c>
      <c r="AA241" s="177">
        <f>IFERROR(__xludf.DUMMYFUNCTION("""COMPUTED_VALUE"""),345.0)</f>
        <v>345</v>
      </c>
      <c r="AB241" s="177">
        <f>IFERROR(__xludf.DUMMYFUNCTION("""COMPUTED_VALUE"""),345.0)</f>
        <v>345</v>
      </c>
      <c r="AC241" s="177">
        <f>IFERROR(__xludf.DUMMYFUNCTION("""COMPUTED_VALUE"""),314.7)</f>
        <v>314.7</v>
      </c>
      <c r="AD241" s="177">
        <f>IFERROR(__xludf.DUMMYFUNCTION("""COMPUTED_VALUE"""),324.65)</f>
        <v>324.65</v>
      </c>
      <c r="AE241" s="177">
        <f>IFERROR(__xludf.DUMMYFUNCTION("""COMPUTED_VALUE"""),1.6599619E7)</f>
        <v>16599619</v>
      </c>
      <c r="AF241" s="177">
        <f t="shared" si="3"/>
        <v>-0.05030713141</v>
      </c>
      <c r="AG241" s="177"/>
      <c r="AH241" s="177"/>
      <c r="AI241" s="189"/>
      <c r="AJ241" s="140"/>
      <c r="AK241" s="140"/>
      <c r="AL241" s="176">
        <f>IFERROR(__xludf.DUMMYFUNCTION("""COMPUTED_VALUE"""),45728.64583333333)</f>
        <v>45728.64583</v>
      </c>
      <c r="AM241" s="177">
        <f>IFERROR(__xludf.DUMMYFUNCTION("""COMPUTED_VALUE"""),3470.0)</f>
        <v>3470</v>
      </c>
      <c r="AN241" s="177">
        <f>IFERROR(__xludf.DUMMYFUNCTION("""COMPUTED_VALUE"""),3494.25)</f>
        <v>3494.25</v>
      </c>
      <c r="AO241" s="177">
        <f>IFERROR(__xludf.DUMMYFUNCTION("""COMPUTED_VALUE"""),3388.25)</f>
        <v>3388.25</v>
      </c>
      <c r="AP241" s="177">
        <f>IFERROR(__xludf.DUMMYFUNCTION("""COMPUTED_VALUE"""),3415.4)</f>
        <v>3415.4</v>
      </c>
      <c r="AQ241" s="177">
        <f>IFERROR(__xludf.DUMMYFUNCTION("""COMPUTED_VALUE"""),1076349.0)</f>
        <v>1076349</v>
      </c>
      <c r="AR241" s="177">
        <f t="shared" si="4"/>
        <v>-0.01293061906</v>
      </c>
      <c r="AS241" s="177"/>
      <c r="AT241" s="177"/>
      <c r="AU241" s="189"/>
      <c r="AV241" s="140"/>
      <c r="AW241" s="140"/>
      <c r="AX241" s="176">
        <f>IFERROR(__xludf.DUMMYFUNCTION("""COMPUTED_VALUE"""),45728.64583333333)</f>
        <v>45728.64583</v>
      </c>
      <c r="AY241" s="177">
        <f>IFERROR(__xludf.DUMMYFUNCTION("""COMPUTED_VALUE"""),406.4)</f>
        <v>406.4</v>
      </c>
      <c r="AZ241" s="177">
        <f>IFERROR(__xludf.DUMMYFUNCTION("""COMPUTED_VALUE"""),413.3)</f>
        <v>413.3</v>
      </c>
      <c r="BA241" s="177">
        <f>IFERROR(__xludf.DUMMYFUNCTION("""COMPUTED_VALUE"""),404.0)</f>
        <v>404</v>
      </c>
      <c r="BB241" s="177">
        <f>IFERROR(__xludf.DUMMYFUNCTION("""COMPUTED_VALUE"""),412.4)</f>
        <v>412.4</v>
      </c>
      <c r="BC241" s="177">
        <f>IFERROR(__xludf.DUMMYFUNCTION("""COMPUTED_VALUE"""),1.3844306E7)</f>
        <v>13844306</v>
      </c>
      <c r="BD241" s="177">
        <f t="shared" si="5"/>
        <v>0.015148103</v>
      </c>
      <c r="BE241" s="177"/>
      <c r="BF241" s="177"/>
      <c r="BG241" s="189"/>
      <c r="BH241" s="140"/>
      <c r="BI241" s="140"/>
      <c r="BJ241" s="140"/>
      <c r="BK241" s="140"/>
      <c r="BL241" s="140"/>
      <c r="BM241" s="140"/>
      <c r="BN241" s="140"/>
      <c r="BO241" s="140"/>
      <c r="BP241" s="140"/>
      <c r="BQ241" s="140"/>
      <c r="BR241" s="140"/>
      <c r="BS241" s="140"/>
      <c r="BT241" s="140"/>
      <c r="BU241" s="140"/>
      <c r="BV241" s="140"/>
      <c r="BW241" s="140"/>
      <c r="BX241" s="140"/>
      <c r="BY241" s="140"/>
    </row>
    <row r="242" ht="15.75" customHeight="1">
      <c r="A242" s="168"/>
      <c r="B242" s="169">
        <v>45729.0</v>
      </c>
      <c r="C242" s="170">
        <v>8225.52</v>
      </c>
      <c r="D242" s="170">
        <v>8354.78</v>
      </c>
      <c r="E242" s="170">
        <v>8208.78</v>
      </c>
      <c r="F242" s="170">
        <v>8348.78</v>
      </c>
      <c r="G242" s="171" t="s">
        <v>238</v>
      </c>
      <c r="H242" s="172">
        <f t="shared" si="1"/>
        <v>0.01565227303</v>
      </c>
      <c r="I242" s="172"/>
      <c r="J242" s="172"/>
      <c r="K242" s="188"/>
      <c r="L242" s="140"/>
      <c r="M242" s="140"/>
      <c r="N242" s="176">
        <f>IFERROR(__xludf.DUMMYFUNCTION("""COMPUTED_VALUE"""),45729.64583333333)</f>
        <v>45729.64583</v>
      </c>
      <c r="O242" s="177">
        <f>IFERROR(__xludf.DUMMYFUNCTION("""COMPUTED_VALUE"""),1251.05)</f>
        <v>1251.05</v>
      </c>
      <c r="P242" s="177">
        <f>IFERROR(__xludf.DUMMYFUNCTION("""COMPUTED_VALUE"""),1255.6)</f>
        <v>1255.6</v>
      </c>
      <c r="Q242" s="177">
        <f>IFERROR(__xludf.DUMMYFUNCTION("""COMPUTED_VALUE"""),1245.3)</f>
        <v>1245.3</v>
      </c>
      <c r="R242" s="177">
        <f>IFERROR(__xludf.DUMMYFUNCTION("""COMPUTED_VALUE"""),1250.05)</f>
        <v>1250.05</v>
      </c>
      <c r="S242" s="177">
        <f>IFERROR(__xludf.DUMMYFUNCTION("""COMPUTED_VALUE"""),8132940.0)</f>
        <v>8132940</v>
      </c>
      <c r="T242" s="177">
        <f t="shared" si="2"/>
        <v>0.004891749931</v>
      </c>
      <c r="U242" s="178"/>
      <c r="V242" s="177"/>
      <c r="W242" s="189"/>
      <c r="X242" s="140"/>
      <c r="Y242" s="140"/>
      <c r="Z242" s="176">
        <f>IFERROR(__xludf.DUMMYFUNCTION("""COMPUTED_VALUE"""),45729.64583333333)</f>
        <v>45729.64583</v>
      </c>
      <c r="AA242" s="177">
        <f>IFERROR(__xludf.DUMMYFUNCTION("""COMPUTED_VALUE"""),324.95)</f>
        <v>324.95</v>
      </c>
      <c r="AB242" s="177">
        <f>IFERROR(__xludf.DUMMYFUNCTION("""COMPUTED_VALUE"""),330.2)</f>
        <v>330.2</v>
      </c>
      <c r="AC242" s="177">
        <f>IFERROR(__xludf.DUMMYFUNCTION("""COMPUTED_VALUE"""),323.35)</f>
        <v>323.35</v>
      </c>
      <c r="AD242" s="177">
        <f>IFERROR(__xludf.DUMMYFUNCTION("""COMPUTED_VALUE"""),327.0)</f>
        <v>327</v>
      </c>
      <c r="AE242" s="177">
        <f>IFERROR(__xludf.DUMMYFUNCTION("""COMPUTED_VALUE"""),6340342.0)</f>
        <v>6340342</v>
      </c>
      <c r="AF242" s="177">
        <f t="shared" si="3"/>
        <v>0.007212491943</v>
      </c>
      <c r="AG242" s="177"/>
      <c r="AH242" s="177"/>
      <c r="AI242" s="189"/>
      <c r="AJ242" s="140"/>
      <c r="AK242" s="140"/>
      <c r="AL242" s="176">
        <f>IFERROR(__xludf.DUMMYFUNCTION("""COMPUTED_VALUE"""),45729.64583333333)</f>
        <v>45729.64583</v>
      </c>
      <c r="AM242" s="177">
        <f>IFERROR(__xludf.DUMMYFUNCTION("""COMPUTED_VALUE"""),3435.0)</f>
        <v>3435</v>
      </c>
      <c r="AN242" s="177">
        <f>IFERROR(__xludf.DUMMYFUNCTION("""COMPUTED_VALUE"""),3485.6)</f>
        <v>3485.6</v>
      </c>
      <c r="AO242" s="177">
        <f>IFERROR(__xludf.DUMMYFUNCTION("""COMPUTED_VALUE"""),3390.85)</f>
        <v>3390.85</v>
      </c>
      <c r="AP242" s="177">
        <f>IFERROR(__xludf.DUMMYFUNCTION("""COMPUTED_VALUE"""),3396.15)</f>
        <v>3396.15</v>
      </c>
      <c r="AQ242" s="177">
        <f>IFERROR(__xludf.DUMMYFUNCTION("""COMPUTED_VALUE"""),1229721.0)</f>
        <v>1229721</v>
      </c>
      <c r="AR242" s="177">
        <f t="shared" si="4"/>
        <v>-0.005652179386</v>
      </c>
      <c r="AS242" s="177"/>
      <c r="AT242" s="177"/>
      <c r="AU242" s="189"/>
      <c r="AV242" s="140"/>
      <c r="AW242" s="140"/>
      <c r="AX242" s="176">
        <f>IFERROR(__xludf.DUMMYFUNCTION("""COMPUTED_VALUE"""),45729.64583333333)</f>
        <v>45729.64583</v>
      </c>
      <c r="AY242" s="177">
        <f>IFERROR(__xludf.DUMMYFUNCTION("""COMPUTED_VALUE"""),413.0)</f>
        <v>413</v>
      </c>
      <c r="AZ242" s="177">
        <f>IFERROR(__xludf.DUMMYFUNCTION("""COMPUTED_VALUE"""),414.4)</f>
        <v>414.4</v>
      </c>
      <c r="BA242" s="177">
        <f>IFERROR(__xludf.DUMMYFUNCTION("""COMPUTED_VALUE"""),408.2)</f>
        <v>408.2</v>
      </c>
      <c r="BB242" s="177">
        <f>IFERROR(__xludf.DUMMYFUNCTION("""COMPUTED_VALUE"""),412.05)</f>
        <v>412.05</v>
      </c>
      <c r="BC242" s="177">
        <f>IFERROR(__xludf.DUMMYFUNCTION("""COMPUTED_VALUE"""),8196569.0)</f>
        <v>8196569</v>
      </c>
      <c r="BD242" s="177">
        <f t="shared" si="5"/>
        <v>-0.0008490509334</v>
      </c>
      <c r="BE242" s="177"/>
      <c r="BF242" s="177"/>
      <c r="BG242" s="189"/>
      <c r="BH242" s="140"/>
      <c r="BI242" s="140"/>
      <c r="BJ242" s="140"/>
      <c r="BK242" s="140"/>
      <c r="BL242" s="140"/>
      <c r="BM242" s="140"/>
      <c r="BN242" s="140"/>
      <c r="BO242" s="140"/>
      <c r="BP242" s="140"/>
      <c r="BQ242" s="140"/>
      <c r="BR242" s="140"/>
      <c r="BS242" s="140"/>
      <c r="BT242" s="140"/>
      <c r="BU242" s="140"/>
      <c r="BV242" s="140"/>
      <c r="BW242" s="140"/>
      <c r="BX242" s="140"/>
      <c r="BY242" s="140"/>
    </row>
    <row r="243" ht="15.75" customHeight="1">
      <c r="A243" s="168"/>
      <c r="B243" s="169">
        <v>45733.0</v>
      </c>
      <c r="C243" s="170">
        <v>8346.12</v>
      </c>
      <c r="D243" s="170">
        <v>8374.78</v>
      </c>
      <c r="E243" s="170">
        <v>8326.12</v>
      </c>
      <c r="F243" s="170">
        <v>8361.12</v>
      </c>
      <c r="G243" s="171" t="s">
        <v>238</v>
      </c>
      <c r="H243" s="172">
        <f t="shared" si="1"/>
        <v>0.001476969012</v>
      </c>
      <c r="I243" s="172"/>
      <c r="J243" s="172"/>
      <c r="K243" s="188"/>
      <c r="L243" s="140"/>
      <c r="M243" s="140"/>
      <c r="N243" s="176">
        <f>IFERROR(__xludf.DUMMYFUNCTION("""COMPUTED_VALUE"""),45733.64583333333)</f>
        <v>45733.64583</v>
      </c>
      <c r="O243" s="177">
        <f>IFERROR(__xludf.DUMMYFUNCTION("""COMPUTED_VALUE"""),1257.05)</f>
        <v>1257.05</v>
      </c>
      <c r="P243" s="177">
        <f>IFERROR(__xludf.DUMMYFUNCTION("""COMPUTED_VALUE"""),1273.95)</f>
        <v>1273.95</v>
      </c>
      <c r="Q243" s="177">
        <f>IFERROR(__xludf.DUMMYFUNCTION("""COMPUTED_VALUE"""),1254.75)</f>
        <v>1254.75</v>
      </c>
      <c r="R243" s="177">
        <f>IFERROR(__xludf.DUMMYFUNCTION("""COMPUTED_VALUE"""),1269.0)</f>
        <v>1269</v>
      </c>
      <c r="S243" s="177">
        <f>IFERROR(__xludf.DUMMYFUNCTION("""COMPUTED_VALUE"""),1.1164882E7)</f>
        <v>11164882</v>
      </c>
      <c r="T243" s="177">
        <f t="shared" si="2"/>
        <v>0.01504563822</v>
      </c>
      <c r="U243" s="178"/>
      <c r="V243" s="177"/>
      <c r="W243" s="189"/>
      <c r="X243" s="140"/>
      <c r="Y243" s="140"/>
      <c r="Z243" s="176">
        <f>IFERROR(__xludf.DUMMYFUNCTION("""COMPUTED_VALUE"""),45733.64583333333)</f>
        <v>45733.64583</v>
      </c>
      <c r="AA243" s="177">
        <f>IFERROR(__xludf.DUMMYFUNCTION("""COMPUTED_VALUE"""),326.0)</f>
        <v>326</v>
      </c>
      <c r="AB243" s="177">
        <f>IFERROR(__xludf.DUMMYFUNCTION("""COMPUTED_VALUE"""),0.0)</f>
        <v>0</v>
      </c>
      <c r="AC243" s="177">
        <f>IFERROR(__xludf.DUMMYFUNCTION("""COMPUTED_VALUE"""),0.0)</f>
        <v>0</v>
      </c>
      <c r="AD243" s="177">
        <f>IFERROR(__xludf.DUMMYFUNCTION("""COMPUTED_VALUE"""),326.95)</f>
        <v>326.95</v>
      </c>
      <c r="AE243" s="177">
        <f>IFERROR(__xludf.DUMMYFUNCTION("""COMPUTED_VALUE"""),0.0)</f>
        <v>0</v>
      </c>
      <c r="AF243" s="177">
        <f t="shared" si="3"/>
        <v>-0.00015291689</v>
      </c>
      <c r="AG243" s="177"/>
      <c r="AH243" s="177"/>
      <c r="AI243" s="189"/>
      <c r="AJ243" s="140"/>
      <c r="AK243" s="140"/>
      <c r="AL243" s="176">
        <f>IFERROR(__xludf.DUMMYFUNCTION("""COMPUTED_VALUE"""),45733.64583333333)</f>
        <v>45733.64583</v>
      </c>
      <c r="AM243" s="177">
        <f>IFERROR(__xludf.DUMMYFUNCTION("""COMPUTED_VALUE"""),3400.0)</f>
        <v>3400</v>
      </c>
      <c r="AN243" s="177">
        <f>IFERROR(__xludf.DUMMYFUNCTION("""COMPUTED_VALUE"""),3484.0)</f>
        <v>3484</v>
      </c>
      <c r="AO243" s="177">
        <f>IFERROR(__xludf.DUMMYFUNCTION("""COMPUTED_VALUE"""),3399.0)</f>
        <v>3399</v>
      </c>
      <c r="AP243" s="177">
        <f>IFERROR(__xludf.DUMMYFUNCTION("""COMPUTED_VALUE"""),3439.9)</f>
        <v>3439.9</v>
      </c>
      <c r="AQ243" s="177">
        <f>IFERROR(__xludf.DUMMYFUNCTION("""COMPUTED_VALUE"""),1130061.0)</f>
        <v>1130061</v>
      </c>
      <c r="AR243" s="177">
        <f t="shared" si="4"/>
        <v>0.01279996411</v>
      </c>
      <c r="AS243" s="177"/>
      <c r="AT243" s="177"/>
      <c r="AU243" s="189"/>
      <c r="AV243" s="140"/>
      <c r="AW243" s="140"/>
      <c r="AX243" s="176">
        <f>IFERROR(__xludf.DUMMYFUNCTION("""COMPUTED_VALUE"""),45733.64583333333)</f>
        <v>45733.64583</v>
      </c>
      <c r="AY243" s="177">
        <f>IFERROR(__xludf.DUMMYFUNCTION("""COMPUTED_VALUE"""),413.0)</f>
        <v>413</v>
      </c>
      <c r="AZ243" s="177">
        <f>IFERROR(__xludf.DUMMYFUNCTION("""COMPUTED_VALUE"""),416.25)</f>
        <v>416.25</v>
      </c>
      <c r="BA243" s="177">
        <f>IFERROR(__xludf.DUMMYFUNCTION("""COMPUTED_VALUE"""),407.0)</f>
        <v>407</v>
      </c>
      <c r="BB243" s="177">
        <f>IFERROR(__xludf.DUMMYFUNCTION("""COMPUTED_VALUE"""),407.95)</f>
        <v>407.95</v>
      </c>
      <c r="BC243" s="177">
        <f>IFERROR(__xludf.DUMMYFUNCTION("""COMPUTED_VALUE"""),5257859.0)</f>
        <v>5257859</v>
      </c>
      <c r="BD243" s="177">
        <f t="shared" si="5"/>
        <v>-0.01000008333</v>
      </c>
      <c r="BE243" s="177"/>
      <c r="BF243" s="177"/>
      <c r="BG243" s="189"/>
      <c r="BH243" s="140"/>
      <c r="BI243" s="140"/>
      <c r="BJ243" s="140"/>
      <c r="BK243" s="140"/>
      <c r="BL243" s="140"/>
      <c r="BM243" s="140"/>
      <c r="BN243" s="140"/>
      <c r="BO243" s="140"/>
      <c r="BP243" s="140"/>
      <c r="BQ243" s="140"/>
      <c r="BR243" s="140"/>
      <c r="BS243" s="140"/>
      <c r="BT243" s="140"/>
      <c r="BU243" s="140"/>
      <c r="BV243" s="140"/>
      <c r="BW243" s="140"/>
      <c r="BX243" s="140"/>
      <c r="BY243" s="140"/>
    </row>
    <row r="244" ht="15.75" customHeight="1">
      <c r="A244" s="168"/>
      <c r="B244" s="169">
        <v>45734.0</v>
      </c>
      <c r="C244" s="170">
        <v>8364.78</v>
      </c>
      <c r="D244" s="170">
        <v>8457.52</v>
      </c>
      <c r="E244" s="170">
        <v>8354.78</v>
      </c>
      <c r="F244" s="170">
        <v>8438.78</v>
      </c>
      <c r="G244" s="171" t="s">
        <v>238</v>
      </c>
      <c r="H244" s="172">
        <f t="shared" si="1"/>
        <v>0.009245358981</v>
      </c>
      <c r="I244" s="172"/>
      <c r="J244" s="172"/>
      <c r="K244" s="188"/>
      <c r="L244" s="140"/>
      <c r="M244" s="140"/>
      <c r="N244" s="176">
        <f>IFERROR(__xludf.DUMMYFUNCTION("""COMPUTED_VALUE"""),45734.64583333333)</f>
        <v>45734.64583</v>
      </c>
      <c r="O244" s="177">
        <f>IFERROR(__xludf.DUMMYFUNCTION("""COMPUTED_VALUE"""),1285.5)</f>
        <v>1285.5</v>
      </c>
      <c r="P244" s="177">
        <f>IFERROR(__xludf.DUMMYFUNCTION("""COMPUTED_VALUE"""),1313.85)</f>
        <v>1313.85</v>
      </c>
      <c r="Q244" s="177">
        <f>IFERROR(__xludf.DUMMYFUNCTION("""COMPUTED_VALUE"""),1280.65)</f>
        <v>1280.65</v>
      </c>
      <c r="R244" s="177">
        <f>IFERROR(__xludf.DUMMYFUNCTION("""COMPUTED_VALUE"""),1309.85)</f>
        <v>1309.85</v>
      </c>
      <c r="S244" s="177">
        <f>IFERROR(__xludf.DUMMYFUNCTION("""COMPUTED_VALUE"""),1.5645427E7)</f>
        <v>15645427</v>
      </c>
      <c r="T244" s="177">
        <f t="shared" si="2"/>
        <v>0.03168343811</v>
      </c>
      <c r="U244" s="178"/>
      <c r="V244" s="177"/>
      <c r="W244" s="189"/>
      <c r="X244" s="140"/>
      <c r="Y244" s="140"/>
      <c r="Z244" s="176">
        <f>IFERROR(__xludf.DUMMYFUNCTION("""COMPUTED_VALUE"""),45734.64583333333)</f>
        <v>45734.64583</v>
      </c>
      <c r="AA244" s="177">
        <f>IFERROR(__xludf.DUMMYFUNCTION("""COMPUTED_VALUE"""),332.3)</f>
        <v>332.3</v>
      </c>
      <c r="AB244" s="177">
        <f>IFERROR(__xludf.DUMMYFUNCTION("""COMPUTED_VALUE"""),338.0)</f>
        <v>338</v>
      </c>
      <c r="AC244" s="177">
        <f>IFERROR(__xludf.DUMMYFUNCTION("""COMPUTED_VALUE"""),331.75)</f>
        <v>331.75</v>
      </c>
      <c r="AD244" s="177">
        <f>IFERROR(__xludf.DUMMYFUNCTION("""COMPUTED_VALUE"""),336.85)</f>
        <v>336.85</v>
      </c>
      <c r="AE244" s="177">
        <f>IFERROR(__xludf.DUMMYFUNCTION("""COMPUTED_VALUE"""),3533635.0)</f>
        <v>3533635</v>
      </c>
      <c r="AF244" s="177">
        <f t="shared" si="3"/>
        <v>0.0298304734</v>
      </c>
      <c r="AG244" s="177"/>
      <c r="AH244" s="177"/>
      <c r="AI244" s="189"/>
      <c r="AJ244" s="140"/>
      <c r="AK244" s="140"/>
      <c r="AL244" s="176">
        <f>IFERROR(__xludf.DUMMYFUNCTION("""COMPUTED_VALUE"""),45734.64583333333)</f>
        <v>45734.64583</v>
      </c>
      <c r="AM244" s="177">
        <f>IFERROR(__xludf.DUMMYFUNCTION("""COMPUTED_VALUE"""),3500.0)</f>
        <v>3500</v>
      </c>
      <c r="AN244" s="177">
        <f>IFERROR(__xludf.DUMMYFUNCTION("""COMPUTED_VALUE"""),3589.8)</f>
        <v>3589.8</v>
      </c>
      <c r="AO244" s="177">
        <f>IFERROR(__xludf.DUMMYFUNCTION("""COMPUTED_VALUE"""),3470.55)</f>
        <v>3470.55</v>
      </c>
      <c r="AP244" s="177">
        <f>IFERROR(__xludf.DUMMYFUNCTION("""COMPUTED_VALUE"""),3579.95)</f>
        <v>3579.95</v>
      </c>
      <c r="AQ244" s="177">
        <f>IFERROR(__xludf.DUMMYFUNCTION("""COMPUTED_VALUE"""),2024740.0)</f>
        <v>2024740</v>
      </c>
      <c r="AR244" s="177">
        <f t="shared" si="4"/>
        <v>0.03990643264</v>
      </c>
      <c r="AS244" s="177"/>
      <c r="AT244" s="177"/>
      <c r="AU244" s="189"/>
      <c r="AV244" s="140"/>
      <c r="AW244" s="140"/>
      <c r="AX244" s="176">
        <f>IFERROR(__xludf.DUMMYFUNCTION("""COMPUTED_VALUE"""),45734.64583333333)</f>
        <v>45734.64583</v>
      </c>
      <c r="AY244" s="177">
        <f>IFERROR(__xludf.DUMMYFUNCTION("""COMPUTED_VALUE"""),410.0)</f>
        <v>410</v>
      </c>
      <c r="AZ244" s="177">
        <f>IFERROR(__xludf.DUMMYFUNCTION("""COMPUTED_VALUE"""),411.95)</f>
        <v>411.95</v>
      </c>
      <c r="BA244" s="177">
        <f>IFERROR(__xludf.DUMMYFUNCTION("""COMPUTED_VALUE"""),407.75)</f>
        <v>407.75</v>
      </c>
      <c r="BB244" s="177">
        <f>IFERROR(__xludf.DUMMYFUNCTION("""COMPUTED_VALUE"""),409.1)</f>
        <v>409.1</v>
      </c>
      <c r="BC244" s="177">
        <f>IFERROR(__xludf.DUMMYFUNCTION("""COMPUTED_VALUE"""),1.3861897E7)</f>
        <v>13861897</v>
      </c>
      <c r="BD244" s="177">
        <f t="shared" si="5"/>
        <v>0.002815007061</v>
      </c>
      <c r="BE244" s="177"/>
      <c r="BF244" s="177"/>
      <c r="BG244" s="189"/>
      <c r="BH244" s="140"/>
      <c r="BI244" s="140"/>
      <c r="BJ244" s="140"/>
      <c r="BK244" s="140"/>
      <c r="BL244" s="140"/>
      <c r="BM244" s="140"/>
      <c r="BN244" s="140"/>
      <c r="BO244" s="140"/>
      <c r="BP244" s="140"/>
      <c r="BQ244" s="140"/>
      <c r="BR244" s="140"/>
      <c r="BS244" s="140"/>
      <c r="BT244" s="140"/>
      <c r="BU244" s="140"/>
      <c r="BV244" s="140"/>
      <c r="BW244" s="140"/>
      <c r="BX244" s="140"/>
      <c r="BY244" s="140"/>
    </row>
    <row r="245" ht="15.75" customHeight="1">
      <c r="A245" s="168"/>
      <c r="B245" s="169">
        <v>45735.0</v>
      </c>
      <c r="C245" s="170">
        <v>8441.12</v>
      </c>
      <c r="D245" s="170">
        <v>8471.52</v>
      </c>
      <c r="E245" s="170">
        <v>8396.78</v>
      </c>
      <c r="F245" s="170">
        <v>8455.52</v>
      </c>
      <c r="G245" s="171" t="s">
        <v>238</v>
      </c>
      <c r="H245" s="172">
        <f t="shared" si="1"/>
        <v>0.001981734133</v>
      </c>
      <c r="I245" s="172"/>
      <c r="J245" s="172"/>
      <c r="K245" s="188"/>
      <c r="L245" s="140"/>
      <c r="M245" s="140"/>
      <c r="N245" s="176">
        <f>IFERROR(__xludf.DUMMYFUNCTION("""COMPUTED_VALUE"""),45735.64583333333)</f>
        <v>45735.64583</v>
      </c>
      <c r="O245" s="177">
        <f>IFERROR(__xludf.DUMMYFUNCTION("""COMPUTED_VALUE"""),1305.6)</f>
        <v>1305.6</v>
      </c>
      <c r="P245" s="177">
        <f>IFERROR(__xludf.DUMMYFUNCTION("""COMPUTED_VALUE"""),1318.3)</f>
        <v>1318.3</v>
      </c>
      <c r="Q245" s="177">
        <f>IFERROR(__xludf.DUMMYFUNCTION("""COMPUTED_VALUE"""),1302.15)</f>
        <v>1302.15</v>
      </c>
      <c r="R245" s="177">
        <f>IFERROR(__xludf.DUMMYFUNCTION("""COMPUTED_VALUE"""),1313.1)</f>
        <v>1313.1</v>
      </c>
      <c r="S245" s="177">
        <f>IFERROR(__xludf.DUMMYFUNCTION("""COMPUTED_VALUE"""),1.1278014E7)</f>
        <v>11278014</v>
      </c>
      <c r="T245" s="177">
        <f t="shared" si="2"/>
        <v>0.002478127043</v>
      </c>
      <c r="U245" s="178"/>
      <c r="V245" s="177"/>
      <c r="W245" s="189"/>
      <c r="X245" s="140"/>
      <c r="Y245" s="140"/>
      <c r="Z245" s="176">
        <f>IFERROR(__xludf.DUMMYFUNCTION("""COMPUTED_VALUE"""),45735.64583333333)</f>
        <v>45735.64583</v>
      </c>
      <c r="AA245" s="177">
        <f>IFERROR(__xludf.DUMMYFUNCTION("""COMPUTED_VALUE"""),337.25)</f>
        <v>337.25</v>
      </c>
      <c r="AB245" s="177">
        <f>IFERROR(__xludf.DUMMYFUNCTION("""COMPUTED_VALUE"""),342.85)</f>
        <v>342.85</v>
      </c>
      <c r="AC245" s="177">
        <f>IFERROR(__xludf.DUMMYFUNCTION("""COMPUTED_VALUE"""),336.05)</f>
        <v>336.05</v>
      </c>
      <c r="AD245" s="177">
        <f>IFERROR(__xludf.DUMMYFUNCTION("""COMPUTED_VALUE"""),339.3)</f>
        <v>339.3</v>
      </c>
      <c r="AE245" s="177">
        <f>IFERROR(__xludf.DUMMYFUNCTION("""COMPUTED_VALUE"""),7037625.0)</f>
        <v>7037625</v>
      </c>
      <c r="AF245" s="177">
        <f t="shared" si="3"/>
        <v>0.007246944384</v>
      </c>
      <c r="AG245" s="177"/>
      <c r="AH245" s="177"/>
      <c r="AI245" s="189"/>
      <c r="AJ245" s="140"/>
      <c r="AK245" s="140"/>
      <c r="AL245" s="176">
        <f>IFERROR(__xludf.DUMMYFUNCTION("""COMPUTED_VALUE"""),45735.64583333333)</f>
        <v>45735.64583</v>
      </c>
      <c r="AM245" s="177">
        <f>IFERROR(__xludf.DUMMYFUNCTION("""COMPUTED_VALUE"""),3600.0)</f>
        <v>3600</v>
      </c>
      <c r="AN245" s="177">
        <f>IFERROR(__xludf.DUMMYFUNCTION("""COMPUTED_VALUE"""),3772.4)</f>
        <v>3772.4</v>
      </c>
      <c r="AO245" s="177">
        <f>IFERROR(__xludf.DUMMYFUNCTION("""COMPUTED_VALUE"""),3577.55)</f>
        <v>3577.55</v>
      </c>
      <c r="AP245" s="177">
        <f>IFERROR(__xludf.DUMMYFUNCTION("""COMPUTED_VALUE"""),3740.65)</f>
        <v>3740.65</v>
      </c>
      <c r="AQ245" s="177">
        <f>IFERROR(__xludf.DUMMYFUNCTION("""COMPUTED_VALUE"""),2913829.0)</f>
        <v>2913829</v>
      </c>
      <c r="AR245" s="177">
        <f t="shared" si="4"/>
        <v>0.04391055928</v>
      </c>
      <c r="AS245" s="177"/>
      <c r="AT245" s="177"/>
      <c r="AU245" s="189"/>
      <c r="AV245" s="140"/>
      <c r="AW245" s="140"/>
      <c r="AX245" s="176">
        <f>IFERROR(__xludf.DUMMYFUNCTION("""COMPUTED_VALUE"""),45735.64583333333)</f>
        <v>45735.64583</v>
      </c>
      <c r="AY245" s="177">
        <f>IFERROR(__xludf.DUMMYFUNCTION("""COMPUTED_VALUE"""),410.0)</f>
        <v>410</v>
      </c>
      <c r="AZ245" s="177">
        <f>IFERROR(__xludf.DUMMYFUNCTION("""COMPUTED_VALUE"""),410.75)</f>
        <v>410.75</v>
      </c>
      <c r="BA245" s="177">
        <f>IFERROR(__xludf.DUMMYFUNCTION("""COMPUTED_VALUE"""),402.6)</f>
        <v>402.6</v>
      </c>
      <c r="BB245" s="177">
        <f>IFERROR(__xludf.DUMMYFUNCTION("""COMPUTED_VALUE"""),403.05)</f>
        <v>403.05</v>
      </c>
      <c r="BC245" s="177">
        <f>IFERROR(__xludf.DUMMYFUNCTION("""COMPUTED_VALUE"""),1.2830387E7)</f>
        <v>12830387</v>
      </c>
      <c r="BD245" s="177">
        <f t="shared" si="5"/>
        <v>-0.01489900121</v>
      </c>
      <c r="BE245" s="177"/>
      <c r="BF245" s="177"/>
      <c r="BG245" s="189"/>
      <c r="BH245" s="140"/>
      <c r="BI245" s="140"/>
      <c r="BJ245" s="140"/>
      <c r="BK245" s="140"/>
      <c r="BL245" s="140"/>
      <c r="BM245" s="140"/>
      <c r="BN245" s="140"/>
      <c r="BO245" s="140"/>
      <c r="BP245" s="140"/>
      <c r="BQ245" s="140"/>
      <c r="BR245" s="140"/>
      <c r="BS245" s="140"/>
      <c r="BT245" s="140"/>
      <c r="BU245" s="140"/>
      <c r="BV245" s="140"/>
      <c r="BW245" s="140"/>
      <c r="BX245" s="140"/>
      <c r="BY245" s="140"/>
    </row>
    <row r="246" ht="15.75" customHeight="1">
      <c r="A246" s="168"/>
      <c r="B246" s="169">
        <v>45736.0</v>
      </c>
      <c r="C246" s="170">
        <v>8457.52</v>
      </c>
      <c r="D246" s="170">
        <v>8481.52</v>
      </c>
      <c r="E246" s="170">
        <v>8401.12</v>
      </c>
      <c r="F246" s="170">
        <v>8449.12</v>
      </c>
      <c r="G246" s="171" t="s">
        <v>238</v>
      </c>
      <c r="H246" s="172">
        <f t="shared" si="1"/>
        <v>-0.0007571885951</v>
      </c>
      <c r="I246" s="172"/>
      <c r="J246" s="172"/>
      <c r="K246" s="188"/>
      <c r="L246" s="140"/>
      <c r="M246" s="140"/>
      <c r="N246" s="176">
        <f>IFERROR(__xludf.DUMMYFUNCTION("""COMPUTED_VALUE"""),45736.64583333333)</f>
        <v>45736.64583</v>
      </c>
      <c r="O246" s="177">
        <f>IFERROR(__xludf.DUMMYFUNCTION("""COMPUTED_VALUE"""),1320.0)</f>
        <v>1320</v>
      </c>
      <c r="P246" s="177">
        <f>IFERROR(__xludf.DUMMYFUNCTION("""COMPUTED_VALUE"""),1324.25)</f>
        <v>1324.25</v>
      </c>
      <c r="Q246" s="177">
        <f>IFERROR(__xludf.DUMMYFUNCTION("""COMPUTED_VALUE"""),1311.05)</f>
        <v>1311.05</v>
      </c>
      <c r="R246" s="177">
        <f>IFERROR(__xludf.DUMMYFUNCTION("""COMPUTED_VALUE"""),1321.7)</f>
        <v>1321.7</v>
      </c>
      <c r="S246" s="177">
        <f>IFERROR(__xludf.DUMMYFUNCTION("""COMPUTED_VALUE"""),1.0886735E7)</f>
        <v>10886735</v>
      </c>
      <c r="T246" s="177">
        <f t="shared" si="2"/>
        <v>0.006528032899</v>
      </c>
      <c r="U246" s="178"/>
      <c r="V246" s="177"/>
      <c r="W246" s="189"/>
      <c r="X246" s="140"/>
      <c r="Y246" s="140"/>
      <c r="Z246" s="176">
        <f>IFERROR(__xludf.DUMMYFUNCTION("""COMPUTED_VALUE"""),45736.64583333333)</f>
        <v>45736.64583</v>
      </c>
      <c r="AA246" s="177">
        <f>IFERROR(__xludf.DUMMYFUNCTION("""COMPUTED_VALUE"""),341.0)</f>
        <v>341</v>
      </c>
      <c r="AB246" s="177">
        <f>IFERROR(__xludf.DUMMYFUNCTION("""COMPUTED_VALUE"""),342.1)</f>
        <v>342.1</v>
      </c>
      <c r="AC246" s="177">
        <f>IFERROR(__xludf.DUMMYFUNCTION("""COMPUTED_VALUE"""),334.1)</f>
        <v>334.1</v>
      </c>
      <c r="AD246" s="177">
        <f>IFERROR(__xludf.DUMMYFUNCTION("""COMPUTED_VALUE"""),340.6)</f>
        <v>340.6</v>
      </c>
      <c r="AE246" s="177">
        <f>IFERROR(__xludf.DUMMYFUNCTION("""COMPUTED_VALUE"""),3429892.0)</f>
        <v>3429892</v>
      </c>
      <c r="AF246" s="177">
        <f t="shared" si="3"/>
        <v>0.003824096438</v>
      </c>
      <c r="AG246" s="177"/>
      <c r="AH246" s="177"/>
      <c r="AI246" s="189"/>
      <c r="AJ246" s="140"/>
      <c r="AK246" s="140"/>
      <c r="AL246" s="176">
        <f>IFERROR(__xludf.DUMMYFUNCTION("""COMPUTED_VALUE"""),45736.64583333333)</f>
        <v>45736.64583</v>
      </c>
      <c r="AM246" s="177">
        <f>IFERROR(__xludf.DUMMYFUNCTION("""COMPUTED_VALUE"""),3789.0)</f>
        <v>3789</v>
      </c>
      <c r="AN246" s="177">
        <f>IFERROR(__xludf.DUMMYFUNCTION("""COMPUTED_VALUE"""),3848.0)</f>
        <v>3848</v>
      </c>
      <c r="AO246" s="177">
        <f>IFERROR(__xludf.DUMMYFUNCTION("""COMPUTED_VALUE"""),3704.15)</f>
        <v>3704.15</v>
      </c>
      <c r="AP246" s="177">
        <f>IFERROR(__xludf.DUMMYFUNCTION("""COMPUTED_VALUE"""),3818.95)</f>
        <v>3818.95</v>
      </c>
      <c r="AQ246" s="177">
        <f>IFERROR(__xludf.DUMMYFUNCTION("""COMPUTED_VALUE"""),2956442.0)</f>
        <v>2956442</v>
      </c>
      <c r="AR246" s="177">
        <f t="shared" si="4"/>
        <v>0.02071612261</v>
      </c>
      <c r="AS246" s="177"/>
      <c r="AT246" s="177"/>
      <c r="AU246" s="189"/>
      <c r="AV246" s="140"/>
      <c r="AW246" s="140"/>
      <c r="AX246" s="176">
        <f>IFERROR(__xludf.DUMMYFUNCTION("""COMPUTED_VALUE"""),45736.64583333333)</f>
        <v>45736.64583</v>
      </c>
      <c r="AY246" s="177">
        <f>IFERROR(__xludf.DUMMYFUNCTION("""COMPUTED_VALUE"""),405.0)</f>
        <v>405</v>
      </c>
      <c r="AZ246" s="177">
        <f>IFERROR(__xludf.DUMMYFUNCTION("""COMPUTED_VALUE"""),406.65)</f>
        <v>406.65</v>
      </c>
      <c r="BA246" s="177">
        <f>IFERROR(__xludf.DUMMYFUNCTION("""COMPUTED_VALUE"""),401.9)</f>
        <v>401.9</v>
      </c>
      <c r="BB246" s="177">
        <f>IFERROR(__xludf.DUMMYFUNCTION("""COMPUTED_VALUE"""),403.95)</f>
        <v>403.95</v>
      </c>
      <c r="BC246" s="177">
        <f>IFERROR(__xludf.DUMMYFUNCTION("""COMPUTED_VALUE"""),1.6994037E7)</f>
        <v>16994037</v>
      </c>
      <c r="BD246" s="177">
        <f t="shared" si="5"/>
        <v>0.002230484196</v>
      </c>
      <c r="BE246" s="177"/>
      <c r="BF246" s="177"/>
      <c r="BG246" s="189"/>
      <c r="BH246" s="140"/>
      <c r="BI246" s="140"/>
      <c r="BJ246" s="140"/>
      <c r="BK246" s="140"/>
      <c r="BL246" s="140"/>
      <c r="BM246" s="140"/>
      <c r="BN246" s="140"/>
      <c r="BO246" s="140"/>
      <c r="BP246" s="140"/>
      <c r="BQ246" s="140"/>
      <c r="BR246" s="140"/>
      <c r="BS246" s="140"/>
      <c r="BT246" s="140"/>
      <c r="BU246" s="140"/>
      <c r="BV246" s="140"/>
      <c r="BW246" s="140"/>
      <c r="BX246" s="140"/>
      <c r="BY246" s="140"/>
    </row>
    <row r="247" ht="15.75" customHeight="1">
      <c r="A247" s="168"/>
      <c r="B247" s="169">
        <v>45737.0</v>
      </c>
      <c r="C247" s="170">
        <v>8450.78</v>
      </c>
      <c r="D247" s="170">
        <v>8459.12</v>
      </c>
      <c r="E247" s="170">
        <v>8295.52</v>
      </c>
      <c r="F247" s="170">
        <v>8358.78</v>
      </c>
      <c r="G247" s="171" t="s">
        <v>238</v>
      </c>
      <c r="H247" s="172">
        <f t="shared" si="1"/>
        <v>-0.0107498105</v>
      </c>
      <c r="I247" s="172"/>
      <c r="J247" s="172"/>
      <c r="K247" s="188"/>
      <c r="L247" s="140"/>
      <c r="M247" s="140"/>
      <c r="N247" s="176">
        <f>IFERROR(__xludf.DUMMYFUNCTION("""COMPUTED_VALUE"""),45737.64583333333)</f>
        <v>45737.64583</v>
      </c>
      <c r="O247" s="177">
        <f>IFERROR(__xludf.DUMMYFUNCTION("""COMPUTED_VALUE"""),1316.0)</f>
        <v>1316</v>
      </c>
      <c r="P247" s="177">
        <f>IFERROR(__xludf.DUMMYFUNCTION("""COMPUTED_VALUE"""),1349.0)</f>
        <v>1349</v>
      </c>
      <c r="Q247" s="177">
        <f>IFERROR(__xludf.DUMMYFUNCTION("""COMPUTED_VALUE"""),1311.6)</f>
        <v>1311.6</v>
      </c>
      <c r="R247" s="177">
        <f>IFERROR(__xludf.DUMMYFUNCTION("""COMPUTED_VALUE"""),1343.1)</f>
        <v>1343.1</v>
      </c>
      <c r="S247" s="177">
        <f>IFERROR(__xludf.DUMMYFUNCTION("""COMPUTED_VALUE"""),6.0494318E7)</f>
        <v>60494318</v>
      </c>
      <c r="T247" s="177">
        <f t="shared" si="2"/>
        <v>0.01606158815</v>
      </c>
      <c r="U247" s="178"/>
      <c r="V247" s="177"/>
      <c r="W247" s="189"/>
      <c r="X247" s="140"/>
      <c r="Y247" s="140"/>
      <c r="Z247" s="176">
        <f>IFERROR(__xludf.DUMMYFUNCTION("""COMPUTED_VALUE"""),45737.64583333333)</f>
        <v>45737.64583</v>
      </c>
      <c r="AA247" s="177">
        <f>IFERROR(__xludf.DUMMYFUNCTION("""COMPUTED_VALUE"""),340.9)</f>
        <v>340.9</v>
      </c>
      <c r="AB247" s="177">
        <f>IFERROR(__xludf.DUMMYFUNCTION("""COMPUTED_VALUE"""),350.0)</f>
        <v>350</v>
      </c>
      <c r="AC247" s="177">
        <f>IFERROR(__xludf.DUMMYFUNCTION("""COMPUTED_VALUE"""),338.45)</f>
        <v>338.45</v>
      </c>
      <c r="AD247" s="177">
        <f>IFERROR(__xludf.DUMMYFUNCTION("""COMPUTED_VALUE"""),348.85)</f>
        <v>348.85</v>
      </c>
      <c r="AE247" s="177">
        <f>IFERROR(__xludf.DUMMYFUNCTION("""COMPUTED_VALUE"""),8201117.0)</f>
        <v>8201117</v>
      </c>
      <c r="AF247" s="177">
        <f t="shared" si="3"/>
        <v>0.02393326216</v>
      </c>
      <c r="AG247" s="177"/>
      <c r="AH247" s="177"/>
      <c r="AI247" s="189"/>
      <c r="AJ247" s="140"/>
      <c r="AK247" s="140"/>
      <c r="AL247" s="176">
        <f>IFERROR(__xludf.DUMMYFUNCTION("""COMPUTED_VALUE"""),45737.64583333333)</f>
        <v>45737.64583</v>
      </c>
      <c r="AM247" s="177">
        <f>IFERROR(__xludf.DUMMYFUNCTION("""COMPUTED_VALUE"""),3849.0)</f>
        <v>3849</v>
      </c>
      <c r="AN247" s="177">
        <f>IFERROR(__xludf.DUMMYFUNCTION("""COMPUTED_VALUE"""),3947.45)</f>
        <v>3947.45</v>
      </c>
      <c r="AO247" s="177">
        <f>IFERROR(__xludf.DUMMYFUNCTION("""COMPUTED_VALUE"""),3812.5)</f>
        <v>3812.5</v>
      </c>
      <c r="AP247" s="177">
        <f>IFERROR(__xludf.DUMMYFUNCTION("""COMPUTED_VALUE"""),3891.25)</f>
        <v>3891.25</v>
      </c>
      <c r="AQ247" s="177">
        <f>IFERROR(__xludf.DUMMYFUNCTION("""COMPUTED_VALUE"""),3311452.0)</f>
        <v>3311452</v>
      </c>
      <c r="AR247" s="177">
        <f t="shared" si="4"/>
        <v>0.01875492705</v>
      </c>
      <c r="AS247" s="177"/>
      <c r="AT247" s="177"/>
      <c r="AU247" s="189"/>
      <c r="AV247" s="140"/>
      <c r="AW247" s="140"/>
      <c r="AX247" s="176">
        <f>IFERROR(__xludf.DUMMYFUNCTION("""COMPUTED_VALUE"""),45737.64583333333)</f>
        <v>45737.64583</v>
      </c>
      <c r="AY247" s="177">
        <f>IFERROR(__xludf.DUMMYFUNCTION("""COMPUTED_VALUE"""),405.95)</f>
        <v>405.95</v>
      </c>
      <c r="AZ247" s="177">
        <f>IFERROR(__xludf.DUMMYFUNCTION("""COMPUTED_VALUE"""),407.5)</f>
        <v>407.5</v>
      </c>
      <c r="BA247" s="177">
        <f>IFERROR(__xludf.DUMMYFUNCTION("""COMPUTED_VALUE"""),401.7)</f>
        <v>401.7</v>
      </c>
      <c r="BB247" s="177">
        <f>IFERROR(__xludf.DUMMYFUNCTION("""COMPUTED_VALUE"""),405.55)</f>
        <v>405.55</v>
      </c>
      <c r="BC247" s="177">
        <f>IFERROR(__xludf.DUMMYFUNCTION("""COMPUTED_VALUE"""),2.5302035E7)</f>
        <v>25302035</v>
      </c>
      <c r="BD247" s="177">
        <f t="shared" si="5"/>
        <v>0.003953062591</v>
      </c>
      <c r="BE247" s="177"/>
      <c r="BF247" s="177"/>
      <c r="BG247" s="189"/>
      <c r="BH247" s="140"/>
      <c r="BI247" s="140"/>
      <c r="BJ247" s="140"/>
      <c r="BK247" s="140"/>
      <c r="BL247" s="140"/>
      <c r="BM247" s="140"/>
      <c r="BN247" s="140"/>
      <c r="BO247" s="140"/>
      <c r="BP247" s="140"/>
      <c r="BQ247" s="140"/>
      <c r="BR247" s="140"/>
      <c r="BS247" s="140"/>
      <c r="BT247" s="140"/>
      <c r="BU247" s="140"/>
      <c r="BV247" s="140"/>
      <c r="BW247" s="140"/>
      <c r="BX247" s="140"/>
      <c r="BY247" s="140"/>
    </row>
    <row r="248" ht="15.75" customHeight="1">
      <c r="A248" s="168"/>
      <c r="B248" s="169">
        <v>45740.0</v>
      </c>
      <c r="C248" s="170">
        <v>8357.12</v>
      </c>
      <c r="D248" s="170">
        <v>8367.12</v>
      </c>
      <c r="E248" s="170">
        <v>8260.12</v>
      </c>
      <c r="F248" s="170">
        <v>8280.78</v>
      </c>
      <c r="G248" s="171" t="s">
        <v>238</v>
      </c>
      <c r="H248" s="172">
        <f t="shared" si="1"/>
        <v>-0.009375316574</v>
      </c>
      <c r="I248" s="172"/>
      <c r="J248" s="172"/>
      <c r="K248" s="188"/>
      <c r="L248" s="140"/>
      <c r="M248" s="140"/>
      <c r="N248" s="176">
        <f>IFERROR(__xludf.DUMMYFUNCTION("""COMPUTED_VALUE"""),45740.64583333333)</f>
        <v>45740.64583</v>
      </c>
      <c r="O248" s="177">
        <f>IFERROR(__xludf.DUMMYFUNCTION("""COMPUTED_VALUE"""),1355.95)</f>
        <v>1355.95</v>
      </c>
      <c r="P248" s="177">
        <f>IFERROR(__xludf.DUMMYFUNCTION("""COMPUTED_VALUE"""),1373.0)</f>
        <v>1373</v>
      </c>
      <c r="Q248" s="177">
        <f>IFERROR(__xludf.DUMMYFUNCTION("""COMPUTED_VALUE"""),1345.05)</f>
        <v>1345.05</v>
      </c>
      <c r="R248" s="177">
        <f>IFERROR(__xludf.DUMMYFUNCTION("""COMPUTED_VALUE"""),1358.15)</f>
        <v>1358.15</v>
      </c>
      <c r="S248" s="177">
        <f>IFERROR(__xludf.DUMMYFUNCTION("""COMPUTED_VALUE"""),9352280.0)</f>
        <v>9352280</v>
      </c>
      <c r="T248" s="177">
        <f t="shared" si="2"/>
        <v>0.01114310466</v>
      </c>
      <c r="U248" s="178"/>
      <c r="V248" s="177"/>
      <c r="W248" s="189"/>
      <c r="X248" s="140"/>
      <c r="Y248" s="140"/>
      <c r="Z248" s="176">
        <f>IFERROR(__xludf.DUMMYFUNCTION("""COMPUTED_VALUE"""),45740.64583333333)</f>
        <v>45740.64583</v>
      </c>
      <c r="AA248" s="177">
        <f>IFERROR(__xludf.DUMMYFUNCTION("""COMPUTED_VALUE"""),355.0)</f>
        <v>355</v>
      </c>
      <c r="AB248" s="177">
        <f>IFERROR(__xludf.DUMMYFUNCTION("""COMPUTED_VALUE"""),358.9)</f>
        <v>358.9</v>
      </c>
      <c r="AC248" s="177">
        <f>IFERROR(__xludf.DUMMYFUNCTION("""COMPUTED_VALUE"""),348.25)</f>
        <v>348.25</v>
      </c>
      <c r="AD248" s="177">
        <f>IFERROR(__xludf.DUMMYFUNCTION("""COMPUTED_VALUE"""),349.05)</f>
        <v>349.05</v>
      </c>
      <c r="AE248" s="177">
        <f>IFERROR(__xludf.DUMMYFUNCTION("""COMPUTED_VALUE"""),5023515.0)</f>
        <v>5023515</v>
      </c>
      <c r="AF248" s="177">
        <f t="shared" si="3"/>
        <v>0.0005731480312</v>
      </c>
      <c r="AG248" s="177"/>
      <c r="AH248" s="177"/>
      <c r="AI248" s="189"/>
      <c r="AJ248" s="140"/>
      <c r="AK248" s="140"/>
      <c r="AL248" s="176">
        <f>IFERROR(__xludf.DUMMYFUNCTION("""COMPUTED_VALUE"""),45740.64583333333)</f>
        <v>45740.64583</v>
      </c>
      <c r="AM248" s="177">
        <f>IFERROR(__xludf.DUMMYFUNCTION("""COMPUTED_VALUE"""),3953.0)</f>
        <v>3953</v>
      </c>
      <c r="AN248" s="177">
        <f>IFERROR(__xludf.DUMMYFUNCTION("""COMPUTED_VALUE"""),4158.0)</f>
        <v>4158</v>
      </c>
      <c r="AO248" s="177">
        <f>IFERROR(__xludf.DUMMYFUNCTION("""COMPUTED_VALUE"""),3940.2)</f>
        <v>3940.2</v>
      </c>
      <c r="AP248" s="177">
        <f>IFERROR(__xludf.DUMMYFUNCTION("""COMPUTED_VALUE"""),4129.8)</f>
        <v>4129.8</v>
      </c>
      <c r="AQ248" s="177">
        <f>IFERROR(__xludf.DUMMYFUNCTION("""COMPUTED_VALUE"""),4251655.0)</f>
        <v>4251655</v>
      </c>
      <c r="AR248" s="177">
        <f t="shared" si="4"/>
        <v>0.05949853688</v>
      </c>
      <c r="AS248" s="177"/>
      <c r="AT248" s="177"/>
      <c r="AU248" s="189"/>
      <c r="AV248" s="140"/>
      <c r="AW248" s="140"/>
      <c r="AX248" s="176">
        <f>IFERROR(__xludf.DUMMYFUNCTION("""COMPUTED_VALUE"""),45740.64583333333)</f>
        <v>45740.64583</v>
      </c>
      <c r="AY248" s="177">
        <f>IFERROR(__xludf.DUMMYFUNCTION("""COMPUTED_VALUE"""),407.0)</f>
        <v>407</v>
      </c>
      <c r="AZ248" s="177">
        <f>IFERROR(__xludf.DUMMYFUNCTION("""COMPUTED_VALUE"""),412.85)</f>
        <v>412.85</v>
      </c>
      <c r="BA248" s="177">
        <f>IFERROR(__xludf.DUMMYFUNCTION("""COMPUTED_VALUE"""),405.6)</f>
        <v>405.6</v>
      </c>
      <c r="BB248" s="177">
        <f>IFERROR(__xludf.DUMMYFUNCTION("""COMPUTED_VALUE"""),410.9)</f>
        <v>410.9</v>
      </c>
      <c r="BC248" s="177">
        <f>IFERROR(__xludf.DUMMYFUNCTION("""COMPUTED_VALUE"""),1.4362572E7)</f>
        <v>14362572</v>
      </c>
      <c r="BD248" s="177">
        <f t="shared" si="5"/>
        <v>0.01310570537</v>
      </c>
      <c r="BE248" s="177"/>
      <c r="BF248" s="177"/>
      <c r="BG248" s="189"/>
      <c r="BH248" s="140"/>
      <c r="BI248" s="140"/>
      <c r="BJ248" s="140"/>
      <c r="BK248" s="140"/>
      <c r="BL248" s="140"/>
      <c r="BM248" s="140"/>
      <c r="BN248" s="140"/>
      <c r="BO248" s="140"/>
      <c r="BP248" s="140"/>
      <c r="BQ248" s="140"/>
      <c r="BR248" s="140"/>
      <c r="BS248" s="140"/>
      <c r="BT248" s="140"/>
      <c r="BU248" s="140"/>
      <c r="BV248" s="140"/>
      <c r="BW248" s="140"/>
      <c r="BX248" s="140"/>
      <c r="BY248" s="140"/>
    </row>
    <row r="249" ht="15.75" customHeight="1">
      <c r="A249" s="168"/>
      <c r="B249" s="169">
        <v>45741.0</v>
      </c>
      <c r="C249" s="170">
        <v>8283.12</v>
      </c>
      <c r="D249" s="170">
        <v>8363.12</v>
      </c>
      <c r="E249" s="170">
        <v>8274.12</v>
      </c>
      <c r="F249" s="170">
        <v>8306.78</v>
      </c>
      <c r="G249" s="171" t="s">
        <v>238</v>
      </c>
      <c r="H249" s="172">
        <f t="shared" si="1"/>
        <v>0.003134881959</v>
      </c>
      <c r="I249" s="172"/>
      <c r="J249" s="172"/>
      <c r="K249" s="188"/>
      <c r="L249" s="140"/>
      <c r="M249" s="140"/>
      <c r="N249" s="176">
        <f>IFERROR(__xludf.DUMMYFUNCTION("""COMPUTED_VALUE"""),45741.64583333333)</f>
        <v>45741.64583</v>
      </c>
      <c r="O249" s="177">
        <f>IFERROR(__xludf.DUMMYFUNCTION("""COMPUTED_VALUE"""),1359.0)</f>
        <v>1359</v>
      </c>
      <c r="P249" s="177">
        <f>IFERROR(__xludf.DUMMYFUNCTION("""COMPUTED_VALUE"""),1363.8)</f>
        <v>1363.8</v>
      </c>
      <c r="Q249" s="177">
        <f>IFERROR(__xludf.DUMMYFUNCTION("""COMPUTED_VALUE"""),1330.05)</f>
        <v>1330.05</v>
      </c>
      <c r="R249" s="177">
        <f>IFERROR(__xludf.DUMMYFUNCTION("""COMPUTED_VALUE"""),1343.7)</f>
        <v>1343.7</v>
      </c>
      <c r="S249" s="177">
        <f>IFERROR(__xludf.DUMMYFUNCTION("""COMPUTED_VALUE"""),1.6419207E7)</f>
        <v>16419207</v>
      </c>
      <c r="T249" s="177">
        <f t="shared" si="2"/>
        <v>-0.01069647669</v>
      </c>
      <c r="U249" s="178"/>
      <c r="V249" s="177"/>
      <c r="W249" s="189"/>
      <c r="X249" s="140"/>
      <c r="Y249" s="140"/>
      <c r="Z249" s="176">
        <f>IFERROR(__xludf.DUMMYFUNCTION("""COMPUTED_VALUE"""),45741.64583333333)</f>
        <v>45741.64583</v>
      </c>
      <c r="AA249" s="177">
        <f>IFERROR(__xludf.DUMMYFUNCTION("""COMPUTED_VALUE"""),350.9)</f>
        <v>350.9</v>
      </c>
      <c r="AB249" s="177">
        <f>IFERROR(__xludf.DUMMYFUNCTION("""COMPUTED_VALUE"""),350.9)</f>
        <v>350.9</v>
      </c>
      <c r="AC249" s="177">
        <f>IFERROR(__xludf.DUMMYFUNCTION("""COMPUTED_VALUE"""),337.25)</f>
        <v>337.25</v>
      </c>
      <c r="AD249" s="177">
        <f>IFERROR(__xludf.DUMMYFUNCTION("""COMPUTED_VALUE"""),339.75)</f>
        <v>339.75</v>
      </c>
      <c r="AE249" s="177">
        <f>IFERROR(__xludf.DUMMYFUNCTION("""COMPUTED_VALUE"""),4042558.0)</f>
        <v>4042558</v>
      </c>
      <c r="AF249" s="177">
        <f t="shared" si="3"/>
        <v>-0.02700512539</v>
      </c>
      <c r="AG249" s="177"/>
      <c r="AH249" s="177"/>
      <c r="AI249" s="189"/>
      <c r="AJ249" s="140"/>
      <c r="AK249" s="140"/>
      <c r="AL249" s="176">
        <f>IFERROR(__xludf.DUMMYFUNCTION("""COMPUTED_VALUE"""),45741.64583333333)</f>
        <v>45741.64583</v>
      </c>
      <c r="AM249" s="177">
        <f>IFERROR(__xludf.DUMMYFUNCTION("""COMPUTED_VALUE"""),4200.4)</f>
        <v>4200.4</v>
      </c>
      <c r="AN249" s="177">
        <f>IFERROR(__xludf.DUMMYFUNCTION("""COMPUTED_VALUE"""),4215.0)</f>
        <v>4215</v>
      </c>
      <c r="AO249" s="177">
        <f>IFERROR(__xludf.DUMMYFUNCTION("""COMPUTED_VALUE"""),4000.8)</f>
        <v>4000.8</v>
      </c>
      <c r="AP249" s="177">
        <f>IFERROR(__xludf.DUMMYFUNCTION("""COMPUTED_VALUE"""),4012.45)</f>
        <v>4012.45</v>
      </c>
      <c r="AQ249" s="177">
        <f>IFERROR(__xludf.DUMMYFUNCTION("""COMPUTED_VALUE"""),3634045.0)</f>
        <v>3634045</v>
      </c>
      <c r="AR249" s="177">
        <f t="shared" si="4"/>
        <v>-0.02882695233</v>
      </c>
      <c r="AS249" s="177"/>
      <c r="AT249" s="177"/>
      <c r="AU249" s="189"/>
      <c r="AV249" s="140"/>
      <c r="AW249" s="140"/>
      <c r="AX249" s="176">
        <f>IFERROR(__xludf.DUMMYFUNCTION("""COMPUTED_VALUE"""),45741.64583333333)</f>
        <v>45741.64583</v>
      </c>
      <c r="AY249" s="177">
        <f>IFERROR(__xludf.DUMMYFUNCTION("""COMPUTED_VALUE"""),412.0)</f>
        <v>412</v>
      </c>
      <c r="AZ249" s="177">
        <f>IFERROR(__xludf.DUMMYFUNCTION("""COMPUTED_VALUE"""),415.25)</f>
        <v>415.25</v>
      </c>
      <c r="BA249" s="177">
        <f>IFERROR(__xludf.DUMMYFUNCTION("""COMPUTED_VALUE"""),408.7)</f>
        <v>408.7</v>
      </c>
      <c r="BB249" s="177">
        <f>IFERROR(__xludf.DUMMYFUNCTION("""COMPUTED_VALUE"""),409.8)</f>
        <v>409.8</v>
      </c>
      <c r="BC249" s="177">
        <f>IFERROR(__xludf.DUMMYFUNCTION("""COMPUTED_VALUE"""),2.033811E7)</f>
        <v>20338110</v>
      </c>
      <c r="BD249" s="177">
        <f t="shared" si="5"/>
        <v>-0.002680640085</v>
      </c>
      <c r="BE249" s="177"/>
      <c r="BF249" s="177"/>
      <c r="BG249" s="189"/>
      <c r="BH249" s="140"/>
      <c r="BI249" s="140"/>
      <c r="BJ249" s="140"/>
      <c r="BK249" s="140"/>
      <c r="BL249" s="140"/>
      <c r="BM249" s="140"/>
      <c r="BN249" s="140"/>
      <c r="BO249" s="140"/>
      <c r="BP249" s="140"/>
      <c r="BQ249" s="140"/>
      <c r="BR249" s="140"/>
      <c r="BS249" s="140"/>
      <c r="BT249" s="140"/>
      <c r="BU249" s="140"/>
      <c r="BV249" s="140"/>
      <c r="BW249" s="140"/>
      <c r="BX249" s="140"/>
      <c r="BY249" s="140"/>
    </row>
    <row r="250" ht="15.75" customHeight="1">
      <c r="A250" s="168"/>
      <c r="B250" s="169">
        <v>45742.0</v>
      </c>
      <c r="C250" s="170">
        <v>8311.52</v>
      </c>
      <c r="D250" s="170">
        <v>8363.12</v>
      </c>
      <c r="E250" s="170">
        <v>8295.12</v>
      </c>
      <c r="F250" s="170">
        <v>8311.52</v>
      </c>
      <c r="G250" s="171" t="s">
        <v>238</v>
      </c>
      <c r="H250" s="172">
        <f t="shared" si="1"/>
        <v>0.0005704554772</v>
      </c>
      <c r="I250" s="172"/>
      <c r="J250" s="172"/>
      <c r="K250" s="188"/>
      <c r="L250" s="140"/>
      <c r="M250" s="140"/>
      <c r="N250" s="176">
        <f>IFERROR(__xludf.DUMMYFUNCTION("""COMPUTED_VALUE"""),45742.64583333333)</f>
        <v>45742.64583</v>
      </c>
      <c r="O250" s="177">
        <f>IFERROR(__xludf.DUMMYFUNCTION("""COMPUTED_VALUE"""),1344.05)</f>
        <v>1344.05</v>
      </c>
      <c r="P250" s="177">
        <f>IFERROR(__xludf.DUMMYFUNCTION("""COMPUTED_VALUE"""),1358.0)</f>
        <v>1358</v>
      </c>
      <c r="Q250" s="177">
        <f>IFERROR(__xludf.DUMMYFUNCTION("""COMPUTED_VALUE"""),1331.5)</f>
        <v>1331.5</v>
      </c>
      <c r="R250" s="177">
        <f>IFERROR(__xludf.DUMMYFUNCTION("""COMPUTED_VALUE"""),1335.9)</f>
        <v>1335.9</v>
      </c>
      <c r="S250" s="177">
        <f>IFERROR(__xludf.DUMMYFUNCTION("""COMPUTED_VALUE"""),1.0859639E7)</f>
        <v>10859639</v>
      </c>
      <c r="T250" s="177">
        <f t="shared" si="2"/>
        <v>-0.005821780886</v>
      </c>
      <c r="U250" s="178"/>
      <c r="V250" s="177"/>
      <c r="W250" s="189"/>
      <c r="X250" s="140"/>
      <c r="Y250" s="140"/>
      <c r="Z250" s="176">
        <f>IFERROR(__xludf.DUMMYFUNCTION("""COMPUTED_VALUE"""),45742.64583333333)</f>
        <v>45742.64583</v>
      </c>
      <c r="AA250" s="177">
        <f>IFERROR(__xludf.DUMMYFUNCTION("""COMPUTED_VALUE"""),339.7)</f>
        <v>339.7</v>
      </c>
      <c r="AB250" s="177">
        <f>IFERROR(__xludf.DUMMYFUNCTION("""COMPUTED_VALUE"""),344.0)</f>
        <v>344</v>
      </c>
      <c r="AC250" s="177">
        <f>IFERROR(__xludf.DUMMYFUNCTION("""COMPUTED_VALUE"""),334.9)</f>
        <v>334.9</v>
      </c>
      <c r="AD250" s="177">
        <f>IFERROR(__xludf.DUMMYFUNCTION("""COMPUTED_VALUE"""),339.25)</f>
        <v>339.25</v>
      </c>
      <c r="AE250" s="177">
        <f>IFERROR(__xludf.DUMMYFUNCTION("""COMPUTED_VALUE"""),3678722.0)</f>
        <v>3678722</v>
      </c>
      <c r="AF250" s="177">
        <f t="shared" si="3"/>
        <v>-0.001472754316</v>
      </c>
      <c r="AG250" s="177"/>
      <c r="AH250" s="177"/>
      <c r="AI250" s="189"/>
      <c r="AJ250" s="140"/>
      <c r="AK250" s="140"/>
      <c r="AL250" s="176">
        <f>IFERROR(__xludf.DUMMYFUNCTION("""COMPUTED_VALUE"""),45742.64583333333)</f>
        <v>45742.64583</v>
      </c>
      <c r="AM250" s="177">
        <f>IFERROR(__xludf.DUMMYFUNCTION("""COMPUTED_VALUE"""),4035.0)</f>
        <v>4035</v>
      </c>
      <c r="AN250" s="177">
        <f>IFERROR(__xludf.DUMMYFUNCTION("""COMPUTED_VALUE"""),4185.0)</f>
        <v>4185</v>
      </c>
      <c r="AO250" s="177">
        <f>IFERROR(__xludf.DUMMYFUNCTION("""COMPUTED_VALUE"""),3971.05)</f>
        <v>3971.05</v>
      </c>
      <c r="AP250" s="177">
        <f>IFERROR(__xludf.DUMMYFUNCTION("""COMPUTED_VALUE"""),4128.3)</f>
        <v>4128.3</v>
      </c>
      <c r="AQ250" s="177">
        <f>IFERROR(__xludf.DUMMYFUNCTION("""COMPUTED_VALUE"""),4882801.0)</f>
        <v>4882801</v>
      </c>
      <c r="AR250" s="177">
        <f t="shared" si="4"/>
        <v>0.02846367264</v>
      </c>
      <c r="AS250" s="177"/>
      <c r="AT250" s="177"/>
      <c r="AU250" s="189"/>
      <c r="AV250" s="140"/>
      <c r="AW250" s="140"/>
      <c r="AX250" s="176">
        <f>IFERROR(__xludf.DUMMYFUNCTION("""COMPUTED_VALUE"""),45742.64583333333)</f>
        <v>45742.64583</v>
      </c>
      <c r="AY250" s="177">
        <f>IFERROR(__xludf.DUMMYFUNCTION("""COMPUTED_VALUE"""),410.3)</f>
        <v>410.3</v>
      </c>
      <c r="AZ250" s="177">
        <f>IFERROR(__xludf.DUMMYFUNCTION("""COMPUTED_VALUE"""),411.2)</f>
        <v>411.2</v>
      </c>
      <c r="BA250" s="177">
        <f>IFERROR(__xludf.DUMMYFUNCTION("""COMPUTED_VALUE"""),406.25)</f>
        <v>406.25</v>
      </c>
      <c r="BB250" s="177">
        <f>IFERROR(__xludf.DUMMYFUNCTION("""COMPUTED_VALUE"""),407.35)</f>
        <v>407.35</v>
      </c>
      <c r="BC250" s="177">
        <f>IFERROR(__xludf.DUMMYFUNCTION("""COMPUTED_VALUE"""),1.3891436E7)</f>
        <v>13891436</v>
      </c>
      <c r="BD250" s="177">
        <f t="shared" si="5"/>
        <v>-0.005996469048</v>
      </c>
      <c r="BE250" s="177"/>
      <c r="BF250" s="177"/>
      <c r="BG250" s="189"/>
      <c r="BH250" s="140"/>
      <c r="BI250" s="140"/>
      <c r="BJ250" s="140"/>
      <c r="BK250" s="140"/>
      <c r="BL250" s="140"/>
      <c r="BM250" s="140"/>
      <c r="BN250" s="140"/>
      <c r="BO250" s="140"/>
      <c r="BP250" s="140"/>
      <c r="BQ250" s="140"/>
      <c r="BR250" s="140"/>
      <c r="BS250" s="140"/>
      <c r="BT250" s="140"/>
      <c r="BU250" s="140"/>
      <c r="BV250" s="140"/>
      <c r="BW250" s="140"/>
      <c r="BX250" s="140"/>
      <c r="BY250" s="140"/>
    </row>
    <row r="251" ht="15.75" customHeight="1">
      <c r="A251" s="168"/>
      <c r="B251" s="169">
        <v>45743.0</v>
      </c>
      <c r="C251" s="170">
        <v>8314.12</v>
      </c>
      <c r="D251" s="170">
        <v>8433.12</v>
      </c>
      <c r="E251" s="170">
        <v>8308.78</v>
      </c>
      <c r="F251" s="170">
        <v>8415.12</v>
      </c>
      <c r="G251" s="171" t="s">
        <v>238</v>
      </c>
      <c r="H251" s="172">
        <f t="shared" si="1"/>
        <v>0.0123875835</v>
      </c>
      <c r="I251" s="172"/>
      <c r="J251" s="172"/>
      <c r="K251" s="188"/>
      <c r="L251" s="140"/>
      <c r="M251" s="140"/>
      <c r="N251" s="176">
        <f>IFERROR(__xludf.DUMMYFUNCTION("""COMPUTED_VALUE"""),45743.64583333333)</f>
        <v>45743.64583</v>
      </c>
      <c r="O251" s="177">
        <f>IFERROR(__xludf.DUMMYFUNCTION("""COMPUTED_VALUE"""),1333.15)</f>
        <v>1333.15</v>
      </c>
      <c r="P251" s="177">
        <f>IFERROR(__xludf.DUMMYFUNCTION("""COMPUTED_VALUE"""),1351.5)</f>
        <v>1351.5</v>
      </c>
      <c r="Q251" s="177">
        <f>IFERROR(__xludf.DUMMYFUNCTION("""COMPUTED_VALUE"""),1333.15)</f>
        <v>1333.15</v>
      </c>
      <c r="R251" s="177">
        <f>IFERROR(__xludf.DUMMYFUNCTION("""COMPUTED_VALUE"""),1336.65)</f>
        <v>1336.65</v>
      </c>
      <c r="S251" s="177">
        <f>IFERROR(__xludf.DUMMYFUNCTION("""COMPUTED_VALUE"""),1.5109614E7)</f>
        <v>15109614</v>
      </c>
      <c r="T251" s="177">
        <f t="shared" si="2"/>
        <v>0.0005612617311</v>
      </c>
      <c r="U251" s="178"/>
      <c r="V251" s="177"/>
      <c r="W251" s="189"/>
      <c r="X251" s="140"/>
      <c r="Y251" s="140"/>
      <c r="Z251" s="176">
        <f>IFERROR(__xludf.DUMMYFUNCTION("""COMPUTED_VALUE"""),45743.64583333333)</f>
        <v>45743.64583</v>
      </c>
      <c r="AA251" s="177">
        <f>IFERROR(__xludf.DUMMYFUNCTION("""COMPUTED_VALUE"""),338.1)</f>
        <v>338.1</v>
      </c>
      <c r="AB251" s="177">
        <f>IFERROR(__xludf.DUMMYFUNCTION("""COMPUTED_VALUE"""),341.6)</f>
        <v>341.6</v>
      </c>
      <c r="AC251" s="177">
        <f>IFERROR(__xludf.DUMMYFUNCTION("""COMPUTED_VALUE"""),335.0)</f>
        <v>335</v>
      </c>
      <c r="AD251" s="177">
        <f>IFERROR(__xludf.DUMMYFUNCTION("""COMPUTED_VALUE"""),338.4)</f>
        <v>338.4</v>
      </c>
      <c r="AE251" s="177">
        <f>IFERROR(__xludf.DUMMYFUNCTION("""COMPUTED_VALUE"""),4513735.0)</f>
        <v>4513735</v>
      </c>
      <c r="AF251" s="177">
        <f t="shared" si="3"/>
        <v>-0.002508670983</v>
      </c>
      <c r="AG251" s="177"/>
      <c r="AH251" s="177"/>
      <c r="AI251" s="189"/>
      <c r="AJ251" s="140"/>
      <c r="AK251" s="140"/>
      <c r="AL251" s="176">
        <f>IFERROR(__xludf.DUMMYFUNCTION("""COMPUTED_VALUE"""),45743.64583333333)</f>
        <v>45743.64583</v>
      </c>
      <c r="AM251" s="177">
        <f>IFERROR(__xludf.DUMMYFUNCTION("""COMPUTED_VALUE"""),4150.0)</f>
        <v>4150</v>
      </c>
      <c r="AN251" s="177">
        <f>IFERROR(__xludf.DUMMYFUNCTION("""COMPUTED_VALUE"""),4209.0)</f>
        <v>4209</v>
      </c>
      <c r="AO251" s="177">
        <f>IFERROR(__xludf.DUMMYFUNCTION("""COMPUTED_VALUE"""),4120.7)</f>
        <v>4120.7</v>
      </c>
      <c r="AP251" s="177">
        <f>IFERROR(__xludf.DUMMYFUNCTION("""COMPUTED_VALUE"""),4160.95)</f>
        <v>4160.95</v>
      </c>
      <c r="AQ251" s="177">
        <f>IFERROR(__xludf.DUMMYFUNCTION("""COMPUTED_VALUE"""),2966370.0)</f>
        <v>2966370</v>
      </c>
      <c r="AR251" s="177">
        <f t="shared" si="4"/>
        <v>0.007877713629</v>
      </c>
      <c r="AS251" s="177"/>
      <c r="AT251" s="177"/>
      <c r="AU251" s="189"/>
      <c r="AV251" s="140"/>
      <c r="AW251" s="140"/>
      <c r="AX251" s="176">
        <f>IFERROR(__xludf.DUMMYFUNCTION("""COMPUTED_VALUE"""),45743.64583333333)</f>
        <v>45743.64583</v>
      </c>
      <c r="AY251" s="177">
        <f>IFERROR(__xludf.DUMMYFUNCTION("""COMPUTED_VALUE"""),408.0)</f>
        <v>408</v>
      </c>
      <c r="AZ251" s="177">
        <f>IFERROR(__xludf.DUMMYFUNCTION("""COMPUTED_VALUE"""),410.7)</f>
        <v>410.7</v>
      </c>
      <c r="BA251" s="177">
        <f>IFERROR(__xludf.DUMMYFUNCTION("""COMPUTED_VALUE"""),405.65)</f>
        <v>405.65</v>
      </c>
      <c r="BB251" s="177">
        <f>IFERROR(__xludf.DUMMYFUNCTION("""COMPUTED_VALUE"""),409.45)</f>
        <v>409.45</v>
      </c>
      <c r="BC251" s="177">
        <f>IFERROR(__xludf.DUMMYFUNCTION("""COMPUTED_VALUE"""),1.8642328E7)</f>
        <v>18642328</v>
      </c>
      <c r="BD251" s="177">
        <f t="shared" si="5"/>
        <v>0.00514202896</v>
      </c>
      <c r="BE251" s="177"/>
      <c r="BF251" s="177"/>
      <c r="BG251" s="189"/>
      <c r="BH251" s="140"/>
      <c r="BI251" s="140"/>
      <c r="BJ251" s="140"/>
      <c r="BK251" s="140"/>
      <c r="BL251" s="140"/>
      <c r="BM251" s="140"/>
      <c r="BN251" s="140"/>
      <c r="BO251" s="140"/>
      <c r="BP251" s="140"/>
      <c r="BQ251" s="140"/>
      <c r="BR251" s="140"/>
      <c r="BS251" s="140"/>
      <c r="BT251" s="140"/>
      <c r="BU251" s="140"/>
      <c r="BV251" s="140"/>
      <c r="BW251" s="140"/>
      <c r="BX251" s="140"/>
      <c r="BY251" s="140"/>
    </row>
    <row r="252" ht="15.75" customHeight="1">
      <c r="A252" s="168"/>
      <c r="B252" s="169">
        <v>45744.0</v>
      </c>
      <c r="C252" s="170">
        <v>8412.78</v>
      </c>
      <c r="D252" s="170">
        <v>8493.52</v>
      </c>
      <c r="E252" s="170">
        <v>8407.52</v>
      </c>
      <c r="F252" s="170">
        <v>8483.12</v>
      </c>
      <c r="G252" s="171" t="s">
        <v>238</v>
      </c>
      <c r="H252" s="172">
        <f t="shared" si="1"/>
        <v>0.008048218874</v>
      </c>
      <c r="I252" s="172"/>
      <c r="J252" s="172"/>
      <c r="K252" s="188"/>
      <c r="L252" s="140"/>
      <c r="M252" s="140"/>
      <c r="N252" s="176">
        <f>IFERROR(__xludf.DUMMYFUNCTION("""COMPUTED_VALUE"""),45744.64583333333)</f>
        <v>45744.64583</v>
      </c>
      <c r="O252" s="177">
        <f>IFERROR(__xludf.DUMMYFUNCTION("""COMPUTED_VALUE"""),1336.0)</f>
        <v>1336</v>
      </c>
      <c r="P252" s="177">
        <f>IFERROR(__xludf.DUMMYFUNCTION("""COMPUTED_VALUE"""),1357.95)</f>
        <v>1357.95</v>
      </c>
      <c r="Q252" s="177">
        <f>IFERROR(__xludf.DUMMYFUNCTION("""COMPUTED_VALUE"""),1327.2)</f>
        <v>1327.2</v>
      </c>
      <c r="R252" s="177">
        <f>IFERROR(__xludf.DUMMYFUNCTION("""COMPUTED_VALUE"""),1348.35)</f>
        <v>1348.35</v>
      </c>
      <c r="S252" s="177">
        <f>IFERROR(__xludf.DUMMYFUNCTION("""COMPUTED_VALUE"""),8266544.0)</f>
        <v>8266544</v>
      </c>
      <c r="T252" s="177">
        <f t="shared" si="2"/>
        <v>0.008715138961</v>
      </c>
      <c r="U252" s="178"/>
      <c r="V252" s="177"/>
      <c r="W252" s="189"/>
      <c r="X252" s="140"/>
      <c r="Y252" s="140"/>
      <c r="Z252" s="176">
        <f>IFERROR(__xludf.DUMMYFUNCTION("""COMPUTED_VALUE"""),45744.64583333333)</f>
        <v>45744.64583</v>
      </c>
      <c r="AA252" s="177">
        <f>IFERROR(__xludf.DUMMYFUNCTION("""COMPUTED_VALUE"""),339.95)</f>
        <v>339.95</v>
      </c>
      <c r="AB252" s="177">
        <f>IFERROR(__xludf.DUMMYFUNCTION("""COMPUTED_VALUE"""),343.2)</f>
        <v>343.2</v>
      </c>
      <c r="AC252" s="177">
        <f>IFERROR(__xludf.DUMMYFUNCTION("""COMPUTED_VALUE"""),332.0)</f>
        <v>332</v>
      </c>
      <c r="AD252" s="177">
        <f>IFERROR(__xludf.DUMMYFUNCTION("""COMPUTED_VALUE"""),334.3)</f>
        <v>334.3</v>
      </c>
      <c r="AE252" s="177">
        <f>IFERROR(__xludf.DUMMYFUNCTION("""COMPUTED_VALUE"""),5874129.0)</f>
        <v>5874129</v>
      </c>
      <c r="AF252" s="177">
        <f t="shared" si="3"/>
        <v>-0.01218983431</v>
      </c>
      <c r="AG252" s="177"/>
      <c r="AH252" s="177"/>
      <c r="AI252" s="189"/>
      <c r="AJ252" s="140"/>
      <c r="AK252" s="140"/>
      <c r="AL252" s="176">
        <f>IFERROR(__xludf.DUMMYFUNCTION("""COMPUTED_VALUE"""),45744.64583333333)</f>
        <v>45744.64583</v>
      </c>
      <c r="AM252" s="177">
        <f>IFERROR(__xludf.DUMMYFUNCTION("""COMPUTED_VALUE"""),4198.1)</f>
        <v>4198.1</v>
      </c>
      <c r="AN252" s="177">
        <f>IFERROR(__xludf.DUMMYFUNCTION("""COMPUTED_VALUE"""),4294.0)</f>
        <v>4294</v>
      </c>
      <c r="AO252" s="177">
        <f>IFERROR(__xludf.DUMMYFUNCTION("""COMPUTED_VALUE"""),4161.35)</f>
        <v>4161.35</v>
      </c>
      <c r="AP252" s="177">
        <f>IFERROR(__xludf.DUMMYFUNCTION("""COMPUTED_VALUE"""),4177.45)</f>
        <v>4177.45</v>
      </c>
      <c r="AQ252" s="177">
        <f>IFERROR(__xludf.DUMMYFUNCTION("""COMPUTED_VALUE"""),3295702.0)</f>
        <v>3295702</v>
      </c>
      <c r="AR252" s="177">
        <f t="shared" si="4"/>
        <v>0.003957598948</v>
      </c>
      <c r="AS252" s="177"/>
      <c r="AT252" s="177"/>
      <c r="AU252" s="189"/>
      <c r="AV252" s="140"/>
      <c r="AW252" s="140"/>
      <c r="AX252" s="176">
        <f>IFERROR(__xludf.DUMMYFUNCTION("""COMPUTED_VALUE"""),45744.64583333333)</f>
        <v>45744.64583</v>
      </c>
      <c r="AY252" s="177">
        <f>IFERROR(__xludf.DUMMYFUNCTION("""COMPUTED_VALUE"""),410.9)</f>
        <v>410.9</v>
      </c>
      <c r="AZ252" s="177">
        <f>IFERROR(__xludf.DUMMYFUNCTION("""COMPUTED_VALUE"""),415.6)</f>
        <v>415.6</v>
      </c>
      <c r="BA252" s="177">
        <f>IFERROR(__xludf.DUMMYFUNCTION("""COMPUTED_VALUE"""),408.15)</f>
        <v>408.15</v>
      </c>
      <c r="BB252" s="177">
        <f>IFERROR(__xludf.DUMMYFUNCTION("""COMPUTED_VALUE"""),409.75)</f>
        <v>409.75</v>
      </c>
      <c r="BC252" s="177">
        <f>IFERROR(__xludf.DUMMYFUNCTION("""COMPUTED_VALUE"""),1.2981873E7)</f>
        <v>12981873</v>
      </c>
      <c r="BD252" s="177">
        <f t="shared" si="5"/>
        <v>0.0007324219077</v>
      </c>
      <c r="BE252" s="177"/>
      <c r="BF252" s="177"/>
      <c r="BG252" s="189"/>
      <c r="BH252" s="140"/>
      <c r="BI252" s="140"/>
      <c r="BJ252" s="140"/>
      <c r="BK252" s="140"/>
      <c r="BL252" s="140"/>
      <c r="BM252" s="140"/>
      <c r="BN252" s="140"/>
      <c r="BO252" s="140"/>
      <c r="BP252" s="140"/>
      <c r="BQ252" s="140"/>
      <c r="BR252" s="140"/>
      <c r="BS252" s="140"/>
      <c r="BT252" s="140"/>
      <c r="BU252" s="140"/>
      <c r="BV252" s="140"/>
      <c r="BW252" s="140"/>
      <c r="BX252" s="140"/>
      <c r="BY252" s="140"/>
    </row>
    <row r="253" ht="15.75" customHeight="1">
      <c r="A253" s="168"/>
      <c r="B253" s="169">
        <v>45748.0</v>
      </c>
      <c r="C253" s="170">
        <v>8583.12</v>
      </c>
      <c r="D253" s="170">
        <v>8657.52</v>
      </c>
      <c r="E253" s="170">
        <v>8531.12</v>
      </c>
      <c r="F253" s="170">
        <v>8565.52</v>
      </c>
      <c r="G253" s="171" t="s">
        <v>238</v>
      </c>
      <c r="H253" s="172">
        <f t="shared" si="1"/>
        <v>0.00966653547</v>
      </c>
      <c r="I253" s="172"/>
      <c r="J253" s="172"/>
      <c r="K253" s="188"/>
      <c r="L253" s="140"/>
      <c r="M253" s="140"/>
      <c r="N253" s="176">
        <f>IFERROR(__xludf.DUMMYFUNCTION("""COMPUTED_VALUE"""),45748.64583333333)</f>
        <v>45748.64583</v>
      </c>
      <c r="O253" s="177">
        <f>IFERROR(__xludf.DUMMYFUNCTION("""COMPUTED_VALUE"""),1340.0)</f>
        <v>1340</v>
      </c>
      <c r="P253" s="177">
        <f>IFERROR(__xludf.DUMMYFUNCTION("""COMPUTED_VALUE"""),1352.35)</f>
        <v>1352.35</v>
      </c>
      <c r="Q253" s="177">
        <f>IFERROR(__xludf.DUMMYFUNCTION("""COMPUTED_VALUE"""),1315.4)</f>
        <v>1315.4</v>
      </c>
      <c r="R253" s="177">
        <f>IFERROR(__xludf.DUMMYFUNCTION("""COMPUTED_VALUE"""),1318.45)</f>
        <v>1318.45</v>
      </c>
      <c r="S253" s="177">
        <f>IFERROR(__xludf.DUMMYFUNCTION("""COMPUTED_VALUE"""),1.4288024E7)</f>
        <v>14288024</v>
      </c>
      <c r="T253" s="177">
        <f t="shared" si="2"/>
        <v>-0.02242481849</v>
      </c>
      <c r="U253" s="178"/>
      <c r="V253" s="177"/>
      <c r="W253" s="189"/>
      <c r="X253" s="140"/>
      <c r="Y253" s="140"/>
      <c r="Z253" s="176">
        <f>IFERROR(__xludf.DUMMYFUNCTION("""COMPUTED_VALUE"""),45748.64583333333)</f>
        <v>45748.64583</v>
      </c>
      <c r="AA253" s="177">
        <f>IFERROR(__xludf.DUMMYFUNCTION("""COMPUTED_VALUE"""),349.9)</f>
        <v>349.9</v>
      </c>
      <c r="AB253" s="177">
        <f>IFERROR(__xludf.DUMMYFUNCTION("""COMPUTED_VALUE"""),360.9)</f>
        <v>360.9</v>
      </c>
      <c r="AC253" s="177">
        <f>IFERROR(__xludf.DUMMYFUNCTION("""COMPUTED_VALUE"""),346.8)</f>
        <v>346.8</v>
      </c>
      <c r="AD253" s="177">
        <f>IFERROR(__xludf.DUMMYFUNCTION("""COMPUTED_VALUE"""),352.45)</f>
        <v>352.45</v>
      </c>
      <c r="AE253" s="177">
        <f>IFERROR(__xludf.DUMMYFUNCTION("""COMPUTED_VALUE"""),2.1049199E7)</f>
        <v>21049199</v>
      </c>
      <c r="AF253" s="177">
        <f t="shared" si="3"/>
        <v>0.05286997479</v>
      </c>
      <c r="AG253" s="177"/>
      <c r="AH253" s="177"/>
      <c r="AI253" s="189"/>
      <c r="AJ253" s="140"/>
      <c r="AK253" s="140"/>
      <c r="AL253" s="176">
        <f>IFERROR(__xludf.DUMMYFUNCTION("""COMPUTED_VALUE"""),45748.64583333333)</f>
        <v>45748.64583</v>
      </c>
      <c r="AM253" s="177">
        <f>IFERROR(__xludf.DUMMYFUNCTION("""COMPUTED_VALUE"""),4400.0)</f>
        <v>4400</v>
      </c>
      <c r="AN253" s="177">
        <f>IFERROR(__xludf.DUMMYFUNCTION("""COMPUTED_VALUE"""),4444.95)</f>
        <v>4444.95</v>
      </c>
      <c r="AO253" s="177">
        <f>IFERROR(__xludf.DUMMYFUNCTION("""COMPUTED_VALUE"""),4207.05)</f>
        <v>4207.05</v>
      </c>
      <c r="AP253" s="177">
        <f>IFERROR(__xludf.DUMMYFUNCTION("""COMPUTED_VALUE"""),4223.7)</f>
        <v>4223.7</v>
      </c>
      <c r="AQ253" s="177">
        <f>IFERROR(__xludf.DUMMYFUNCTION("""COMPUTED_VALUE"""),6632420.0)</f>
        <v>6632420</v>
      </c>
      <c r="AR253" s="177">
        <f t="shared" si="4"/>
        <v>0.01101050862</v>
      </c>
      <c r="AS253" s="177"/>
      <c r="AT253" s="177"/>
      <c r="AU253" s="189"/>
      <c r="AV253" s="140"/>
      <c r="AW253" s="140"/>
      <c r="AX253" s="176">
        <f>IFERROR(__xludf.DUMMYFUNCTION("""COMPUTED_VALUE"""),45748.64583333333)</f>
        <v>45748.64583</v>
      </c>
      <c r="AY253" s="177">
        <f>IFERROR(__xludf.DUMMYFUNCTION("""COMPUTED_VALUE"""),409.8)</f>
        <v>409.8</v>
      </c>
      <c r="AZ253" s="177">
        <f>IFERROR(__xludf.DUMMYFUNCTION("""COMPUTED_VALUE"""),414.4)</f>
        <v>414.4</v>
      </c>
      <c r="BA253" s="177">
        <f>IFERROR(__xludf.DUMMYFUNCTION("""COMPUTED_VALUE"""),405.6)</f>
        <v>405.6</v>
      </c>
      <c r="BB253" s="177">
        <f>IFERROR(__xludf.DUMMYFUNCTION("""COMPUTED_VALUE"""),406.65)</f>
        <v>406.65</v>
      </c>
      <c r="BC253" s="177">
        <f>IFERROR(__xludf.DUMMYFUNCTION("""COMPUTED_VALUE"""),1.520624E7)</f>
        <v>15206240</v>
      </c>
      <c r="BD253" s="177">
        <f t="shared" si="5"/>
        <v>-0.007594353011</v>
      </c>
      <c r="BE253" s="177"/>
      <c r="BF253" s="177"/>
      <c r="BG253" s="189"/>
      <c r="BH253" s="140"/>
      <c r="BI253" s="140"/>
      <c r="BJ253" s="140"/>
      <c r="BK253" s="140"/>
      <c r="BL253" s="140"/>
      <c r="BM253" s="140"/>
      <c r="BN253" s="140"/>
      <c r="BO253" s="140"/>
      <c r="BP253" s="140"/>
      <c r="BQ253" s="140"/>
      <c r="BR253" s="140"/>
      <c r="BS253" s="140"/>
      <c r="BT253" s="140"/>
      <c r="BU253" s="140"/>
      <c r="BV253" s="140"/>
      <c r="BW253" s="140"/>
      <c r="BX253" s="140"/>
      <c r="BY253" s="140"/>
    </row>
    <row r="254" ht="15.75" customHeight="1">
      <c r="A254" s="168"/>
      <c r="B254" s="169">
        <v>45749.0</v>
      </c>
      <c r="C254" s="170">
        <v>8568.78</v>
      </c>
      <c r="D254" s="170">
        <v>8632.12</v>
      </c>
      <c r="E254" s="170">
        <v>8530.78</v>
      </c>
      <c r="F254" s="170">
        <v>8606.12</v>
      </c>
      <c r="G254" s="171" t="s">
        <v>238</v>
      </c>
      <c r="H254" s="172">
        <f t="shared" si="1"/>
        <v>0.004728735945</v>
      </c>
      <c r="I254" s="172"/>
      <c r="J254" s="172"/>
      <c r="K254" s="188"/>
      <c r="L254" s="140"/>
      <c r="M254" s="140"/>
      <c r="N254" s="176">
        <f>IFERROR(__xludf.DUMMYFUNCTION("""COMPUTED_VALUE"""),45749.64583333333)</f>
        <v>45749.64583</v>
      </c>
      <c r="O254" s="177">
        <f>IFERROR(__xludf.DUMMYFUNCTION("""COMPUTED_VALUE"""),1322.15)</f>
        <v>1322.15</v>
      </c>
      <c r="P254" s="177">
        <f>IFERROR(__xludf.DUMMYFUNCTION("""COMPUTED_VALUE"""),1337.95)</f>
        <v>1337.95</v>
      </c>
      <c r="Q254" s="177">
        <f>IFERROR(__xludf.DUMMYFUNCTION("""COMPUTED_VALUE"""),1322.15)</f>
        <v>1322.15</v>
      </c>
      <c r="R254" s="177">
        <f>IFERROR(__xludf.DUMMYFUNCTION("""COMPUTED_VALUE"""),1331.25)</f>
        <v>1331.25</v>
      </c>
      <c r="S254" s="177">
        <f>IFERROR(__xludf.DUMMYFUNCTION("""COMPUTED_VALUE"""),8042214.0)</f>
        <v>8042214</v>
      </c>
      <c r="T254" s="177">
        <f t="shared" si="2"/>
        <v>0.009661546264</v>
      </c>
      <c r="U254" s="178"/>
      <c r="V254" s="177"/>
      <c r="W254" s="189"/>
      <c r="X254" s="140"/>
      <c r="Y254" s="140"/>
      <c r="Z254" s="176">
        <f>IFERROR(__xludf.DUMMYFUNCTION("""COMPUTED_VALUE"""),45749.64583333333)</f>
        <v>45749.64583</v>
      </c>
      <c r="AA254" s="177">
        <f>IFERROR(__xludf.DUMMYFUNCTION("""COMPUTED_VALUE"""),352.4)</f>
        <v>352.4</v>
      </c>
      <c r="AB254" s="177">
        <f>IFERROR(__xludf.DUMMYFUNCTION("""COMPUTED_VALUE"""),362.7)</f>
        <v>362.7</v>
      </c>
      <c r="AC254" s="177">
        <f>IFERROR(__xludf.DUMMYFUNCTION("""COMPUTED_VALUE"""),350.0)</f>
        <v>350</v>
      </c>
      <c r="AD254" s="177">
        <f>IFERROR(__xludf.DUMMYFUNCTION("""COMPUTED_VALUE"""),361.3)</f>
        <v>361.3</v>
      </c>
      <c r="AE254" s="177">
        <f>IFERROR(__xludf.DUMMYFUNCTION("""COMPUTED_VALUE"""),8411874.0)</f>
        <v>8411874</v>
      </c>
      <c r="AF254" s="177">
        <f t="shared" si="3"/>
        <v>0.02479986993</v>
      </c>
      <c r="AG254" s="177"/>
      <c r="AH254" s="177"/>
      <c r="AI254" s="189"/>
      <c r="AJ254" s="140"/>
      <c r="AK254" s="140"/>
      <c r="AL254" s="176">
        <f>IFERROR(__xludf.DUMMYFUNCTION("""COMPUTED_VALUE"""),45749.64583333333)</f>
        <v>45749.64583</v>
      </c>
      <c r="AM254" s="177">
        <f>IFERROR(__xludf.DUMMYFUNCTION("""COMPUTED_VALUE"""),4239.0)</f>
        <v>4239</v>
      </c>
      <c r="AN254" s="177">
        <f>IFERROR(__xludf.DUMMYFUNCTION("""COMPUTED_VALUE"""),4252.5)</f>
        <v>4252.5</v>
      </c>
      <c r="AO254" s="177">
        <f>IFERROR(__xludf.DUMMYFUNCTION("""COMPUTED_VALUE"""),4151.05)</f>
        <v>4151.05</v>
      </c>
      <c r="AP254" s="177">
        <f>IFERROR(__xludf.DUMMYFUNCTION("""COMPUTED_VALUE"""),4234.4)</f>
        <v>4234.4</v>
      </c>
      <c r="AQ254" s="177">
        <f>IFERROR(__xludf.DUMMYFUNCTION("""COMPUTED_VALUE"""),2520516.0)</f>
        <v>2520516</v>
      </c>
      <c r="AR254" s="177">
        <f t="shared" si="4"/>
        <v>0.002530120407</v>
      </c>
      <c r="AS254" s="177"/>
      <c r="AT254" s="177"/>
      <c r="AU254" s="189"/>
      <c r="AV254" s="140"/>
      <c r="AW254" s="140"/>
      <c r="AX254" s="176">
        <f>IFERROR(__xludf.DUMMYFUNCTION("""COMPUTED_VALUE"""),45749.64583333333)</f>
        <v>45749.64583</v>
      </c>
      <c r="AY254" s="177">
        <f>IFERROR(__xludf.DUMMYFUNCTION("""COMPUTED_VALUE"""),407.05)</f>
        <v>407.05</v>
      </c>
      <c r="AZ254" s="177">
        <f>IFERROR(__xludf.DUMMYFUNCTION("""COMPUTED_VALUE"""),410.0)</f>
        <v>410</v>
      </c>
      <c r="BA254" s="177">
        <f>IFERROR(__xludf.DUMMYFUNCTION("""COMPUTED_VALUE"""),406.05)</f>
        <v>406.05</v>
      </c>
      <c r="BB254" s="177">
        <f>IFERROR(__xludf.DUMMYFUNCTION("""COMPUTED_VALUE"""),409.05)</f>
        <v>409.05</v>
      </c>
      <c r="BC254" s="177">
        <f>IFERROR(__xludf.DUMMYFUNCTION("""COMPUTED_VALUE"""),8001323.0)</f>
        <v>8001323</v>
      </c>
      <c r="BD254" s="177">
        <f t="shared" si="5"/>
        <v>0.005884533347</v>
      </c>
      <c r="BE254" s="177"/>
      <c r="BF254" s="177"/>
      <c r="BG254" s="189"/>
      <c r="BH254" s="140"/>
      <c r="BI254" s="140"/>
      <c r="BJ254" s="140"/>
      <c r="BK254" s="140"/>
      <c r="BL254" s="140"/>
      <c r="BM254" s="140"/>
      <c r="BN254" s="140"/>
      <c r="BO254" s="140"/>
      <c r="BP254" s="140"/>
      <c r="BQ254" s="140"/>
      <c r="BR254" s="140"/>
      <c r="BS254" s="140"/>
      <c r="BT254" s="140"/>
      <c r="BU254" s="140"/>
      <c r="BV254" s="140"/>
      <c r="BW254" s="140"/>
      <c r="BX254" s="140"/>
      <c r="BY254" s="140"/>
    </row>
    <row r="255" ht="15.75" customHeight="1">
      <c r="A255" s="168"/>
      <c r="B255" s="169">
        <v>45750.0</v>
      </c>
      <c r="C255" s="170">
        <v>8612.78</v>
      </c>
      <c r="D255" s="170">
        <v>8718.78</v>
      </c>
      <c r="E255" s="170">
        <v>8380.78</v>
      </c>
      <c r="F255" s="170">
        <v>8538.78</v>
      </c>
      <c r="G255" s="171" t="s">
        <v>238</v>
      </c>
      <c r="H255" s="172">
        <f t="shared" si="1"/>
        <v>-0.007855437627</v>
      </c>
      <c r="I255" s="172"/>
      <c r="J255" s="172"/>
      <c r="K255" s="188"/>
      <c r="L255" s="140"/>
      <c r="M255" s="140"/>
      <c r="N255" s="176">
        <f>IFERROR(__xludf.DUMMYFUNCTION("""COMPUTED_VALUE"""),45750.64583333333)</f>
        <v>45750.64583</v>
      </c>
      <c r="O255" s="177">
        <f>IFERROR(__xludf.DUMMYFUNCTION("""COMPUTED_VALUE"""),1321.95)</f>
        <v>1321.95</v>
      </c>
      <c r="P255" s="177">
        <f>IFERROR(__xludf.DUMMYFUNCTION("""COMPUTED_VALUE"""),1333.0)</f>
        <v>1333</v>
      </c>
      <c r="Q255" s="177">
        <f>IFERROR(__xludf.DUMMYFUNCTION("""COMPUTED_VALUE"""),1321.25)</f>
        <v>1321.25</v>
      </c>
      <c r="R255" s="177">
        <f>IFERROR(__xludf.DUMMYFUNCTION("""COMPUTED_VALUE"""),1329.55)</f>
        <v>1329.55</v>
      </c>
      <c r="S255" s="177">
        <f>IFERROR(__xludf.DUMMYFUNCTION("""COMPUTED_VALUE"""),4591008.0)</f>
        <v>4591008</v>
      </c>
      <c r="T255" s="177">
        <f t="shared" si="2"/>
        <v>-0.001277811358</v>
      </c>
      <c r="U255" s="178"/>
      <c r="V255" s="177"/>
      <c r="W255" s="189"/>
      <c r="X255" s="140"/>
      <c r="Y255" s="140"/>
      <c r="Z255" s="176">
        <f>IFERROR(__xludf.DUMMYFUNCTION("""COMPUTED_VALUE"""),45750.64583333333)</f>
        <v>45750.64583</v>
      </c>
      <c r="AA255" s="177">
        <f>IFERROR(__xludf.DUMMYFUNCTION("""COMPUTED_VALUE"""),355.35)</f>
        <v>355.35</v>
      </c>
      <c r="AB255" s="177">
        <f>IFERROR(__xludf.DUMMYFUNCTION("""COMPUTED_VALUE"""),360.0)</f>
        <v>360</v>
      </c>
      <c r="AC255" s="177">
        <f>IFERROR(__xludf.DUMMYFUNCTION("""COMPUTED_VALUE"""),352.85)</f>
        <v>352.85</v>
      </c>
      <c r="AD255" s="177">
        <f>IFERROR(__xludf.DUMMYFUNCTION("""COMPUTED_VALUE"""),358.0)</f>
        <v>358</v>
      </c>
      <c r="AE255" s="177">
        <f>IFERROR(__xludf.DUMMYFUNCTION("""COMPUTED_VALUE"""),4129080.0)</f>
        <v>4129080</v>
      </c>
      <c r="AF255" s="177">
        <f t="shared" si="3"/>
        <v>-0.009175651753</v>
      </c>
      <c r="AG255" s="177"/>
      <c r="AH255" s="177"/>
      <c r="AI255" s="189"/>
      <c r="AJ255" s="140"/>
      <c r="AK255" s="140"/>
      <c r="AL255" s="176">
        <f>IFERROR(__xludf.DUMMYFUNCTION("""COMPUTED_VALUE"""),45750.64583333333)</f>
        <v>45750.64583</v>
      </c>
      <c r="AM255" s="177">
        <f>IFERROR(__xludf.DUMMYFUNCTION("""COMPUTED_VALUE"""),4196.55)</f>
        <v>4196.55</v>
      </c>
      <c r="AN255" s="177">
        <f>IFERROR(__xludf.DUMMYFUNCTION("""COMPUTED_VALUE"""),4328.0)</f>
        <v>4328</v>
      </c>
      <c r="AO255" s="177">
        <f>IFERROR(__xludf.DUMMYFUNCTION("""COMPUTED_VALUE"""),4185.25)</f>
        <v>4185.25</v>
      </c>
      <c r="AP255" s="177">
        <f>IFERROR(__xludf.DUMMYFUNCTION("""COMPUTED_VALUE"""),4319.2)</f>
        <v>4319.2</v>
      </c>
      <c r="AQ255" s="177">
        <f>IFERROR(__xludf.DUMMYFUNCTION("""COMPUTED_VALUE"""),2369383.0)</f>
        <v>2369383</v>
      </c>
      <c r="AR255" s="177">
        <f t="shared" si="4"/>
        <v>0.01982855836</v>
      </c>
      <c r="AS255" s="177"/>
      <c r="AT255" s="177"/>
      <c r="AU255" s="189"/>
      <c r="AV255" s="140"/>
      <c r="AW255" s="140"/>
      <c r="AX255" s="176">
        <f>IFERROR(__xludf.DUMMYFUNCTION("""COMPUTED_VALUE"""),45750.64583333333)</f>
        <v>45750.64583</v>
      </c>
      <c r="AY255" s="177">
        <f>IFERROR(__xludf.DUMMYFUNCTION("""COMPUTED_VALUE"""),407.05)</f>
        <v>407.05</v>
      </c>
      <c r="AZ255" s="177">
        <f>IFERROR(__xludf.DUMMYFUNCTION("""COMPUTED_VALUE"""),410.2)</f>
        <v>410.2</v>
      </c>
      <c r="BA255" s="177">
        <f>IFERROR(__xludf.DUMMYFUNCTION("""COMPUTED_VALUE"""),406.7)</f>
        <v>406.7</v>
      </c>
      <c r="BB255" s="177">
        <f>IFERROR(__xludf.DUMMYFUNCTION("""COMPUTED_VALUE"""),409.4)</f>
        <v>409.4</v>
      </c>
      <c r="BC255" s="177">
        <f>IFERROR(__xludf.DUMMYFUNCTION("""COMPUTED_VALUE"""),7059566.0)</f>
        <v>7059566</v>
      </c>
      <c r="BD255" s="177">
        <f t="shared" si="5"/>
        <v>0.0008552752675</v>
      </c>
      <c r="BE255" s="177"/>
      <c r="BF255" s="177"/>
      <c r="BG255" s="189"/>
      <c r="BH255" s="140"/>
      <c r="BI255" s="140"/>
      <c r="BJ255" s="140"/>
      <c r="BK255" s="140"/>
      <c r="BL255" s="140"/>
      <c r="BM255" s="140"/>
      <c r="BN255" s="140"/>
      <c r="BO255" s="140"/>
      <c r="BP255" s="140"/>
      <c r="BQ255" s="140"/>
      <c r="BR255" s="140"/>
      <c r="BS255" s="140"/>
      <c r="BT255" s="140"/>
      <c r="BU255" s="140"/>
      <c r="BV255" s="140"/>
      <c r="BW255" s="140"/>
      <c r="BX255" s="140"/>
      <c r="BY255" s="140"/>
    </row>
    <row r="256" ht="15.75" customHeight="1">
      <c r="A256" s="168"/>
      <c r="B256" s="169">
        <v>45751.0</v>
      </c>
      <c r="C256" s="170">
        <v>8539.12</v>
      </c>
      <c r="D256" s="170">
        <v>8606.12</v>
      </c>
      <c r="E256" s="170">
        <v>8292.12</v>
      </c>
      <c r="F256" s="170">
        <v>8349.12</v>
      </c>
      <c r="G256" s="171" t="s">
        <v>238</v>
      </c>
      <c r="H256" s="172">
        <f t="shared" si="1"/>
        <v>-0.02246199637</v>
      </c>
      <c r="I256" s="172"/>
      <c r="J256" s="172"/>
      <c r="K256" s="188"/>
      <c r="L256" s="140"/>
      <c r="M256" s="140"/>
      <c r="N256" s="176">
        <f>IFERROR(__xludf.DUMMYFUNCTION("""COMPUTED_VALUE"""),45751.64583333333)</f>
        <v>45751.64583</v>
      </c>
      <c r="O256" s="177">
        <f>IFERROR(__xludf.DUMMYFUNCTION("""COMPUTED_VALUE"""),1329.55)</f>
        <v>1329.55</v>
      </c>
      <c r="P256" s="177">
        <f>IFERROR(__xludf.DUMMYFUNCTION("""COMPUTED_VALUE"""),1338.55)</f>
        <v>1338.55</v>
      </c>
      <c r="Q256" s="177">
        <f>IFERROR(__xludf.DUMMYFUNCTION("""COMPUTED_VALUE"""),1322.1)</f>
        <v>1322.1</v>
      </c>
      <c r="R256" s="177">
        <f>IFERROR(__xludf.DUMMYFUNCTION("""COMPUTED_VALUE"""),1335.3)</f>
        <v>1335.3</v>
      </c>
      <c r="S256" s="177">
        <f>IFERROR(__xludf.DUMMYFUNCTION("""COMPUTED_VALUE"""),8648542.0)</f>
        <v>8648542</v>
      </c>
      <c r="T256" s="177">
        <f t="shared" si="2"/>
        <v>0.004315446591</v>
      </c>
      <c r="U256" s="178"/>
      <c r="V256" s="177"/>
      <c r="W256" s="189"/>
      <c r="X256" s="140"/>
      <c r="Y256" s="140"/>
      <c r="Z256" s="176">
        <f>IFERROR(__xludf.DUMMYFUNCTION("""COMPUTED_VALUE"""),45751.64583333333)</f>
        <v>45751.64583</v>
      </c>
      <c r="AA256" s="177">
        <f>IFERROR(__xludf.DUMMYFUNCTION("""COMPUTED_VALUE"""),360.0)</f>
        <v>360</v>
      </c>
      <c r="AB256" s="177">
        <f>IFERROR(__xludf.DUMMYFUNCTION("""COMPUTED_VALUE"""),368.0)</f>
        <v>368</v>
      </c>
      <c r="AC256" s="177">
        <f>IFERROR(__xludf.DUMMYFUNCTION("""COMPUTED_VALUE"""),356.4)</f>
        <v>356.4</v>
      </c>
      <c r="AD256" s="177">
        <f>IFERROR(__xludf.DUMMYFUNCTION("""COMPUTED_VALUE"""),360.5)</f>
        <v>360.5</v>
      </c>
      <c r="AE256" s="177">
        <f>IFERROR(__xludf.DUMMYFUNCTION("""COMPUTED_VALUE"""),1.6145235E7)</f>
        <v>16145235</v>
      </c>
      <c r="AF256" s="177">
        <f t="shared" si="3"/>
        <v>0.006958970324</v>
      </c>
      <c r="AG256" s="177"/>
      <c r="AH256" s="177"/>
      <c r="AI256" s="189"/>
      <c r="AJ256" s="140"/>
      <c r="AK256" s="140"/>
      <c r="AL256" s="176">
        <f>IFERROR(__xludf.DUMMYFUNCTION("""COMPUTED_VALUE"""),45751.64583333333)</f>
        <v>45751.64583</v>
      </c>
      <c r="AM256" s="177">
        <f>IFERROR(__xludf.DUMMYFUNCTION("""COMPUTED_VALUE"""),4309.55)</f>
        <v>4309.55</v>
      </c>
      <c r="AN256" s="177">
        <f>IFERROR(__xludf.DUMMYFUNCTION("""COMPUTED_VALUE"""),4351.85)</f>
        <v>4351.85</v>
      </c>
      <c r="AO256" s="177">
        <f>IFERROR(__xludf.DUMMYFUNCTION("""COMPUTED_VALUE"""),4204.0)</f>
        <v>4204</v>
      </c>
      <c r="AP256" s="177">
        <f>IFERROR(__xludf.DUMMYFUNCTION("""COMPUTED_VALUE"""),4239.1)</f>
        <v>4239.1</v>
      </c>
      <c r="AQ256" s="177">
        <f>IFERROR(__xludf.DUMMYFUNCTION("""COMPUTED_VALUE"""),2499556.0)</f>
        <v>2499556</v>
      </c>
      <c r="AR256" s="177">
        <f t="shared" si="4"/>
        <v>-0.01871921736</v>
      </c>
      <c r="AS256" s="177"/>
      <c r="AT256" s="177"/>
      <c r="AU256" s="189"/>
      <c r="AV256" s="140"/>
      <c r="AW256" s="140"/>
      <c r="AX256" s="176">
        <f>IFERROR(__xludf.DUMMYFUNCTION("""COMPUTED_VALUE"""),45751.64583333333)</f>
        <v>45751.64583</v>
      </c>
      <c r="AY256" s="177">
        <f>IFERROR(__xludf.DUMMYFUNCTION("""COMPUTED_VALUE"""),407.5)</f>
        <v>407.5</v>
      </c>
      <c r="AZ256" s="177">
        <f>IFERROR(__xludf.DUMMYFUNCTION("""COMPUTED_VALUE"""),412.8)</f>
        <v>412.8</v>
      </c>
      <c r="BA256" s="177">
        <f>IFERROR(__xludf.DUMMYFUNCTION("""COMPUTED_VALUE"""),404.5)</f>
        <v>404.5</v>
      </c>
      <c r="BB256" s="177">
        <f>IFERROR(__xludf.DUMMYFUNCTION("""COMPUTED_VALUE"""),409.7)</f>
        <v>409.7</v>
      </c>
      <c r="BC256" s="177">
        <f>IFERROR(__xludf.DUMMYFUNCTION("""COMPUTED_VALUE"""),1.8627592E7)</f>
        <v>18627592</v>
      </c>
      <c r="BD256" s="177">
        <f t="shared" si="5"/>
        <v>0.0007325113256</v>
      </c>
      <c r="BE256" s="177"/>
      <c r="BF256" s="177"/>
      <c r="BG256" s="189"/>
      <c r="BH256" s="140"/>
      <c r="BI256" s="140"/>
      <c r="BJ256" s="140"/>
      <c r="BK256" s="140"/>
      <c r="BL256" s="140"/>
      <c r="BM256" s="140"/>
      <c r="BN256" s="140"/>
      <c r="BO256" s="140"/>
      <c r="BP256" s="140"/>
      <c r="BQ256" s="140"/>
      <c r="BR256" s="140"/>
      <c r="BS256" s="140"/>
      <c r="BT256" s="140"/>
      <c r="BU256" s="140"/>
      <c r="BV256" s="140"/>
      <c r="BW256" s="140"/>
      <c r="BX256" s="140"/>
      <c r="BY256" s="140"/>
    </row>
    <row r="257" ht="15.75" customHeight="1">
      <c r="A257" s="168"/>
      <c r="B257" s="169">
        <v>45754.0</v>
      </c>
      <c r="C257" s="170">
        <v>8353.52</v>
      </c>
      <c r="D257" s="170">
        <v>8413.12</v>
      </c>
      <c r="E257" s="170">
        <v>8163.12</v>
      </c>
      <c r="F257" s="170">
        <v>8234.12</v>
      </c>
      <c r="G257" s="171" t="s">
        <v>238</v>
      </c>
      <c r="H257" s="172">
        <f t="shared" si="1"/>
        <v>-0.01386964713</v>
      </c>
      <c r="I257" s="172"/>
      <c r="J257" s="172"/>
      <c r="K257" s="188"/>
      <c r="L257" s="140"/>
      <c r="M257" s="140"/>
      <c r="N257" s="176">
        <f>IFERROR(__xludf.DUMMYFUNCTION("""COMPUTED_VALUE"""),45754.64583333333)</f>
        <v>45754.64583</v>
      </c>
      <c r="O257" s="177">
        <f>IFERROR(__xludf.DUMMYFUNCTION("""COMPUTED_VALUE"""),1295.25)</f>
        <v>1295.25</v>
      </c>
      <c r="P257" s="177">
        <f>IFERROR(__xludf.DUMMYFUNCTION("""COMPUTED_VALUE"""),1325.0)</f>
        <v>1325</v>
      </c>
      <c r="Q257" s="177">
        <f>IFERROR(__xludf.DUMMYFUNCTION("""COMPUTED_VALUE"""),1265.0)</f>
        <v>1265</v>
      </c>
      <c r="R257" s="177">
        <f>IFERROR(__xludf.DUMMYFUNCTION("""COMPUTED_VALUE"""),1287.55)</f>
        <v>1287.55</v>
      </c>
      <c r="S257" s="177">
        <f>IFERROR(__xludf.DUMMYFUNCTION("""COMPUTED_VALUE"""),1.9185012E7)</f>
        <v>19185012</v>
      </c>
      <c r="T257" s="177">
        <f t="shared" si="2"/>
        <v>-0.03641479795</v>
      </c>
      <c r="U257" s="178"/>
      <c r="V257" s="177"/>
      <c r="W257" s="189"/>
      <c r="X257" s="140"/>
      <c r="Y257" s="140"/>
      <c r="Z257" s="176">
        <f>IFERROR(__xludf.DUMMYFUNCTION("""COMPUTED_VALUE"""),45754.64583333333)</f>
        <v>45754.64583</v>
      </c>
      <c r="AA257" s="177">
        <f>IFERROR(__xludf.DUMMYFUNCTION("""COMPUTED_VALUE"""),340.0)</f>
        <v>340</v>
      </c>
      <c r="AB257" s="177">
        <f>IFERROR(__xludf.DUMMYFUNCTION("""COMPUTED_VALUE"""),358.2)</f>
        <v>358.2</v>
      </c>
      <c r="AC257" s="177">
        <f>IFERROR(__xludf.DUMMYFUNCTION("""COMPUTED_VALUE"""),336.15)</f>
        <v>336.15</v>
      </c>
      <c r="AD257" s="177">
        <f>IFERROR(__xludf.DUMMYFUNCTION("""COMPUTED_VALUE"""),356.0)</f>
        <v>356</v>
      </c>
      <c r="AE257" s="177">
        <f>IFERROR(__xludf.DUMMYFUNCTION("""COMPUTED_VALUE"""),1.0272279E7)</f>
        <v>10272279</v>
      </c>
      <c r="AF257" s="177">
        <f t="shared" si="3"/>
        <v>-0.01256122587</v>
      </c>
      <c r="AG257" s="177"/>
      <c r="AH257" s="177"/>
      <c r="AI257" s="189"/>
      <c r="AJ257" s="140"/>
      <c r="AK257" s="140"/>
      <c r="AL257" s="176">
        <f>IFERROR(__xludf.DUMMYFUNCTION("""COMPUTED_VALUE"""),45754.64583333333)</f>
        <v>45754.64583</v>
      </c>
      <c r="AM257" s="177">
        <f>IFERROR(__xludf.DUMMYFUNCTION("""COMPUTED_VALUE"""),3821.0)</f>
        <v>3821</v>
      </c>
      <c r="AN257" s="177">
        <f>IFERROR(__xludf.DUMMYFUNCTION("""COMPUTED_VALUE"""),4046.15)</f>
        <v>4046.15</v>
      </c>
      <c r="AO257" s="177">
        <f>IFERROR(__xludf.DUMMYFUNCTION("""COMPUTED_VALUE"""),3820.1)</f>
        <v>3820.1</v>
      </c>
      <c r="AP257" s="177">
        <f>IFERROR(__xludf.DUMMYFUNCTION("""COMPUTED_VALUE"""),4008.2)</f>
        <v>4008.2</v>
      </c>
      <c r="AQ257" s="177">
        <f>IFERROR(__xludf.DUMMYFUNCTION("""COMPUTED_VALUE"""),3022372.0)</f>
        <v>3022372</v>
      </c>
      <c r="AR257" s="177">
        <f t="shared" si="4"/>
        <v>-0.05600871982</v>
      </c>
      <c r="AS257" s="177"/>
      <c r="AT257" s="177"/>
      <c r="AU257" s="189"/>
      <c r="AV257" s="140"/>
      <c r="AW257" s="140"/>
      <c r="AX257" s="176">
        <f>IFERROR(__xludf.DUMMYFUNCTION("""COMPUTED_VALUE"""),45754.64583333333)</f>
        <v>45754.64583</v>
      </c>
      <c r="AY257" s="177">
        <f>IFERROR(__xludf.DUMMYFUNCTION("""COMPUTED_VALUE"""),390.15)</f>
        <v>390.15</v>
      </c>
      <c r="AZ257" s="177">
        <f>IFERROR(__xludf.DUMMYFUNCTION("""COMPUTED_VALUE"""),408.1)</f>
        <v>408.1</v>
      </c>
      <c r="BA257" s="177">
        <f>IFERROR(__xludf.DUMMYFUNCTION("""COMPUTED_VALUE"""),390.15)</f>
        <v>390.15</v>
      </c>
      <c r="BB257" s="177">
        <f>IFERROR(__xludf.DUMMYFUNCTION("""COMPUTED_VALUE"""),406.05)</f>
        <v>406.05</v>
      </c>
      <c r="BC257" s="177">
        <f>IFERROR(__xludf.DUMMYFUNCTION("""COMPUTED_VALUE"""),2.6762866E7)</f>
        <v>26762866</v>
      </c>
      <c r="BD257" s="177">
        <f t="shared" si="5"/>
        <v>-0.008948879824</v>
      </c>
      <c r="BE257" s="177"/>
      <c r="BF257" s="177"/>
      <c r="BG257" s="189"/>
      <c r="BH257" s="140"/>
      <c r="BI257" s="140"/>
      <c r="BJ257" s="140"/>
      <c r="BK257" s="140"/>
      <c r="BL257" s="140"/>
      <c r="BM257" s="140"/>
      <c r="BN257" s="140"/>
      <c r="BO257" s="140"/>
      <c r="BP257" s="140"/>
      <c r="BQ257" s="140"/>
      <c r="BR257" s="140"/>
      <c r="BS257" s="140"/>
      <c r="BT257" s="140"/>
      <c r="BU257" s="140"/>
      <c r="BV257" s="140"/>
      <c r="BW257" s="140"/>
      <c r="BX257" s="140"/>
      <c r="BY257" s="140"/>
    </row>
    <row r="258" ht="15.75" customHeight="1">
      <c r="A258" s="168"/>
      <c r="B258" s="169">
        <v>45755.0</v>
      </c>
      <c r="C258" s="170">
        <v>8237.12</v>
      </c>
      <c r="D258" s="170">
        <v>8372.12</v>
      </c>
      <c r="E258" s="170">
        <v>8224.12</v>
      </c>
      <c r="F258" s="170">
        <v>8268.78</v>
      </c>
      <c r="G258" s="171" t="s">
        <v>238</v>
      </c>
      <c r="H258" s="172">
        <f t="shared" si="1"/>
        <v>0.004200480032</v>
      </c>
      <c r="I258" s="172"/>
      <c r="J258" s="172"/>
      <c r="K258" s="188"/>
      <c r="L258" s="140"/>
      <c r="M258" s="140"/>
      <c r="N258" s="176">
        <f>IFERROR(__xludf.DUMMYFUNCTION("""COMPUTED_VALUE"""),45755.64583333333)</f>
        <v>45755.64583</v>
      </c>
      <c r="O258" s="177">
        <f>IFERROR(__xludf.DUMMYFUNCTION("""COMPUTED_VALUE"""),1299.85)</f>
        <v>1299.85</v>
      </c>
      <c r="P258" s="177">
        <f>IFERROR(__xludf.DUMMYFUNCTION("""COMPUTED_VALUE"""),1310.05)</f>
        <v>1310.05</v>
      </c>
      <c r="Q258" s="177">
        <f>IFERROR(__xludf.DUMMYFUNCTION("""COMPUTED_VALUE"""),1287.35)</f>
        <v>1287.35</v>
      </c>
      <c r="R258" s="177">
        <f>IFERROR(__xludf.DUMMYFUNCTION("""COMPUTED_VALUE"""),1299.9)</f>
        <v>1299.9</v>
      </c>
      <c r="S258" s="177">
        <f>IFERROR(__xludf.DUMMYFUNCTION("""COMPUTED_VALUE"""),1.3085762E7)</f>
        <v>13085762</v>
      </c>
      <c r="T258" s="177">
        <f t="shared" si="2"/>
        <v>0.009546150679</v>
      </c>
      <c r="U258" s="178"/>
      <c r="V258" s="177"/>
      <c r="W258" s="189"/>
      <c r="X258" s="140"/>
      <c r="Y258" s="140"/>
      <c r="Z258" s="176">
        <f>IFERROR(__xludf.DUMMYFUNCTION("""COMPUTED_VALUE"""),45755.64583333333)</f>
        <v>45755.64583</v>
      </c>
      <c r="AA258" s="177">
        <f>IFERROR(__xludf.DUMMYFUNCTION("""COMPUTED_VALUE"""),363.95)</f>
        <v>363.95</v>
      </c>
      <c r="AB258" s="177">
        <f>IFERROR(__xludf.DUMMYFUNCTION("""COMPUTED_VALUE"""),372.0)</f>
        <v>372</v>
      </c>
      <c r="AC258" s="177">
        <f>IFERROR(__xludf.DUMMYFUNCTION("""COMPUTED_VALUE"""),359.5)</f>
        <v>359.5</v>
      </c>
      <c r="AD258" s="177">
        <f>IFERROR(__xludf.DUMMYFUNCTION("""COMPUTED_VALUE"""),370.65)</f>
        <v>370.65</v>
      </c>
      <c r="AE258" s="177">
        <f>IFERROR(__xludf.DUMMYFUNCTION("""COMPUTED_VALUE"""),1.0437414E7)</f>
        <v>10437414</v>
      </c>
      <c r="AF258" s="177">
        <f t="shared" si="3"/>
        <v>0.04032749025</v>
      </c>
      <c r="AG258" s="177"/>
      <c r="AH258" s="177"/>
      <c r="AI258" s="189"/>
      <c r="AJ258" s="140"/>
      <c r="AK258" s="140"/>
      <c r="AL258" s="176">
        <f>IFERROR(__xludf.DUMMYFUNCTION("""COMPUTED_VALUE"""),45755.64583333333)</f>
        <v>45755.64583</v>
      </c>
      <c r="AM258" s="177">
        <f>IFERROR(__xludf.DUMMYFUNCTION("""COMPUTED_VALUE"""),4106.6)</f>
        <v>4106.6</v>
      </c>
      <c r="AN258" s="177">
        <f>IFERROR(__xludf.DUMMYFUNCTION("""COMPUTED_VALUE"""),4136.4)</f>
        <v>4136.4</v>
      </c>
      <c r="AO258" s="177">
        <f>IFERROR(__xludf.DUMMYFUNCTION("""COMPUTED_VALUE"""),4000.0)</f>
        <v>4000</v>
      </c>
      <c r="AP258" s="177">
        <f>IFERROR(__xludf.DUMMYFUNCTION("""COMPUTED_VALUE"""),4041.95)</f>
        <v>4041.95</v>
      </c>
      <c r="AQ258" s="177">
        <f>IFERROR(__xludf.DUMMYFUNCTION("""COMPUTED_VALUE"""),2071394.0)</f>
        <v>2071394</v>
      </c>
      <c r="AR258" s="177">
        <f t="shared" si="4"/>
        <v>0.008384986054</v>
      </c>
      <c r="AS258" s="177"/>
      <c r="AT258" s="177"/>
      <c r="AU258" s="189"/>
      <c r="AV258" s="140"/>
      <c r="AW258" s="140"/>
      <c r="AX258" s="176">
        <f>IFERROR(__xludf.DUMMYFUNCTION("""COMPUTED_VALUE"""),45755.64583333333)</f>
        <v>45755.64583</v>
      </c>
      <c r="AY258" s="177">
        <f>IFERROR(__xludf.DUMMYFUNCTION("""COMPUTED_VALUE"""),411.9)</f>
        <v>411.9</v>
      </c>
      <c r="AZ258" s="177">
        <f>IFERROR(__xludf.DUMMYFUNCTION("""COMPUTED_VALUE"""),415.8)</f>
        <v>415.8</v>
      </c>
      <c r="BA258" s="177">
        <f>IFERROR(__xludf.DUMMYFUNCTION("""COMPUTED_VALUE"""),407.25)</f>
        <v>407.25</v>
      </c>
      <c r="BB258" s="177">
        <f>IFERROR(__xludf.DUMMYFUNCTION("""COMPUTED_VALUE"""),412.55)</f>
        <v>412.55</v>
      </c>
      <c r="BC258" s="177">
        <f>IFERROR(__xludf.DUMMYFUNCTION("""COMPUTED_VALUE"""),1.8600796E7)</f>
        <v>18600796</v>
      </c>
      <c r="BD258" s="177">
        <f t="shared" si="5"/>
        <v>0.01588110582</v>
      </c>
      <c r="BE258" s="177"/>
      <c r="BF258" s="177"/>
      <c r="BG258" s="189"/>
      <c r="BH258" s="140"/>
      <c r="BI258" s="140"/>
      <c r="BJ258" s="140"/>
      <c r="BK258" s="140"/>
      <c r="BL258" s="140"/>
      <c r="BM258" s="140"/>
      <c r="BN258" s="140"/>
      <c r="BO258" s="140"/>
      <c r="BP258" s="140"/>
      <c r="BQ258" s="140"/>
      <c r="BR258" s="140"/>
      <c r="BS258" s="140"/>
      <c r="BT258" s="140"/>
      <c r="BU258" s="140"/>
      <c r="BV258" s="140"/>
      <c r="BW258" s="140"/>
      <c r="BX258" s="140"/>
      <c r="BY258" s="140"/>
    </row>
    <row r="259" ht="15.75" customHeight="1">
      <c r="A259" s="168"/>
      <c r="B259" s="169">
        <v>45756.0</v>
      </c>
      <c r="C259" s="170">
        <v>8270.12</v>
      </c>
      <c r="D259" s="170">
        <v>8636.12</v>
      </c>
      <c r="E259" s="170">
        <v>8235.12</v>
      </c>
      <c r="F259" s="170">
        <v>8587.12</v>
      </c>
      <c r="G259" s="171" t="s">
        <v>238</v>
      </c>
      <c r="H259" s="172">
        <f t="shared" si="1"/>
        <v>0.03777642921</v>
      </c>
      <c r="I259" s="172"/>
      <c r="J259" s="172"/>
      <c r="K259" s="188"/>
      <c r="L259" s="140"/>
      <c r="M259" s="140"/>
      <c r="N259" s="176">
        <f>IFERROR(__xludf.DUMMYFUNCTION("""COMPUTED_VALUE"""),45756.64583333333)</f>
        <v>45756.64583</v>
      </c>
      <c r="O259" s="177">
        <f>IFERROR(__xludf.DUMMYFUNCTION("""COMPUTED_VALUE"""),1304.95)</f>
        <v>1304.95</v>
      </c>
      <c r="P259" s="177">
        <f>IFERROR(__xludf.DUMMYFUNCTION("""COMPUTED_VALUE"""),1305.1)</f>
        <v>1305.1</v>
      </c>
      <c r="Q259" s="177">
        <f>IFERROR(__xludf.DUMMYFUNCTION("""COMPUTED_VALUE"""),1284.5)</f>
        <v>1284.5</v>
      </c>
      <c r="R259" s="177">
        <f>IFERROR(__xludf.DUMMYFUNCTION("""COMPUTED_VALUE"""),1300.8)</f>
        <v>1300.8</v>
      </c>
      <c r="S259" s="177">
        <f>IFERROR(__xludf.DUMMYFUNCTION("""COMPUTED_VALUE"""),1.3005622E7)</f>
        <v>13005622</v>
      </c>
      <c r="T259" s="177">
        <f t="shared" si="2"/>
        <v>0.0006921213796</v>
      </c>
      <c r="U259" s="178"/>
      <c r="V259" s="177"/>
      <c r="W259" s="189"/>
      <c r="X259" s="140"/>
      <c r="Y259" s="140"/>
      <c r="Z259" s="176">
        <f>IFERROR(__xludf.DUMMYFUNCTION("""COMPUTED_VALUE"""),45756.64583333333)</f>
        <v>45756.64583</v>
      </c>
      <c r="AA259" s="177">
        <f>IFERROR(__xludf.DUMMYFUNCTION("""COMPUTED_VALUE"""),371.2)</f>
        <v>371.2</v>
      </c>
      <c r="AB259" s="177">
        <f>IFERROR(__xludf.DUMMYFUNCTION("""COMPUTED_VALUE"""),374.4)</f>
        <v>374.4</v>
      </c>
      <c r="AC259" s="177">
        <f>IFERROR(__xludf.DUMMYFUNCTION("""COMPUTED_VALUE"""),365.2)</f>
        <v>365.2</v>
      </c>
      <c r="AD259" s="177">
        <f>IFERROR(__xludf.DUMMYFUNCTION("""COMPUTED_VALUE"""),370.6)</f>
        <v>370.6</v>
      </c>
      <c r="AE259" s="177">
        <f>IFERROR(__xludf.DUMMYFUNCTION("""COMPUTED_VALUE"""),9155700.0)</f>
        <v>9155700</v>
      </c>
      <c r="AF259" s="177">
        <f t="shared" si="3"/>
        <v>-0.0001349072515</v>
      </c>
      <c r="AG259" s="177"/>
      <c r="AH259" s="177"/>
      <c r="AI259" s="189"/>
      <c r="AJ259" s="140"/>
      <c r="AK259" s="140"/>
      <c r="AL259" s="176">
        <f>IFERROR(__xludf.DUMMYFUNCTION("""COMPUTED_VALUE"""),45756.64583333333)</f>
        <v>45756.64583</v>
      </c>
      <c r="AM259" s="177">
        <f>IFERROR(__xludf.DUMMYFUNCTION("""COMPUTED_VALUE"""),4037.0)</f>
        <v>4037</v>
      </c>
      <c r="AN259" s="177">
        <f>IFERROR(__xludf.DUMMYFUNCTION("""COMPUTED_VALUE"""),4070.0)</f>
        <v>4070</v>
      </c>
      <c r="AO259" s="177">
        <f>IFERROR(__xludf.DUMMYFUNCTION("""COMPUTED_VALUE"""),3965.85)</f>
        <v>3965.85</v>
      </c>
      <c r="AP259" s="177">
        <f>IFERROR(__xludf.DUMMYFUNCTION("""COMPUTED_VALUE"""),4030.7)</f>
        <v>4030.7</v>
      </c>
      <c r="AQ259" s="177">
        <f>IFERROR(__xludf.DUMMYFUNCTION("""COMPUTED_VALUE"""),1585051.0)</f>
        <v>1585051</v>
      </c>
      <c r="AR259" s="177">
        <f t="shared" si="4"/>
        <v>-0.002787190646</v>
      </c>
      <c r="AS259" s="177"/>
      <c r="AT259" s="177"/>
      <c r="AU259" s="189"/>
      <c r="AV259" s="140"/>
      <c r="AW259" s="140"/>
      <c r="AX259" s="176">
        <f>IFERROR(__xludf.DUMMYFUNCTION("""COMPUTED_VALUE"""),45756.64583333333)</f>
        <v>45756.64583</v>
      </c>
      <c r="AY259" s="177">
        <f>IFERROR(__xludf.DUMMYFUNCTION("""COMPUTED_VALUE"""),413.0)</f>
        <v>413</v>
      </c>
      <c r="AZ259" s="177">
        <f>IFERROR(__xludf.DUMMYFUNCTION("""COMPUTED_VALUE"""),419.05)</f>
        <v>419.05</v>
      </c>
      <c r="BA259" s="177">
        <f>IFERROR(__xludf.DUMMYFUNCTION("""COMPUTED_VALUE"""),411.25)</f>
        <v>411.25</v>
      </c>
      <c r="BB259" s="177">
        <f>IFERROR(__xludf.DUMMYFUNCTION("""COMPUTED_VALUE"""),416.3)</f>
        <v>416.3</v>
      </c>
      <c r="BC259" s="177">
        <f>IFERROR(__xludf.DUMMYFUNCTION("""COMPUTED_VALUE"""),2.1785572E7)</f>
        <v>21785572</v>
      </c>
      <c r="BD259" s="177">
        <f t="shared" si="5"/>
        <v>0.009048743651</v>
      </c>
      <c r="BE259" s="177"/>
      <c r="BF259" s="177"/>
      <c r="BG259" s="189"/>
      <c r="BH259" s="140"/>
      <c r="BI259" s="140"/>
      <c r="BJ259" s="140"/>
      <c r="BK259" s="140"/>
      <c r="BL259" s="140"/>
      <c r="BM259" s="140"/>
      <c r="BN259" s="140"/>
      <c r="BO259" s="140"/>
      <c r="BP259" s="140"/>
      <c r="BQ259" s="140"/>
      <c r="BR259" s="140"/>
      <c r="BS259" s="140"/>
      <c r="BT259" s="140"/>
      <c r="BU259" s="140"/>
      <c r="BV259" s="140"/>
      <c r="BW259" s="140"/>
      <c r="BX259" s="140"/>
      <c r="BY259" s="140"/>
    </row>
    <row r="260" ht="15.75" customHeight="1">
      <c r="A260" s="168"/>
      <c r="B260" s="169">
        <v>45758.0</v>
      </c>
      <c r="C260" s="170">
        <v>8804.12</v>
      </c>
      <c r="D260" s="170">
        <v>8994.78</v>
      </c>
      <c r="E260" s="170">
        <v>8795.52</v>
      </c>
      <c r="F260" s="170">
        <v>8968.12</v>
      </c>
      <c r="G260" s="171" t="s">
        <v>238</v>
      </c>
      <c r="H260" s="172">
        <f t="shared" si="1"/>
        <v>0.04341266038</v>
      </c>
      <c r="I260" s="172"/>
      <c r="J260" s="172"/>
      <c r="K260" s="188"/>
      <c r="L260" s="140"/>
      <c r="M260" s="140"/>
      <c r="N260" s="176">
        <f>IFERROR(__xludf.DUMMYFUNCTION("""COMPUTED_VALUE"""),45758.64583333333)</f>
        <v>45758.64583</v>
      </c>
      <c r="O260" s="177">
        <f>IFERROR(__xludf.DUMMYFUNCTION("""COMPUTED_VALUE"""),1305.1)</f>
        <v>1305.1</v>
      </c>
      <c r="P260" s="177">
        <f>IFERROR(__xludf.DUMMYFUNCTION("""COMPUTED_VALUE"""),1325.0)</f>
        <v>1325</v>
      </c>
      <c r="Q260" s="177">
        <f>IFERROR(__xludf.DUMMYFUNCTION("""COMPUTED_VALUE"""),1305.1)</f>
        <v>1305.1</v>
      </c>
      <c r="R260" s="177">
        <f>IFERROR(__xludf.DUMMYFUNCTION("""COMPUTED_VALUE"""),1311.65)</f>
        <v>1311.65</v>
      </c>
      <c r="S260" s="177">
        <f>IFERROR(__xludf.DUMMYFUNCTION("""COMPUTED_VALUE"""),1.3064247E7)</f>
        <v>13064247</v>
      </c>
      <c r="T260" s="177">
        <f t="shared" si="2"/>
        <v>0.008306426829</v>
      </c>
      <c r="U260" s="178"/>
      <c r="V260" s="177"/>
      <c r="W260" s="189"/>
      <c r="X260" s="140"/>
      <c r="Y260" s="140"/>
      <c r="Z260" s="176">
        <f>IFERROR(__xludf.DUMMYFUNCTION("""COMPUTED_VALUE"""),45758.64583333333)</f>
        <v>45758.64583</v>
      </c>
      <c r="AA260" s="177">
        <f>IFERROR(__xludf.DUMMYFUNCTION("""COMPUTED_VALUE"""),371.05)</f>
        <v>371.05</v>
      </c>
      <c r="AB260" s="177">
        <f>IFERROR(__xludf.DUMMYFUNCTION("""COMPUTED_VALUE"""),375.2)</f>
        <v>375.2</v>
      </c>
      <c r="AC260" s="177">
        <f>IFERROR(__xludf.DUMMYFUNCTION("""COMPUTED_VALUE"""),365.3)</f>
        <v>365.3</v>
      </c>
      <c r="AD260" s="177">
        <f>IFERROR(__xludf.DUMMYFUNCTION("""COMPUTED_VALUE"""),373.65)</f>
        <v>373.65</v>
      </c>
      <c r="AE260" s="177">
        <f>IFERROR(__xludf.DUMMYFUNCTION("""COMPUTED_VALUE"""),7244994.0)</f>
        <v>7244994</v>
      </c>
      <c r="AF260" s="177">
        <f t="shared" si="3"/>
        <v>0.008196216525</v>
      </c>
      <c r="AG260" s="177"/>
      <c r="AH260" s="177"/>
      <c r="AI260" s="189"/>
      <c r="AJ260" s="140"/>
      <c r="AK260" s="140"/>
      <c r="AL260" s="176">
        <f>IFERROR(__xludf.DUMMYFUNCTION("""COMPUTED_VALUE"""),45758.64583333333)</f>
        <v>45758.64583</v>
      </c>
      <c r="AM260" s="177">
        <f>IFERROR(__xludf.DUMMYFUNCTION("""COMPUTED_VALUE"""),4075.0)</f>
        <v>4075</v>
      </c>
      <c r="AN260" s="177">
        <f>IFERROR(__xludf.DUMMYFUNCTION("""COMPUTED_VALUE"""),4142.7)</f>
        <v>4142.7</v>
      </c>
      <c r="AO260" s="177">
        <f>IFERROR(__xludf.DUMMYFUNCTION("""COMPUTED_VALUE"""),4066.65)</f>
        <v>4066.65</v>
      </c>
      <c r="AP260" s="177">
        <f>IFERROR(__xludf.DUMMYFUNCTION("""COMPUTED_VALUE"""),4107.2)</f>
        <v>4107.2</v>
      </c>
      <c r="AQ260" s="177">
        <f>IFERROR(__xludf.DUMMYFUNCTION("""COMPUTED_VALUE"""),1518828.0)</f>
        <v>1518828</v>
      </c>
      <c r="AR260" s="177">
        <f t="shared" si="4"/>
        <v>0.01880147299</v>
      </c>
      <c r="AS260" s="177"/>
      <c r="AT260" s="177"/>
      <c r="AU260" s="189"/>
      <c r="AV260" s="140"/>
      <c r="AW260" s="140"/>
      <c r="AX260" s="176">
        <f>IFERROR(__xludf.DUMMYFUNCTION("""COMPUTED_VALUE"""),45758.64583333333)</f>
        <v>45758.64583</v>
      </c>
      <c r="AY260" s="177">
        <f>IFERROR(__xludf.DUMMYFUNCTION("""COMPUTED_VALUE"""),420.0)</f>
        <v>420</v>
      </c>
      <c r="AZ260" s="177">
        <f>IFERROR(__xludf.DUMMYFUNCTION("""COMPUTED_VALUE"""),422.45)</f>
        <v>422.45</v>
      </c>
      <c r="BA260" s="177">
        <f>IFERROR(__xludf.DUMMYFUNCTION("""COMPUTED_VALUE"""),417.0)</f>
        <v>417</v>
      </c>
      <c r="BB260" s="177">
        <f>IFERROR(__xludf.DUMMYFUNCTION("""COMPUTED_VALUE"""),421.55)</f>
        <v>421.55</v>
      </c>
      <c r="BC260" s="177">
        <f>IFERROR(__xludf.DUMMYFUNCTION("""COMPUTED_VALUE"""),8939356.0)</f>
        <v>8939356</v>
      </c>
      <c r="BD260" s="177">
        <f t="shared" si="5"/>
        <v>0.01253224017</v>
      </c>
      <c r="BE260" s="177"/>
      <c r="BF260" s="177"/>
      <c r="BG260" s="189"/>
      <c r="BH260" s="140"/>
      <c r="BI260" s="140"/>
      <c r="BJ260" s="140"/>
      <c r="BK260" s="140"/>
      <c r="BL260" s="140"/>
      <c r="BM260" s="140"/>
      <c r="BN260" s="140"/>
      <c r="BO260" s="140"/>
      <c r="BP260" s="140"/>
      <c r="BQ260" s="140"/>
      <c r="BR260" s="140"/>
      <c r="BS260" s="140"/>
      <c r="BT260" s="140"/>
      <c r="BU260" s="140"/>
      <c r="BV260" s="140"/>
      <c r="BW260" s="140"/>
      <c r="BX260" s="140"/>
      <c r="BY260" s="140"/>
    </row>
    <row r="261" ht="15.75" customHeight="1">
      <c r="A261" s="168"/>
      <c r="B261" s="169">
        <v>45762.0</v>
      </c>
      <c r="C261" s="170">
        <v>8883.12</v>
      </c>
      <c r="D261" s="170">
        <v>8923.12</v>
      </c>
      <c r="E261" s="170">
        <v>8849.52</v>
      </c>
      <c r="F261" s="170">
        <v>8901.52</v>
      </c>
      <c r="G261" s="171" t="s">
        <v>238</v>
      </c>
      <c r="H261" s="172">
        <f t="shared" si="1"/>
        <v>-0.007454017918</v>
      </c>
      <c r="I261" s="172"/>
      <c r="J261" s="172"/>
      <c r="K261" s="188"/>
      <c r="L261" s="140"/>
      <c r="M261" s="140"/>
      <c r="N261" s="176">
        <f>IFERROR(__xludf.DUMMYFUNCTION("""COMPUTED_VALUE"""),45762.64583333333)</f>
        <v>45762.64583</v>
      </c>
      <c r="O261" s="177">
        <f>IFERROR(__xludf.DUMMYFUNCTION("""COMPUTED_VALUE"""),1351.0)</f>
        <v>1351</v>
      </c>
      <c r="P261" s="177">
        <f>IFERROR(__xludf.DUMMYFUNCTION("""COMPUTED_VALUE"""),1354.3)</f>
        <v>1354.3</v>
      </c>
      <c r="Q261" s="177">
        <f>IFERROR(__xludf.DUMMYFUNCTION("""COMPUTED_VALUE"""),1336.2)</f>
        <v>1336.2</v>
      </c>
      <c r="R261" s="177">
        <f>IFERROR(__xludf.DUMMYFUNCTION("""COMPUTED_VALUE"""),1350.2)</f>
        <v>1350.2</v>
      </c>
      <c r="S261" s="177">
        <f>IFERROR(__xludf.DUMMYFUNCTION("""COMPUTED_VALUE"""),1.5202603E7)</f>
        <v>15202603</v>
      </c>
      <c r="T261" s="177">
        <f t="shared" si="2"/>
        <v>0.02896684299</v>
      </c>
      <c r="U261" s="178"/>
      <c r="V261" s="177"/>
      <c r="W261" s="189"/>
      <c r="X261" s="140"/>
      <c r="Y261" s="140"/>
      <c r="Z261" s="176">
        <f>IFERROR(__xludf.DUMMYFUNCTION("""COMPUTED_VALUE"""),45762.64583333333)</f>
        <v>45762.64583</v>
      </c>
      <c r="AA261" s="177">
        <f>IFERROR(__xludf.DUMMYFUNCTION("""COMPUTED_VALUE"""),380.8)</f>
        <v>380.8</v>
      </c>
      <c r="AB261" s="177">
        <f>IFERROR(__xludf.DUMMYFUNCTION("""COMPUTED_VALUE"""),382.7)</f>
        <v>382.7</v>
      </c>
      <c r="AC261" s="177">
        <f>IFERROR(__xludf.DUMMYFUNCTION("""COMPUTED_VALUE"""),374.25)</f>
        <v>374.25</v>
      </c>
      <c r="AD261" s="177">
        <f>IFERROR(__xludf.DUMMYFUNCTION("""COMPUTED_VALUE"""),380.45)</f>
        <v>380.45</v>
      </c>
      <c r="AE261" s="177">
        <f>IFERROR(__xludf.DUMMYFUNCTION("""COMPUTED_VALUE"""),7889826.0)</f>
        <v>7889826</v>
      </c>
      <c r="AF261" s="177">
        <f t="shared" si="3"/>
        <v>0.01803523225</v>
      </c>
      <c r="AG261" s="177"/>
      <c r="AH261" s="177"/>
      <c r="AI261" s="189"/>
      <c r="AJ261" s="140"/>
      <c r="AK261" s="140"/>
      <c r="AL261" s="176">
        <f>IFERROR(__xludf.DUMMYFUNCTION("""COMPUTED_VALUE"""),45762.64583333333)</f>
        <v>45762.64583</v>
      </c>
      <c r="AM261" s="177">
        <f>IFERROR(__xludf.DUMMYFUNCTION("""COMPUTED_VALUE"""),4250.0)</f>
        <v>4250</v>
      </c>
      <c r="AN261" s="177">
        <f>IFERROR(__xludf.DUMMYFUNCTION("""COMPUTED_VALUE"""),4250.0)</f>
        <v>4250</v>
      </c>
      <c r="AO261" s="177">
        <f>IFERROR(__xludf.DUMMYFUNCTION("""COMPUTED_VALUE"""),4170.8)</f>
        <v>4170.8</v>
      </c>
      <c r="AP261" s="177">
        <f>IFERROR(__xludf.DUMMYFUNCTION("""COMPUTED_VALUE"""),4206.1)</f>
        <v>4206.1</v>
      </c>
      <c r="AQ261" s="177">
        <f>IFERROR(__xludf.DUMMYFUNCTION("""COMPUTED_VALUE"""),1572706.0)</f>
        <v>1572706</v>
      </c>
      <c r="AR261" s="177">
        <f t="shared" si="4"/>
        <v>0.02379432142</v>
      </c>
      <c r="AS261" s="177"/>
      <c r="AT261" s="177"/>
      <c r="AU261" s="189"/>
      <c r="AV261" s="140"/>
      <c r="AW261" s="140"/>
      <c r="AX261" s="176">
        <f>IFERROR(__xludf.DUMMYFUNCTION("""COMPUTED_VALUE"""),45762.64583333333)</f>
        <v>45762.64583</v>
      </c>
      <c r="AY261" s="177">
        <f>IFERROR(__xludf.DUMMYFUNCTION("""COMPUTED_VALUE"""),429.2)</f>
        <v>429.2</v>
      </c>
      <c r="AZ261" s="177">
        <f>IFERROR(__xludf.DUMMYFUNCTION("""COMPUTED_VALUE"""),429.2)</f>
        <v>429.2</v>
      </c>
      <c r="BA261" s="177">
        <f>IFERROR(__xludf.DUMMYFUNCTION("""COMPUTED_VALUE"""),419.0)</f>
        <v>419</v>
      </c>
      <c r="BB261" s="177">
        <f>IFERROR(__xludf.DUMMYFUNCTION("""COMPUTED_VALUE"""),420.4)</f>
        <v>420.4</v>
      </c>
      <c r="BC261" s="177">
        <f>IFERROR(__xludf.DUMMYFUNCTION("""COMPUTED_VALUE"""),1.168588E7)</f>
        <v>11685880</v>
      </c>
      <c r="BD261" s="177">
        <f t="shared" si="5"/>
        <v>-0.002731755366</v>
      </c>
      <c r="BE261" s="177"/>
      <c r="BF261" s="177"/>
      <c r="BG261" s="189"/>
      <c r="BH261" s="140"/>
      <c r="BI261" s="140"/>
      <c r="BJ261" s="140"/>
      <c r="BK261" s="140"/>
      <c r="BL261" s="140"/>
      <c r="BM261" s="140"/>
      <c r="BN261" s="140"/>
      <c r="BO261" s="140"/>
      <c r="BP261" s="140"/>
      <c r="BQ261" s="140"/>
      <c r="BR261" s="140"/>
      <c r="BS261" s="140"/>
      <c r="BT261" s="140"/>
      <c r="BU261" s="140"/>
      <c r="BV261" s="140"/>
      <c r="BW261" s="140"/>
      <c r="BX261" s="140"/>
      <c r="BY261" s="140"/>
    </row>
    <row r="262" ht="15.75" customHeight="1">
      <c r="A262" s="168"/>
      <c r="B262" s="169">
        <v>45763.0</v>
      </c>
      <c r="C262" s="170">
        <v>8900.78</v>
      </c>
      <c r="D262" s="170">
        <v>9208.12</v>
      </c>
      <c r="E262" s="170">
        <v>8890.12</v>
      </c>
      <c r="F262" s="170">
        <v>9201.52</v>
      </c>
      <c r="G262" s="171" t="s">
        <v>238</v>
      </c>
      <c r="H262" s="172">
        <f t="shared" si="1"/>
        <v>0.03314663913</v>
      </c>
      <c r="I262" s="172"/>
      <c r="J262" s="172"/>
      <c r="K262" s="188"/>
      <c r="L262" s="140"/>
      <c r="M262" s="140"/>
      <c r="N262" s="176">
        <f>IFERROR(__xludf.DUMMYFUNCTION("""COMPUTED_VALUE"""),45763.64583333333)</f>
        <v>45763.64583</v>
      </c>
      <c r="O262" s="177">
        <f>IFERROR(__xludf.DUMMYFUNCTION("""COMPUTED_VALUE"""),1357.0)</f>
        <v>1357</v>
      </c>
      <c r="P262" s="177">
        <f>IFERROR(__xludf.DUMMYFUNCTION("""COMPUTED_VALUE"""),1359.7)</f>
        <v>1359.7</v>
      </c>
      <c r="Q262" s="177">
        <f>IFERROR(__xludf.DUMMYFUNCTION("""COMPUTED_VALUE"""),1342.9)</f>
        <v>1342.9</v>
      </c>
      <c r="R262" s="177">
        <f>IFERROR(__xludf.DUMMYFUNCTION("""COMPUTED_VALUE"""),1356.4)</f>
        <v>1356.4</v>
      </c>
      <c r="S262" s="177">
        <f>IFERROR(__xludf.DUMMYFUNCTION("""COMPUTED_VALUE"""),1.4039073E7)</f>
        <v>14039073</v>
      </c>
      <c r="T262" s="177">
        <f t="shared" si="2"/>
        <v>0.004581401644</v>
      </c>
      <c r="U262" s="178"/>
      <c r="V262" s="177"/>
      <c r="W262" s="189"/>
      <c r="X262" s="140"/>
      <c r="Y262" s="140"/>
      <c r="Z262" s="176">
        <f>IFERROR(__xludf.DUMMYFUNCTION("""COMPUTED_VALUE"""),45763.64583333333)</f>
        <v>45763.64583</v>
      </c>
      <c r="AA262" s="177">
        <f>IFERROR(__xludf.DUMMYFUNCTION("""COMPUTED_VALUE"""),375.0)</f>
        <v>375</v>
      </c>
      <c r="AB262" s="177">
        <f>IFERROR(__xludf.DUMMYFUNCTION("""COMPUTED_VALUE"""),387.2)</f>
        <v>387.2</v>
      </c>
      <c r="AC262" s="177">
        <f>IFERROR(__xludf.DUMMYFUNCTION("""COMPUTED_VALUE"""),375.0)</f>
        <v>375</v>
      </c>
      <c r="AD262" s="177">
        <f>IFERROR(__xludf.DUMMYFUNCTION("""COMPUTED_VALUE"""),386.1)</f>
        <v>386.1</v>
      </c>
      <c r="AE262" s="177">
        <f>IFERROR(__xludf.DUMMYFUNCTION("""COMPUTED_VALUE"""),9061814.0)</f>
        <v>9061814</v>
      </c>
      <c r="AF262" s="177">
        <f t="shared" si="3"/>
        <v>0.01474164065</v>
      </c>
      <c r="AG262" s="177"/>
      <c r="AH262" s="177"/>
      <c r="AI262" s="189"/>
      <c r="AJ262" s="140"/>
      <c r="AK262" s="140"/>
      <c r="AL262" s="176">
        <f>IFERROR(__xludf.DUMMYFUNCTION("""COMPUTED_VALUE"""),45763.64583333333)</f>
        <v>45763.64583</v>
      </c>
      <c r="AM262" s="177">
        <f>IFERROR(__xludf.DUMMYFUNCTION("""COMPUTED_VALUE"""),4215.0)</f>
        <v>4215</v>
      </c>
      <c r="AN262" s="177">
        <f>IFERROR(__xludf.DUMMYFUNCTION("""COMPUTED_VALUE"""),4242.0)</f>
        <v>4242</v>
      </c>
      <c r="AO262" s="177">
        <f>IFERROR(__xludf.DUMMYFUNCTION("""COMPUTED_VALUE"""),4171.3)</f>
        <v>4171.3</v>
      </c>
      <c r="AP262" s="177">
        <f>IFERROR(__xludf.DUMMYFUNCTION("""COMPUTED_VALUE"""),4209.2)</f>
        <v>4209.2</v>
      </c>
      <c r="AQ262" s="177">
        <f>IFERROR(__xludf.DUMMYFUNCTION("""COMPUTED_VALUE"""),1487536.0)</f>
        <v>1487536</v>
      </c>
      <c r="AR262" s="177">
        <f t="shared" si="4"/>
        <v>0.0007367533279</v>
      </c>
      <c r="AS262" s="177"/>
      <c r="AT262" s="177"/>
      <c r="AU262" s="189"/>
      <c r="AV262" s="140"/>
      <c r="AW262" s="140"/>
      <c r="AX262" s="176">
        <f>IFERROR(__xludf.DUMMYFUNCTION("""COMPUTED_VALUE"""),45763.64583333333)</f>
        <v>45763.64583</v>
      </c>
      <c r="AY262" s="177">
        <f>IFERROR(__xludf.DUMMYFUNCTION("""COMPUTED_VALUE"""),418.0)</f>
        <v>418</v>
      </c>
      <c r="AZ262" s="177">
        <f>IFERROR(__xludf.DUMMYFUNCTION("""COMPUTED_VALUE"""),426.05)</f>
        <v>426.05</v>
      </c>
      <c r="BA262" s="177">
        <f>IFERROR(__xludf.DUMMYFUNCTION("""COMPUTED_VALUE"""),418.0)</f>
        <v>418</v>
      </c>
      <c r="BB262" s="177">
        <f>IFERROR(__xludf.DUMMYFUNCTION("""COMPUTED_VALUE"""),424.45)</f>
        <v>424.45</v>
      </c>
      <c r="BC262" s="177">
        <f>IFERROR(__xludf.DUMMYFUNCTION("""COMPUTED_VALUE"""),1.3034594E7)</f>
        <v>13034594</v>
      </c>
      <c r="BD262" s="177">
        <f t="shared" si="5"/>
        <v>0.009587574181</v>
      </c>
      <c r="BE262" s="177"/>
      <c r="BF262" s="177"/>
      <c r="BG262" s="189"/>
      <c r="BH262" s="140"/>
      <c r="BI262" s="140"/>
      <c r="BJ262" s="140"/>
      <c r="BK262" s="140"/>
      <c r="BL262" s="140"/>
      <c r="BM262" s="140"/>
      <c r="BN262" s="140"/>
      <c r="BO262" s="140"/>
      <c r="BP262" s="140"/>
      <c r="BQ262" s="140"/>
      <c r="BR262" s="140"/>
      <c r="BS262" s="140"/>
      <c r="BT262" s="140"/>
      <c r="BU262" s="140"/>
      <c r="BV262" s="140"/>
      <c r="BW262" s="140"/>
      <c r="BX262" s="140"/>
      <c r="BY262" s="140"/>
    </row>
    <row r="263" ht="15.75" customHeight="1">
      <c r="A263" s="168"/>
      <c r="B263" s="169">
        <v>45764.0</v>
      </c>
      <c r="C263" s="170">
        <v>9202.12</v>
      </c>
      <c r="D263" s="170">
        <v>9242.78</v>
      </c>
      <c r="E263" s="170">
        <v>9018.78</v>
      </c>
      <c r="F263" s="170">
        <v>9133.52</v>
      </c>
      <c r="G263" s="171" t="s">
        <v>238</v>
      </c>
      <c r="H263" s="172">
        <f t="shared" si="1"/>
        <v>-0.007417525326</v>
      </c>
      <c r="I263" s="172"/>
      <c r="J263" s="172"/>
      <c r="K263" s="188"/>
      <c r="L263" s="140"/>
      <c r="M263" s="140"/>
      <c r="N263" s="176">
        <f>IFERROR(__xludf.DUMMYFUNCTION("""COMPUTED_VALUE"""),45764.64583333333)</f>
        <v>45764.64583</v>
      </c>
      <c r="O263" s="177">
        <f>IFERROR(__xludf.DUMMYFUNCTION("""COMPUTED_VALUE"""),1362.0)</f>
        <v>1362</v>
      </c>
      <c r="P263" s="177">
        <f>IFERROR(__xludf.DUMMYFUNCTION("""COMPUTED_VALUE"""),1408.9)</f>
        <v>1408.9</v>
      </c>
      <c r="Q263" s="177">
        <f>IFERROR(__xludf.DUMMYFUNCTION("""COMPUTED_VALUE"""),1360.1)</f>
        <v>1360.1</v>
      </c>
      <c r="R263" s="177">
        <f>IFERROR(__xludf.DUMMYFUNCTION("""COMPUTED_VALUE"""),1406.7)</f>
        <v>1406.7</v>
      </c>
      <c r="S263" s="177">
        <f>IFERROR(__xludf.DUMMYFUNCTION("""COMPUTED_VALUE"""),1.7490424E7)</f>
        <v>17490424</v>
      </c>
      <c r="T263" s="177">
        <f t="shared" si="2"/>
        <v>0.03641240451</v>
      </c>
      <c r="U263" s="178"/>
      <c r="V263" s="177"/>
      <c r="W263" s="189"/>
      <c r="X263" s="140"/>
      <c r="Y263" s="140"/>
      <c r="Z263" s="176">
        <f>IFERROR(__xludf.DUMMYFUNCTION("""COMPUTED_VALUE"""),45764.64583333333)</f>
        <v>45764.64583</v>
      </c>
      <c r="AA263" s="177">
        <f>IFERROR(__xludf.DUMMYFUNCTION("""COMPUTED_VALUE"""),385.9)</f>
        <v>385.9</v>
      </c>
      <c r="AB263" s="177">
        <f>IFERROR(__xludf.DUMMYFUNCTION("""COMPUTED_VALUE"""),398.85)</f>
        <v>398.85</v>
      </c>
      <c r="AC263" s="177">
        <f>IFERROR(__xludf.DUMMYFUNCTION("""COMPUTED_VALUE"""),384.5)</f>
        <v>384.5</v>
      </c>
      <c r="AD263" s="177">
        <f>IFERROR(__xludf.DUMMYFUNCTION("""COMPUTED_VALUE"""),397.9)</f>
        <v>397.9</v>
      </c>
      <c r="AE263" s="177">
        <f>IFERROR(__xludf.DUMMYFUNCTION("""COMPUTED_VALUE"""),9288018.0)</f>
        <v>9288018</v>
      </c>
      <c r="AF263" s="177">
        <f t="shared" si="3"/>
        <v>0.03010431416</v>
      </c>
      <c r="AG263" s="177"/>
      <c r="AH263" s="177"/>
      <c r="AI263" s="189"/>
      <c r="AJ263" s="140"/>
      <c r="AK263" s="140"/>
      <c r="AL263" s="176">
        <f>IFERROR(__xludf.DUMMYFUNCTION("""COMPUTED_VALUE"""),45764.64583333333)</f>
        <v>45764.64583</v>
      </c>
      <c r="AM263" s="177">
        <f>IFERROR(__xludf.DUMMYFUNCTION("""COMPUTED_VALUE"""),4209.0)</f>
        <v>4209</v>
      </c>
      <c r="AN263" s="177">
        <f>IFERROR(__xludf.DUMMYFUNCTION("""COMPUTED_VALUE"""),4253.0)</f>
        <v>4253</v>
      </c>
      <c r="AO263" s="177">
        <f>IFERROR(__xludf.DUMMYFUNCTION("""COMPUTED_VALUE"""),4192.1)</f>
        <v>4192.1</v>
      </c>
      <c r="AP263" s="177">
        <f>IFERROR(__xludf.DUMMYFUNCTION("""COMPUTED_VALUE"""),4220.4)</f>
        <v>4220.4</v>
      </c>
      <c r="AQ263" s="177">
        <f>IFERROR(__xludf.DUMMYFUNCTION("""COMPUTED_VALUE"""),1216496.0)</f>
        <v>1216496</v>
      </c>
      <c r="AR263" s="177">
        <f t="shared" si="4"/>
        <v>0.002657304401</v>
      </c>
      <c r="AS263" s="177"/>
      <c r="AT263" s="177"/>
      <c r="AU263" s="189"/>
      <c r="AV263" s="140"/>
      <c r="AW263" s="140"/>
      <c r="AX263" s="176">
        <f>IFERROR(__xludf.DUMMYFUNCTION("""COMPUTED_VALUE"""),45764.64583333333)</f>
        <v>45764.64583</v>
      </c>
      <c r="AY263" s="177">
        <f>IFERROR(__xludf.DUMMYFUNCTION("""COMPUTED_VALUE"""),425.0)</f>
        <v>425</v>
      </c>
      <c r="AZ263" s="177">
        <f>IFERROR(__xludf.DUMMYFUNCTION("""COMPUTED_VALUE"""),427.85)</f>
        <v>427.85</v>
      </c>
      <c r="BA263" s="177">
        <f>IFERROR(__xludf.DUMMYFUNCTION("""COMPUTED_VALUE"""),421.55)</f>
        <v>421.55</v>
      </c>
      <c r="BB263" s="177">
        <f>IFERROR(__xludf.DUMMYFUNCTION("""COMPUTED_VALUE"""),427.25)</f>
        <v>427.25</v>
      </c>
      <c r="BC263" s="177">
        <f>IFERROR(__xludf.DUMMYFUNCTION("""COMPUTED_VALUE"""),2.2410217E7)</f>
        <v>22410217</v>
      </c>
      <c r="BD263" s="177">
        <f t="shared" si="5"/>
        <v>0.006575108812</v>
      </c>
      <c r="BE263" s="177"/>
      <c r="BF263" s="177"/>
      <c r="BG263" s="189"/>
      <c r="BH263" s="140"/>
      <c r="BI263" s="140"/>
      <c r="BJ263" s="140"/>
      <c r="BK263" s="140"/>
      <c r="BL263" s="140"/>
      <c r="BM263" s="140"/>
      <c r="BN263" s="140"/>
      <c r="BO263" s="140"/>
      <c r="BP263" s="140"/>
      <c r="BQ263" s="140"/>
      <c r="BR263" s="140"/>
      <c r="BS263" s="140"/>
      <c r="BT263" s="140"/>
      <c r="BU263" s="140"/>
      <c r="BV263" s="140"/>
      <c r="BW263" s="140"/>
      <c r="BX263" s="140"/>
      <c r="BY263" s="140"/>
    </row>
    <row r="264" ht="15.75" customHeight="1">
      <c r="A264" s="168"/>
      <c r="B264" s="169">
        <v>45768.0</v>
      </c>
      <c r="C264" s="170">
        <v>9160.78</v>
      </c>
      <c r="D264" s="170">
        <v>9396.12</v>
      </c>
      <c r="E264" s="170">
        <v>9143.12</v>
      </c>
      <c r="F264" s="170">
        <v>9372.12</v>
      </c>
      <c r="G264" s="171" t="s">
        <v>238</v>
      </c>
      <c r="H264" s="172">
        <f t="shared" si="1"/>
        <v>0.02578816219</v>
      </c>
      <c r="I264" s="172"/>
      <c r="J264" s="172"/>
      <c r="K264" s="188"/>
      <c r="L264" s="140"/>
      <c r="M264" s="140"/>
      <c r="N264" s="176">
        <f>IFERROR(__xludf.DUMMYFUNCTION("""COMPUTED_VALUE"""),45768.64583333333)</f>
        <v>45768.64583</v>
      </c>
      <c r="O264" s="177">
        <f>IFERROR(__xludf.DUMMYFUNCTION("""COMPUTED_VALUE"""),1436.0)</f>
        <v>1436</v>
      </c>
      <c r="P264" s="177">
        <f>IFERROR(__xludf.DUMMYFUNCTION("""COMPUTED_VALUE"""),1436.0)</f>
        <v>1436</v>
      </c>
      <c r="Q264" s="177">
        <f>IFERROR(__xludf.DUMMYFUNCTION("""COMPUTED_VALUE"""),1404.7)</f>
        <v>1404.7</v>
      </c>
      <c r="R264" s="177">
        <f>IFERROR(__xludf.DUMMYFUNCTION("""COMPUTED_VALUE"""),1409.8)</f>
        <v>1409.8</v>
      </c>
      <c r="S264" s="177">
        <f>IFERROR(__xludf.DUMMYFUNCTION("""COMPUTED_VALUE"""),1.6882426E7)</f>
        <v>16882426</v>
      </c>
      <c r="T264" s="177">
        <f t="shared" si="2"/>
        <v>0.002201314576</v>
      </c>
      <c r="U264" s="178"/>
      <c r="V264" s="177"/>
      <c r="W264" s="189"/>
      <c r="X264" s="140"/>
      <c r="Y264" s="140"/>
      <c r="Z264" s="176">
        <f>IFERROR(__xludf.DUMMYFUNCTION("""COMPUTED_VALUE"""),45768.64583333333)</f>
        <v>45768.64583</v>
      </c>
      <c r="AA264" s="177">
        <f>IFERROR(__xludf.DUMMYFUNCTION("""COMPUTED_VALUE"""),398.35)</f>
        <v>398.35</v>
      </c>
      <c r="AB264" s="177">
        <f>IFERROR(__xludf.DUMMYFUNCTION("""COMPUTED_VALUE"""),409.5)</f>
        <v>409.5</v>
      </c>
      <c r="AC264" s="177">
        <f>IFERROR(__xludf.DUMMYFUNCTION("""COMPUTED_VALUE"""),397.4)</f>
        <v>397.4</v>
      </c>
      <c r="AD264" s="177">
        <f>IFERROR(__xludf.DUMMYFUNCTION("""COMPUTED_VALUE"""),407.5)</f>
        <v>407.5</v>
      </c>
      <c r="AE264" s="177">
        <f>IFERROR(__xludf.DUMMYFUNCTION("""COMPUTED_VALUE"""),3516980.0)</f>
        <v>3516980</v>
      </c>
      <c r="AF264" s="177">
        <f t="shared" si="3"/>
        <v>0.02384021525</v>
      </c>
      <c r="AG264" s="177"/>
      <c r="AH264" s="177"/>
      <c r="AI264" s="189"/>
      <c r="AJ264" s="140"/>
      <c r="AK264" s="140"/>
      <c r="AL264" s="176">
        <f>IFERROR(__xludf.DUMMYFUNCTION("""COMPUTED_VALUE"""),45768.64583333333)</f>
        <v>45768.64583</v>
      </c>
      <c r="AM264" s="177">
        <f>IFERROR(__xludf.DUMMYFUNCTION("""COMPUTED_VALUE"""),4248.0)</f>
        <v>4248</v>
      </c>
      <c r="AN264" s="177">
        <f>IFERROR(__xludf.DUMMYFUNCTION("""COMPUTED_VALUE"""),4336.0)</f>
        <v>4336</v>
      </c>
      <c r="AO264" s="177">
        <f>IFERROR(__xludf.DUMMYFUNCTION("""COMPUTED_VALUE"""),4225.0)</f>
        <v>4225</v>
      </c>
      <c r="AP264" s="177">
        <f>IFERROR(__xludf.DUMMYFUNCTION("""COMPUTED_VALUE"""),4309.1)</f>
        <v>4309.1</v>
      </c>
      <c r="AQ264" s="177">
        <f>IFERROR(__xludf.DUMMYFUNCTION("""COMPUTED_VALUE"""),1508314.0)</f>
        <v>1508314</v>
      </c>
      <c r="AR264" s="177">
        <f t="shared" si="4"/>
        <v>0.02079915532</v>
      </c>
      <c r="AS264" s="177"/>
      <c r="AT264" s="177"/>
      <c r="AU264" s="189"/>
      <c r="AV264" s="140"/>
      <c r="AW264" s="140"/>
      <c r="AX264" s="176">
        <f>IFERROR(__xludf.DUMMYFUNCTION("""COMPUTED_VALUE"""),45768.64583333333)</f>
        <v>45768.64583</v>
      </c>
      <c r="AY264" s="177">
        <f>IFERROR(__xludf.DUMMYFUNCTION("""COMPUTED_VALUE"""),428.05)</f>
        <v>428.05</v>
      </c>
      <c r="AZ264" s="177">
        <f>IFERROR(__xludf.DUMMYFUNCTION("""COMPUTED_VALUE"""),429.1)</f>
        <v>429.1</v>
      </c>
      <c r="BA264" s="177">
        <f>IFERROR(__xludf.DUMMYFUNCTION("""COMPUTED_VALUE"""),421.5)</f>
        <v>421.5</v>
      </c>
      <c r="BB264" s="177">
        <f>IFERROR(__xludf.DUMMYFUNCTION("""COMPUTED_VALUE"""),422.85)</f>
        <v>422.85</v>
      </c>
      <c r="BC264" s="177">
        <f>IFERROR(__xludf.DUMMYFUNCTION("""COMPUTED_VALUE"""),2.7388236E7)</f>
        <v>27388236</v>
      </c>
      <c r="BD264" s="177">
        <f t="shared" si="5"/>
        <v>-0.01035181577</v>
      </c>
      <c r="BE264" s="177"/>
      <c r="BF264" s="177"/>
      <c r="BG264" s="189"/>
      <c r="BH264" s="140"/>
      <c r="BI264" s="140"/>
      <c r="BJ264" s="140"/>
      <c r="BK264" s="140"/>
      <c r="BL264" s="140"/>
      <c r="BM264" s="140"/>
      <c r="BN264" s="140"/>
      <c r="BO264" s="140"/>
      <c r="BP264" s="140"/>
      <c r="BQ264" s="140"/>
      <c r="BR264" s="140"/>
      <c r="BS264" s="140"/>
      <c r="BT264" s="140"/>
      <c r="BU264" s="140"/>
      <c r="BV264" s="140"/>
      <c r="BW264" s="140"/>
      <c r="BX264" s="140"/>
      <c r="BY264" s="140"/>
    </row>
    <row r="265" ht="15.75" customHeight="1">
      <c r="A265" s="168"/>
      <c r="B265" s="169">
        <v>45769.0</v>
      </c>
      <c r="C265" s="170">
        <v>9378.78</v>
      </c>
      <c r="D265" s="170">
        <v>9574.12</v>
      </c>
      <c r="E265" s="170">
        <v>9220.12</v>
      </c>
      <c r="F265" s="170">
        <v>9258.78</v>
      </c>
      <c r="G265" s="171" t="s">
        <v>238</v>
      </c>
      <c r="H265" s="172">
        <f t="shared" si="1"/>
        <v>-0.01216703414</v>
      </c>
      <c r="I265" s="172"/>
      <c r="J265" s="172"/>
      <c r="K265" s="188"/>
      <c r="L265" s="140"/>
      <c r="M265" s="140"/>
      <c r="N265" s="176">
        <f>IFERROR(__xludf.DUMMYFUNCTION("""COMPUTED_VALUE"""),45769.64583333333)</f>
        <v>45769.64583</v>
      </c>
      <c r="O265" s="177">
        <f>IFERROR(__xludf.DUMMYFUNCTION("""COMPUTED_VALUE"""),1412.8)</f>
        <v>1412.8</v>
      </c>
      <c r="P265" s="177">
        <f>IFERROR(__xludf.DUMMYFUNCTION("""COMPUTED_VALUE"""),1418.8)</f>
        <v>1418.8</v>
      </c>
      <c r="Q265" s="177">
        <f>IFERROR(__xludf.DUMMYFUNCTION("""COMPUTED_VALUE"""),1398.9)</f>
        <v>1398.9</v>
      </c>
      <c r="R265" s="177">
        <f>IFERROR(__xludf.DUMMYFUNCTION("""COMPUTED_VALUE"""),1416.5)</f>
        <v>1416.5</v>
      </c>
      <c r="S265" s="177">
        <f>IFERROR(__xludf.DUMMYFUNCTION("""COMPUTED_VALUE"""),1.6135274E7)</f>
        <v>16135274</v>
      </c>
      <c r="T265" s="177">
        <f t="shared" si="2"/>
        <v>0.004741189931</v>
      </c>
      <c r="U265" s="178"/>
      <c r="V265" s="177"/>
      <c r="W265" s="189"/>
      <c r="X265" s="140"/>
      <c r="Y265" s="140"/>
      <c r="Z265" s="176">
        <f>IFERROR(__xludf.DUMMYFUNCTION("""COMPUTED_VALUE"""),45769.64583333333)</f>
        <v>45769.64583</v>
      </c>
      <c r="AA265" s="177">
        <f>IFERROR(__xludf.DUMMYFUNCTION("""COMPUTED_VALUE"""),409.2)</f>
        <v>409.2</v>
      </c>
      <c r="AB265" s="177">
        <f>IFERROR(__xludf.DUMMYFUNCTION("""COMPUTED_VALUE"""),421.5)</f>
        <v>421.5</v>
      </c>
      <c r="AC265" s="177">
        <f>IFERROR(__xludf.DUMMYFUNCTION("""COMPUTED_VALUE"""),399.5)</f>
        <v>399.5</v>
      </c>
      <c r="AD265" s="177">
        <f>IFERROR(__xludf.DUMMYFUNCTION("""COMPUTED_VALUE"""),400.85)</f>
        <v>400.85</v>
      </c>
      <c r="AE265" s="177">
        <f>IFERROR(__xludf.DUMMYFUNCTION("""COMPUTED_VALUE"""),1.3842212E7)</f>
        <v>13842212</v>
      </c>
      <c r="AF265" s="177">
        <f t="shared" si="3"/>
        <v>-0.01645364019</v>
      </c>
      <c r="AG265" s="177"/>
      <c r="AH265" s="177"/>
      <c r="AI265" s="189"/>
      <c r="AJ265" s="140"/>
      <c r="AK265" s="140"/>
      <c r="AL265" s="176">
        <f>IFERROR(__xludf.DUMMYFUNCTION("""COMPUTED_VALUE"""),45769.64583333333)</f>
        <v>45769.64583</v>
      </c>
      <c r="AM265" s="177">
        <f>IFERROR(__xludf.DUMMYFUNCTION("""COMPUTED_VALUE"""),4328.0)</f>
        <v>4328</v>
      </c>
      <c r="AN265" s="177">
        <f>IFERROR(__xludf.DUMMYFUNCTION("""COMPUTED_VALUE"""),4338.9)</f>
        <v>4338.9</v>
      </c>
      <c r="AO265" s="177">
        <f>IFERROR(__xludf.DUMMYFUNCTION("""COMPUTED_VALUE"""),4272.0)</f>
        <v>4272</v>
      </c>
      <c r="AP265" s="177">
        <f>IFERROR(__xludf.DUMMYFUNCTION("""COMPUTED_VALUE"""),4286.0)</f>
        <v>4286</v>
      </c>
      <c r="AQ265" s="177">
        <f>IFERROR(__xludf.DUMMYFUNCTION("""COMPUTED_VALUE"""),1224641.0)</f>
        <v>1224641</v>
      </c>
      <c r="AR265" s="177">
        <f t="shared" si="4"/>
        <v>-0.005375168554</v>
      </c>
      <c r="AS265" s="177"/>
      <c r="AT265" s="177"/>
      <c r="AU265" s="189"/>
      <c r="AV265" s="140"/>
      <c r="AW265" s="140"/>
      <c r="AX265" s="176">
        <f>IFERROR(__xludf.DUMMYFUNCTION("""COMPUTED_VALUE"""),45769.64583333333)</f>
        <v>45769.64583</v>
      </c>
      <c r="AY265" s="177">
        <f>IFERROR(__xludf.DUMMYFUNCTION("""COMPUTED_VALUE"""),425.95)</f>
        <v>425.95</v>
      </c>
      <c r="AZ265" s="177">
        <f>IFERROR(__xludf.DUMMYFUNCTION("""COMPUTED_VALUE"""),434.8)</f>
        <v>434.8</v>
      </c>
      <c r="BA265" s="177">
        <f>IFERROR(__xludf.DUMMYFUNCTION("""COMPUTED_VALUE"""),423.55)</f>
        <v>423.55</v>
      </c>
      <c r="BB265" s="177">
        <f>IFERROR(__xludf.DUMMYFUNCTION("""COMPUTED_VALUE"""),433.6)</f>
        <v>433.6</v>
      </c>
      <c r="BC265" s="177">
        <f>IFERROR(__xludf.DUMMYFUNCTION("""COMPUTED_VALUE"""),3.2031936E7)</f>
        <v>32031936</v>
      </c>
      <c r="BD265" s="177">
        <f t="shared" si="5"/>
        <v>0.0251049439</v>
      </c>
      <c r="BE265" s="177"/>
      <c r="BF265" s="177"/>
      <c r="BG265" s="189"/>
      <c r="BH265" s="140"/>
      <c r="BI265" s="140"/>
      <c r="BJ265" s="140"/>
      <c r="BK265" s="140"/>
      <c r="BL265" s="140"/>
      <c r="BM265" s="140"/>
      <c r="BN265" s="140"/>
      <c r="BO265" s="140"/>
      <c r="BP265" s="140"/>
      <c r="BQ265" s="140"/>
      <c r="BR265" s="140"/>
      <c r="BS265" s="140"/>
      <c r="BT265" s="140"/>
      <c r="BU265" s="140"/>
      <c r="BV265" s="140"/>
      <c r="BW265" s="140"/>
      <c r="BX265" s="140"/>
      <c r="BY265" s="140"/>
    </row>
    <row r="266" ht="15.75" customHeight="1">
      <c r="A266" s="168"/>
      <c r="B266" s="169">
        <v>45770.0</v>
      </c>
      <c r="C266" s="170">
        <v>9256.12</v>
      </c>
      <c r="D266" s="170">
        <v>9283.12</v>
      </c>
      <c r="E266" s="170">
        <v>8950.78</v>
      </c>
      <c r="F266" s="170">
        <v>9022.12</v>
      </c>
      <c r="G266" s="171" t="s">
        <v>238</v>
      </c>
      <c r="H266" s="172">
        <f t="shared" si="1"/>
        <v>-0.0258929508</v>
      </c>
      <c r="I266" s="172"/>
      <c r="J266" s="172"/>
      <c r="K266" s="188"/>
      <c r="L266" s="140"/>
      <c r="M266" s="140"/>
      <c r="N266" s="176">
        <f>IFERROR(__xludf.DUMMYFUNCTION("""COMPUTED_VALUE"""),45770.64583333333)</f>
        <v>45770.64583</v>
      </c>
      <c r="O266" s="177">
        <f>IFERROR(__xludf.DUMMYFUNCTION("""COMPUTED_VALUE"""),1429.0)</f>
        <v>1429</v>
      </c>
      <c r="P266" s="177">
        <f>IFERROR(__xludf.DUMMYFUNCTION("""COMPUTED_VALUE"""),1429.9)</f>
        <v>1429.9</v>
      </c>
      <c r="Q266" s="177">
        <f>IFERROR(__xludf.DUMMYFUNCTION("""COMPUTED_VALUE"""),1411.3)</f>
        <v>1411.3</v>
      </c>
      <c r="R266" s="177">
        <f>IFERROR(__xludf.DUMMYFUNCTION("""COMPUTED_VALUE"""),1424.4)</f>
        <v>1424.4</v>
      </c>
      <c r="S266" s="177">
        <f>IFERROR(__xludf.DUMMYFUNCTION("""COMPUTED_VALUE"""),1.3990764E7)</f>
        <v>13990764</v>
      </c>
      <c r="T266" s="177">
        <f t="shared" si="2"/>
        <v>0.005561632133</v>
      </c>
      <c r="U266" s="178"/>
      <c r="V266" s="177"/>
      <c r="W266" s="189"/>
      <c r="X266" s="140"/>
      <c r="Y266" s="140"/>
      <c r="Z266" s="176">
        <f>IFERROR(__xludf.DUMMYFUNCTION("""COMPUTED_VALUE"""),45770.64583333333)</f>
        <v>45770.64583</v>
      </c>
      <c r="AA266" s="177">
        <f>IFERROR(__xludf.DUMMYFUNCTION("""COMPUTED_VALUE"""),400.0)</f>
        <v>400</v>
      </c>
      <c r="AB266" s="177">
        <f>IFERROR(__xludf.DUMMYFUNCTION("""COMPUTED_VALUE"""),405.0)</f>
        <v>405</v>
      </c>
      <c r="AC266" s="177">
        <f>IFERROR(__xludf.DUMMYFUNCTION("""COMPUTED_VALUE"""),393.9)</f>
        <v>393.9</v>
      </c>
      <c r="AD266" s="177">
        <f>IFERROR(__xludf.DUMMYFUNCTION("""COMPUTED_VALUE"""),400.1)</f>
        <v>400.1</v>
      </c>
      <c r="AE266" s="177">
        <f>IFERROR(__xludf.DUMMYFUNCTION("""COMPUTED_VALUE"""),8895838.0)</f>
        <v>8895838</v>
      </c>
      <c r="AF266" s="177">
        <f t="shared" si="3"/>
        <v>-0.001872776626</v>
      </c>
      <c r="AG266" s="177"/>
      <c r="AH266" s="177"/>
      <c r="AI266" s="189"/>
      <c r="AJ266" s="140"/>
      <c r="AK266" s="140"/>
      <c r="AL266" s="176">
        <f>IFERROR(__xludf.DUMMYFUNCTION("""COMPUTED_VALUE"""),45770.64583333333)</f>
        <v>45770.64583</v>
      </c>
      <c r="AM266" s="177">
        <f>IFERROR(__xludf.DUMMYFUNCTION("""COMPUTED_VALUE"""),4304.9)</f>
        <v>4304.9</v>
      </c>
      <c r="AN266" s="177">
        <f>IFERROR(__xludf.DUMMYFUNCTION("""COMPUTED_VALUE"""),4360.0)</f>
        <v>4360</v>
      </c>
      <c r="AO266" s="177">
        <f>IFERROR(__xludf.DUMMYFUNCTION("""COMPUTED_VALUE"""),4255.3)</f>
        <v>4255.3</v>
      </c>
      <c r="AP266" s="177">
        <f>IFERROR(__xludf.DUMMYFUNCTION("""COMPUTED_VALUE"""),4307.0)</f>
        <v>4307</v>
      </c>
      <c r="AQ266" s="177">
        <f>IFERROR(__xludf.DUMMYFUNCTION("""COMPUTED_VALUE"""),1803742.0)</f>
        <v>1803742</v>
      </c>
      <c r="AR266" s="177">
        <f t="shared" si="4"/>
        <v>0.004887709021</v>
      </c>
      <c r="AS266" s="177"/>
      <c r="AT266" s="177"/>
      <c r="AU266" s="189"/>
      <c r="AV266" s="140"/>
      <c r="AW266" s="140"/>
      <c r="AX266" s="176">
        <f>IFERROR(__xludf.DUMMYFUNCTION("""COMPUTED_VALUE"""),45770.64583333333)</f>
        <v>45770.64583</v>
      </c>
      <c r="AY266" s="177">
        <f>IFERROR(__xludf.DUMMYFUNCTION("""COMPUTED_VALUE"""),436.2)</f>
        <v>436.2</v>
      </c>
      <c r="AZ266" s="177">
        <f>IFERROR(__xludf.DUMMYFUNCTION("""COMPUTED_VALUE"""),437.45)</f>
        <v>437.45</v>
      </c>
      <c r="BA266" s="177">
        <f>IFERROR(__xludf.DUMMYFUNCTION("""COMPUTED_VALUE"""),428.85)</f>
        <v>428.85</v>
      </c>
      <c r="BB266" s="177">
        <f>IFERROR(__xludf.DUMMYFUNCTION("""COMPUTED_VALUE"""),430.85)</f>
        <v>430.85</v>
      </c>
      <c r="BC266" s="177">
        <f>IFERROR(__xludf.DUMMYFUNCTION("""COMPUTED_VALUE"""),1.9566317E7)</f>
        <v>19566317</v>
      </c>
      <c r="BD266" s="177">
        <f t="shared" si="5"/>
        <v>-0.00636244844</v>
      </c>
      <c r="BE266" s="177"/>
      <c r="BF266" s="177"/>
      <c r="BG266" s="189"/>
      <c r="BH266" s="140"/>
      <c r="BI266" s="140"/>
      <c r="BJ266" s="140"/>
      <c r="BK266" s="140"/>
      <c r="BL266" s="140"/>
      <c r="BM266" s="140"/>
      <c r="BN266" s="140"/>
      <c r="BO266" s="140"/>
      <c r="BP266" s="140"/>
      <c r="BQ266" s="140"/>
      <c r="BR266" s="140"/>
      <c r="BS266" s="140"/>
      <c r="BT266" s="140"/>
      <c r="BU266" s="140"/>
      <c r="BV266" s="140"/>
      <c r="BW266" s="140"/>
      <c r="BX266" s="140"/>
      <c r="BY266" s="140"/>
    </row>
    <row r="267" ht="15.75" customHeight="1">
      <c r="A267" s="168"/>
      <c r="B267" s="169">
        <v>45771.0</v>
      </c>
      <c r="C267" s="170">
        <v>9024.12</v>
      </c>
      <c r="D267" s="170">
        <v>9260.12</v>
      </c>
      <c r="E267" s="170">
        <v>9021.52</v>
      </c>
      <c r="F267" s="170">
        <v>9186.12</v>
      </c>
      <c r="G267" s="171" t="s">
        <v>238</v>
      </c>
      <c r="H267" s="172">
        <f t="shared" si="1"/>
        <v>0.01801430946</v>
      </c>
      <c r="I267" s="172"/>
      <c r="J267" s="172"/>
      <c r="K267" s="188"/>
      <c r="L267" s="140"/>
      <c r="M267" s="140"/>
      <c r="N267" s="176">
        <f>IFERROR(__xludf.DUMMYFUNCTION("""COMPUTED_VALUE"""),45771.64583333333)</f>
        <v>45771.64583</v>
      </c>
      <c r="O267" s="177">
        <f>IFERROR(__xludf.DUMMYFUNCTION("""COMPUTED_VALUE"""),1416.3)</f>
        <v>1416.3</v>
      </c>
      <c r="P267" s="177">
        <f>IFERROR(__xludf.DUMMYFUNCTION("""COMPUTED_VALUE"""),1421.2)</f>
        <v>1421.2</v>
      </c>
      <c r="Q267" s="177">
        <f>IFERROR(__xludf.DUMMYFUNCTION("""COMPUTED_VALUE"""),1398.8)</f>
        <v>1398.8</v>
      </c>
      <c r="R267" s="177">
        <f>IFERROR(__xludf.DUMMYFUNCTION("""COMPUTED_VALUE"""),1402.7)</f>
        <v>1402.7</v>
      </c>
      <c r="S267" s="177">
        <f>IFERROR(__xludf.DUMMYFUNCTION("""COMPUTED_VALUE"""),1.5678099E7)</f>
        <v>15678099</v>
      </c>
      <c r="T267" s="177">
        <f t="shared" si="2"/>
        <v>-0.01535172168</v>
      </c>
      <c r="U267" s="178"/>
      <c r="V267" s="177"/>
      <c r="W267" s="189"/>
      <c r="X267" s="140"/>
      <c r="Y267" s="140"/>
      <c r="Z267" s="176">
        <f>IFERROR(__xludf.DUMMYFUNCTION("""COMPUTED_VALUE"""),45771.64583333333)</f>
        <v>45771.64583</v>
      </c>
      <c r="AA267" s="177">
        <f>IFERROR(__xludf.DUMMYFUNCTION("""COMPUTED_VALUE"""),400.15)</f>
        <v>400.15</v>
      </c>
      <c r="AB267" s="177">
        <f>IFERROR(__xludf.DUMMYFUNCTION("""COMPUTED_VALUE"""),407.35)</f>
        <v>407.35</v>
      </c>
      <c r="AC267" s="177">
        <f>IFERROR(__xludf.DUMMYFUNCTION("""COMPUTED_VALUE"""),397.2)</f>
        <v>397.2</v>
      </c>
      <c r="AD267" s="177">
        <f>IFERROR(__xludf.DUMMYFUNCTION("""COMPUTED_VALUE"""),406.5)</f>
        <v>406.5</v>
      </c>
      <c r="AE267" s="177">
        <f>IFERROR(__xludf.DUMMYFUNCTION("""COMPUTED_VALUE"""),6409664.0)</f>
        <v>6409664</v>
      </c>
      <c r="AF267" s="177">
        <f t="shared" si="3"/>
        <v>0.01586941312</v>
      </c>
      <c r="AG267" s="177"/>
      <c r="AH267" s="177"/>
      <c r="AI267" s="189"/>
      <c r="AJ267" s="140"/>
      <c r="AK267" s="140"/>
      <c r="AL267" s="176">
        <f>IFERROR(__xludf.DUMMYFUNCTION("""COMPUTED_VALUE"""),45771.64583333333)</f>
        <v>45771.64583</v>
      </c>
      <c r="AM267" s="177">
        <f>IFERROR(__xludf.DUMMYFUNCTION("""COMPUTED_VALUE"""),4307.0)</f>
        <v>4307</v>
      </c>
      <c r="AN267" s="177">
        <f>IFERROR(__xludf.DUMMYFUNCTION("""COMPUTED_VALUE"""),4364.8)</f>
        <v>4364.8</v>
      </c>
      <c r="AO267" s="177">
        <f>IFERROR(__xludf.DUMMYFUNCTION("""COMPUTED_VALUE"""),4291.3)</f>
        <v>4291.3</v>
      </c>
      <c r="AP267" s="177">
        <f>IFERROR(__xludf.DUMMYFUNCTION("""COMPUTED_VALUE"""),4300.0)</f>
        <v>4300</v>
      </c>
      <c r="AQ267" s="177">
        <f>IFERROR(__xludf.DUMMYFUNCTION("""COMPUTED_VALUE"""),1554043.0)</f>
        <v>1554043</v>
      </c>
      <c r="AR267" s="177">
        <f t="shared" si="4"/>
        <v>-0.001626583372</v>
      </c>
      <c r="AS267" s="177"/>
      <c r="AT267" s="177"/>
      <c r="AU267" s="189"/>
      <c r="AV267" s="140"/>
      <c r="AW267" s="140"/>
      <c r="AX267" s="176">
        <f>IFERROR(__xludf.DUMMYFUNCTION("""COMPUTED_VALUE"""),45771.64583333333)</f>
        <v>45771.64583</v>
      </c>
      <c r="AY267" s="177">
        <f>IFERROR(__xludf.DUMMYFUNCTION("""COMPUTED_VALUE"""),431.85)</f>
        <v>431.85</v>
      </c>
      <c r="AZ267" s="177">
        <f>IFERROR(__xludf.DUMMYFUNCTION("""COMPUTED_VALUE"""),436.05)</f>
        <v>436.05</v>
      </c>
      <c r="BA267" s="177">
        <f>IFERROR(__xludf.DUMMYFUNCTION("""COMPUTED_VALUE"""),429.3)</f>
        <v>429.3</v>
      </c>
      <c r="BB267" s="177">
        <f>IFERROR(__xludf.DUMMYFUNCTION("""COMPUTED_VALUE"""),430.05)</f>
        <v>430.05</v>
      </c>
      <c r="BC267" s="177">
        <f>IFERROR(__xludf.DUMMYFUNCTION("""COMPUTED_VALUE"""),2.6064089E7)</f>
        <v>26064089</v>
      </c>
      <c r="BD267" s="177">
        <f t="shared" si="5"/>
        <v>-0.001858520688</v>
      </c>
      <c r="BE267" s="177"/>
      <c r="BF267" s="177"/>
      <c r="BG267" s="189"/>
      <c r="BH267" s="140"/>
      <c r="BI267" s="140"/>
      <c r="BJ267" s="140"/>
      <c r="BK267" s="140"/>
      <c r="BL267" s="140"/>
      <c r="BM267" s="140"/>
      <c r="BN267" s="140"/>
      <c r="BO267" s="140"/>
      <c r="BP267" s="140"/>
      <c r="BQ267" s="140"/>
      <c r="BR267" s="140"/>
      <c r="BS267" s="140"/>
      <c r="BT267" s="140"/>
      <c r="BU267" s="140"/>
      <c r="BV267" s="140"/>
      <c r="BW267" s="140"/>
      <c r="BX267" s="140"/>
      <c r="BY267" s="140"/>
    </row>
    <row r="268" ht="15.75" customHeight="1">
      <c r="A268" s="168"/>
      <c r="B268" s="169">
        <v>45772.0</v>
      </c>
      <c r="C268" s="170">
        <v>9188.78</v>
      </c>
      <c r="D268" s="170">
        <v>9247.52</v>
      </c>
      <c r="E268" s="170">
        <v>8965.12</v>
      </c>
      <c r="F268" s="170">
        <v>9112.12</v>
      </c>
      <c r="G268" s="171" t="s">
        <v>238</v>
      </c>
      <c r="H268" s="172">
        <f t="shared" si="1"/>
        <v>-0.008088253671</v>
      </c>
      <c r="I268" s="172"/>
      <c r="J268" s="172"/>
      <c r="K268" s="188"/>
      <c r="L268" s="140"/>
      <c r="M268" s="140"/>
      <c r="N268" s="176">
        <f>IFERROR(__xludf.DUMMYFUNCTION("""COMPUTED_VALUE"""),45772.64583333333)</f>
        <v>45772.64583</v>
      </c>
      <c r="O268" s="177">
        <f>IFERROR(__xludf.DUMMYFUNCTION("""COMPUTED_VALUE"""),1410.0)</f>
        <v>1410</v>
      </c>
      <c r="P268" s="177">
        <f>IFERROR(__xludf.DUMMYFUNCTION("""COMPUTED_VALUE"""),1414.8)</f>
        <v>1414.8</v>
      </c>
      <c r="Q268" s="177">
        <f>IFERROR(__xludf.DUMMYFUNCTION("""COMPUTED_VALUE"""),1388.4)</f>
        <v>1388.4</v>
      </c>
      <c r="R268" s="177">
        <f>IFERROR(__xludf.DUMMYFUNCTION("""COMPUTED_VALUE"""),1404.8)</f>
        <v>1404.8</v>
      </c>
      <c r="S268" s="177">
        <f>IFERROR(__xludf.DUMMYFUNCTION("""COMPUTED_VALUE"""),1.1705093E7)</f>
        <v>11705093</v>
      </c>
      <c r="T268" s="177">
        <f t="shared" si="2"/>
        <v>0.001495993155</v>
      </c>
      <c r="U268" s="178"/>
      <c r="V268" s="177"/>
      <c r="W268" s="189"/>
      <c r="X268" s="140"/>
      <c r="Y268" s="140"/>
      <c r="Z268" s="176">
        <f>IFERROR(__xludf.DUMMYFUNCTION("""COMPUTED_VALUE"""),45772.64583333333)</f>
        <v>45772.64583</v>
      </c>
      <c r="AA268" s="177">
        <f>IFERROR(__xludf.DUMMYFUNCTION("""COMPUTED_VALUE"""),406.5)</f>
        <v>406.5</v>
      </c>
      <c r="AB268" s="177">
        <f>IFERROR(__xludf.DUMMYFUNCTION("""COMPUTED_VALUE"""),406.9)</f>
        <v>406.9</v>
      </c>
      <c r="AC268" s="177">
        <f>IFERROR(__xludf.DUMMYFUNCTION("""COMPUTED_VALUE"""),390.3)</f>
        <v>390.3</v>
      </c>
      <c r="AD268" s="177">
        <f>IFERROR(__xludf.DUMMYFUNCTION("""COMPUTED_VALUE"""),397.35)</f>
        <v>397.35</v>
      </c>
      <c r="AE268" s="177">
        <f>IFERROR(__xludf.DUMMYFUNCTION("""COMPUTED_VALUE"""),6732062.0)</f>
        <v>6732062</v>
      </c>
      <c r="AF268" s="177">
        <f t="shared" si="3"/>
        <v>-0.0227664246</v>
      </c>
      <c r="AG268" s="177"/>
      <c r="AH268" s="177"/>
      <c r="AI268" s="189"/>
      <c r="AJ268" s="140"/>
      <c r="AK268" s="140"/>
      <c r="AL268" s="176">
        <f>IFERROR(__xludf.DUMMYFUNCTION("""COMPUTED_VALUE"""),45772.64583333333)</f>
        <v>45772.64583</v>
      </c>
      <c r="AM268" s="177">
        <f>IFERROR(__xludf.DUMMYFUNCTION("""COMPUTED_VALUE"""),4305.0)</f>
        <v>4305</v>
      </c>
      <c r="AN268" s="177">
        <f>IFERROR(__xludf.DUMMYFUNCTION("""COMPUTED_VALUE"""),4339.0)</f>
        <v>4339</v>
      </c>
      <c r="AO268" s="177">
        <f>IFERROR(__xludf.DUMMYFUNCTION("""COMPUTED_VALUE"""),4147.5)</f>
        <v>4147.5</v>
      </c>
      <c r="AP268" s="177">
        <f>IFERROR(__xludf.DUMMYFUNCTION("""COMPUTED_VALUE"""),4196.4)</f>
        <v>4196.4</v>
      </c>
      <c r="AQ268" s="177">
        <f>IFERROR(__xludf.DUMMYFUNCTION("""COMPUTED_VALUE"""),2298293.0)</f>
        <v>2298293</v>
      </c>
      <c r="AR268" s="177">
        <f t="shared" si="4"/>
        <v>-0.02438800782</v>
      </c>
      <c r="AS268" s="177"/>
      <c r="AT268" s="177"/>
      <c r="AU268" s="189"/>
      <c r="AV268" s="140"/>
      <c r="AW268" s="140"/>
      <c r="AX268" s="176">
        <f>IFERROR(__xludf.DUMMYFUNCTION("""COMPUTED_VALUE"""),45772.64583333333)</f>
        <v>45772.64583</v>
      </c>
      <c r="AY268" s="177">
        <f>IFERROR(__xludf.DUMMYFUNCTION("""COMPUTED_VALUE"""),430.05)</f>
        <v>430.05</v>
      </c>
      <c r="AZ268" s="177">
        <f>IFERROR(__xludf.DUMMYFUNCTION("""COMPUTED_VALUE"""),432.7)</f>
        <v>432.7</v>
      </c>
      <c r="BA268" s="177">
        <f>IFERROR(__xludf.DUMMYFUNCTION("""COMPUTED_VALUE"""),423.3)</f>
        <v>423.3</v>
      </c>
      <c r="BB268" s="177">
        <f>IFERROR(__xludf.DUMMYFUNCTION("""COMPUTED_VALUE"""),427.8)</f>
        <v>427.8</v>
      </c>
      <c r="BC268" s="177">
        <f>IFERROR(__xludf.DUMMYFUNCTION("""COMPUTED_VALUE"""),2.2944377E7)</f>
        <v>22944377</v>
      </c>
      <c r="BD268" s="177">
        <f t="shared" si="5"/>
        <v>-0.005245684349</v>
      </c>
      <c r="BE268" s="177"/>
      <c r="BF268" s="177"/>
      <c r="BG268" s="189"/>
      <c r="BH268" s="140"/>
      <c r="BI268" s="140"/>
      <c r="BJ268" s="140"/>
      <c r="BK268" s="140"/>
      <c r="BL268" s="140"/>
      <c r="BM268" s="140"/>
      <c r="BN268" s="140"/>
      <c r="BO268" s="140"/>
      <c r="BP268" s="140"/>
      <c r="BQ268" s="140"/>
      <c r="BR268" s="140"/>
      <c r="BS268" s="140"/>
      <c r="BT268" s="140"/>
      <c r="BU268" s="140"/>
      <c r="BV268" s="140"/>
      <c r="BW268" s="140"/>
      <c r="BX268" s="140"/>
      <c r="BY268" s="140"/>
    </row>
    <row r="269" ht="15.75" customHeight="1">
      <c r="A269" s="168"/>
      <c r="B269" s="169">
        <v>45775.0</v>
      </c>
      <c r="C269" s="170">
        <v>9136.78</v>
      </c>
      <c r="D269" s="170">
        <v>9181.52</v>
      </c>
      <c r="E269" s="170">
        <v>8946.78</v>
      </c>
      <c r="F269" s="170">
        <v>9155.12</v>
      </c>
      <c r="G269" s="171" t="s">
        <v>238</v>
      </c>
      <c r="H269" s="172">
        <f t="shared" si="1"/>
        <v>0.004707890127</v>
      </c>
      <c r="I269" s="172"/>
      <c r="J269" s="172"/>
      <c r="K269" s="188"/>
      <c r="L269" s="140"/>
      <c r="M269" s="140"/>
      <c r="N269" s="176">
        <f>IFERROR(__xludf.DUMMYFUNCTION("""COMPUTED_VALUE"""),45775.64583333333)</f>
        <v>45775.64583</v>
      </c>
      <c r="O269" s="177">
        <f>IFERROR(__xludf.DUMMYFUNCTION("""COMPUTED_VALUE"""),1405.6)</f>
        <v>1405.6</v>
      </c>
      <c r="P269" s="177">
        <f>IFERROR(__xludf.DUMMYFUNCTION("""COMPUTED_VALUE"""),1435.0)</f>
        <v>1435</v>
      </c>
      <c r="Q269" s="177">
        <f>IFERROR(__xludf.DUMMYFUNCTION("""COMPUTED_VALUE"""),1403.8)</f>
        <v>1403.8</v>
      </c>
      <c r="R269" s="177">
        <f>IFERROR(__xludf.DUMMYFUNCTION("""COMPUTED_VALUE"""),1428.8)</f>
        <v>1428.8</v>
      </c>
      <c r="S269" s="177">
        <f>IFERROR(__xludf.DUMMYFUNCTION("""COMPUTED_VALUE"""),1.0948561E7)</f>
        <v>10948561</v>
      </c>
      <c r="T269" s="177">
        <f t="shared" si="2"/>
        <v>0.01693998724</v>
      </c>
      <c r="U269" s="178"/>
      <c r="V269" s="177"/>
      <c r="W269" s="189"/>
      <c r="X269" s="140"/>
      <c r="Y269" s="140"/>
      <c r="Z269" s="176">
        <f>IFERROR(__xludf.DUMMYFUNCTION("""COMPUTED_VALUE"""),45775.64583333333)</f>
        <v>45775.64583</v>
      </c>
      <c r="AA269" s="177">
        <f>IFERROR(__xludf.DUMMYFUNCTION("""COMPUTED_VALUE"""),409.0)</f>
        <v>409</v>
      </c>
      <c r="AB269" s="177">
        <f>IFERROR(__xludf.DUMMYFUNCTION("""COMPUTED_VALUE"""),411.5)</f>
        <v>411.5</v>
      </c>
      <c r="AC269" s="177">
        <f>IFERROR(__xludf.DUMMYFUNCTION("""COMPUTED_VALUE"""),403.65)</f>
        <v>403.65</v>
      </c>
      <c r="AD269" s="177">
        <f>IFERROR(__xludf.DUMMYFUNCTION("""COMPUTED_VALUE"""),408.1)</f>
        <v>408.1</v>
      </c>
      <c r="AE269" s="177">
        <f>IFERROR(__xludf.DUMMYFUNCTION("""COMPUTED_VALUE"""),8988016.0)</f>
        <v>8988016</v>
      </c>
      <c r="AF269" s="177">
        <f t="shared" si="3"/>
        <v>0.02669473803</v>
      </c>
      <c r="AG269" s="177"/>
      <c r="AH269" s="177"/>
      <c r="AI269" s="189"/>
      <c r="AJ269" s="140"/>
      <c r="AK269" s="140"/>
      <c r="AL269" s="176">
        <f>IFERROR(__xludf.DUMMYFUNCTION("""COMPUTED_VALUE"""),45775.64583333333)</f>
        <v>45775.64583</v>
      </c>
      <c r="AM269" s="177">
        <f>IFERROR(__xludf.DUMMYFUNCTION("""COMPUTED_VALUE"""),4209.9)</f>
        <v>4209.9</v>
      </c>
      <c r="AN269" s="177">
        <f>IFERROR(__xludf.DUMMYFUNCTION("""COMPUTED_VALUE"""),4439.9)</f>
        <v>4439.9</v>
      </c>
      <c r="AO269" s="177">
        <f>IFERROR(__xludf.DUMMYFUNCTION("""COMPUTED_VALUE"""),4200.5)</f>
        <v>4200.5</v>
      </c>
      <c r="AP269" s="177">
        <f>IFERROR(__xludf.DUMMYFUNCTION("""COMPUTED_VALUE"""),4426.3)</f>
        <v>4426.3</v>
      </c>
      <c r="AQ269" s="177">
        <f>IFERROR(__xludf.DUMMYFUNCTION("""COMPUTED_VALUE"""),4014638.0)</f>
        <v>4014638</v>
      </c>
      <c r="AR269" s="177">
        <f t="shared" si="4"/>
        <v>0.05333700575</v>
      </c>
      <c r="AS269" s="177"/>
      <c r="AT269" s="177"/>
      <c r="AU269" s="189"/>
      <c r="AV269" s="140"/>
      <c r="AW269" s="140"/>
      <c r="AX269" s="176">
        <f>IFERROR(__xludf.DUMMYFUNCTION("""COMPUTED_VALUE"""),45775.64583333333)</f>
        <v>45775.64583</v>
      </c>
      <c r="AY269" s="177">
        <f>IFERROR(__xludf.DUMMYFUNCTION("""COMPUTED_VALUE"""),426.65)</f>
        <v>426.65</v>
      </c>
      <c r="AZ269" s="177">
        <f>IFERROR(__xludf.DUMMYFUNCTION("""COMPUTED_VALUE"""),430.5)</f>
        <v>430.5</v>
      </c>
      <c r="BA269" s="177">
        <f>IFERROR(__xludf.DUMMYFUNCTION("""COMPUTED_VALUE"""),424.75)</f>
        <v>424.75</v>
      </c>
      <c r="BB269" s="177">
        <f>IFERROR(__xludf.DUMMYFUNCTION("""COMPUTED_VALUE"""),428.8)</f>
        <v>428.8</v>
      </c>
      <c r="BC269" s="177">
        <f>IFERROR(__xludf.DUMMYFUNCTION("""COMPUTED_VALUE"""),6287095.0)</f>
        <v>6287095</v>
      </c>
      <c r="BD269" s="177">
        <f t="shared" si="5"/>
        <v>0.002334813108</v>
      </c>
      <c r="BE269" s="177"/>
      <c r="BF269" s="177"/>
      <c r="BG269" s="189"/>
      <c r="BH269" s="140"/>
      <c r="BI269" s="140"/>
      <c r="BJ269" s="140"/>
      <c r="BK269" s="140"/>
      <c r="BL269" s="140"/>
      <c r="BM269" s="140"/>
      <c r="BN269" s="140"/>
      <c r="BO269" s="140"/>
      <c r="BP269" s="140"/>
      <c r="BQ269" s="140"/>
      <c r="BR269" s="140"/>
      <c r="BS269" s="140"/>
      <c r="BT269" s="140"/>
      <c r="BU269" s="140"/>
      <c r="BV269" s="140"/>
      <c r="BW269" s="140"/>
      <c r="BX269" s="140"/>
      <c r="BY269" s="140"/>
    </row>
    <row r="270" ht="15.75" customHeight="1">
      <c r="A270" s="168"/>
      <c r="B270" s="169">
        <v>45776.0</v>
      </c>
      <c r="C270" s="170">
        <v>9155.52</v>
      </c>
      <c r="D270" s="170">
        <v>9169.12</v>
      </c>
      <c r="E270" s="170">
        <v>9034.12</v>
      </c>
      <c r="F270" s="170">
        <v>9081.52</v>
      </c>
      <c r="G270" s="171" t="s">
        <v>238</v>
      </c>
      <c r="H270" s="172">
        <f t="shared" si="1"/>
        <v>-0.008071706148</v>
      </c>
      <c r="I270" s="172"/>
      <c r="J270" s="172"/>
      <c r="K270" s="188"/>
      <c r="L270" s="140"/>
      <c r="M270" s="140"/>
      <c r="N270" s="176">
        <f>IFERROR(__xludf.DUMMYFUNCTION("""COMPUTED_VALUE"""),45776.64583333333)</f>
        <v>45776.64583</v>
      </c>
      <c r="O270" s="177">
        <f>IFERROR(__xludf.DUMMYFUNCTION("""COMPUTED_VALUE"""),1428.8)</f>
        <v>1428.8</v>
      </c>
      <c r="P270" s="177">
        <f>IFERROR(__xludf.DUMMYFUNCTION("""COMPUTED_VALUE"""),1438.3)</f>
        <v>1438.3</v>
      </c>
      <c r="Q270" s="177">
        <f>IFERROR(__xludf.DUMMYFUNCTION("""COMPUTED_VALUE"""),1422.6)</f>
        <v>1422.6</v>
      </c>
      <c r="R270" s="177">
        <f>IFERROR(__xludf.DUMMYFUNCTION("""COMPUTED_VALUE"""),1429.8)</f>
        <v>1429.8</v>
      </c>
      <c r="S270" s="177">
        <f>IFERROR(__xludf.DUMMYFUNCTION("""COMPUTED_VALUE"""),1.078691E7)</f>
        <v>10786910</v>
      </c>
      <c r="T270" s="177">
        <f t="shared" si="2"/>
        <v>0.0006996432105</v>
      </c>
      <c r="U270" s="178"/>
      <c r="V270" s="177"/>
      <c r="W270" s="189"/>
      <c r="X270" s="140"/>
      <c r="Y270" s="140"/>
      <c r="Z270" s="176">
        <f>IFERROR(__xludf.DUMMYFUNCTION("""COMPUTED_VALUE"""),45776.64583333333)</f>
        <v>45776.64583</v>
      </c>
      <c r="AA270" s="177">
        <f>IFERROR(__xludf.DUMMYFUNCTION("""COMPUTED_VALUE"""),410.8)</f>
        <v>410.8</v>
      </c>
      <c r="AB270" s="177">
        <f>IFERROR(__xludf.DUMMYFUNCTION("""COMPUTED_VALUE"""),413.8)</f>
        <v>413.8</v>
      </c>
      <c r="AC270" s="177">
        <f>IFERROR(__xludf.DUMMYFUNCTION("""COMPUTED_VALUE"""),401.45)</f>
        <v>401.45</v>
      </c>
      <c r="AD270" s="177">
        <f>IFERROR(__xludf.DUMMYFUNCTION("""COMPUTED_VALUE"""),402.6)</f>
        <v>402.6</v>
      </c>
      <c r="AE270" s="177">
        <f>IFERROR(__xludf.DUMMYFUNCTION("""COMPUTED_VALUE"""),3721608.0)</f>
        <v>3721608</v>
      </c>
      <c r="AF270" s="177">
        <f t="shared" si="3"/>
        <v>-0.01356872921</v>
      </c>
      <c r="AG270" s="177"/>
      <c r="AH270" s="177"/>
      <c r="AI270" s="189"/>
      <c r="AJ270" s="140"/>
      <c r="AK270" s="140"/>
      <c r="AL270" s="176">
        <f>IFERROR(__xludf.DUMMYFUNCTION("""COMPUTED_VALUE"""),45776.64583333333)</f>
        <v>45776.64583</v>
      </c>
      <c r="AM270" s="177">
        <f>IFERROR(__xludf.DUMMYFUNCTION("""COMPUTED_VALUE"""),4473.0)</f>
        <v>4473</v>
      </c>
      <c r="AN270" s="177">
        <f>IFERROR(__xludf.DUMMYFUNCTION("""COMPUTED_VALUE"""),4660.0)</f>
        <v>4660</v>
      </c>
      <c r="AO270" s="177">
        <f>IFERROR(__xludf.DUMMYFUNCTION("""COMPUTED_VALUE"""),4448.5)</f>
        <v>4448.5</v>
      </c>
      <c r="AP270" s="177">
        <f>IFERROR(__xludf.DUMMYFUNCTION("""COMPUTED_VALUE"""),4609.3)</f>
        <v>4609.3</v>
      </c>
      <c r="AQ270" s="177">
        <f>IFERROR(__xludf.DUMMYFUNCTION("""COMPUTED_VALUE"""),5185900.0)</f>
        <v>5185900</v>
      </c>
      <c r="AR270" s="177">
        <f t="shared" si="4"/>
        <v>0.04051198104</v>
      </c>
      <c r="AS270" s="177"/>
      <c r="AT270" s="177"/>
      <c r="AU270" s="189"/>
      <c r="AV270" s="140"/>
      <c r="AW270" s="140"/>
      <c r="AX270" s="176">
        <f>IFERROR(__xludf.DUMMYFUNCTION("""COMPUTED_VALUE"""),45776.64583333333)</f>
        <v>45776.64583</v>
      </c>
      <c r="AY270" s="177">
        <f>IFERROR(__xludf.DUMMYFUNCTION("""COMPUTED_VALUE"""),428.9)</f>
        <v>428.9</v>
      </c>
      <c r="AZ270" s="177">
        <f>IFERROR(__xludf.DUMMYFUNCTION("""COMPUTED_VALUE"""),429.6)</f>
        <v>429.6</v>
      </c>
      <c r="BA270" s="177">
        <f>IFERROR(__xludf.DUMMYFUNCTION("""COMPUTED_VALUE"""),425.0)</f>
        <v>425</v>
      </c>
      <c r="BB270" s="177">
        <f>IFERROR(__xludf.DUMMYFUNCTION("""COMPUTED_VALUE"""),426.0)</f>
        <v>426</v>
      </c>
      <c r="BC270" s="177">
        <f>IFERROR(__xludf.DUMMYFUNCTION("""COMPUTED_VALUE"""),1.118993E7)</f>
        <v>11189930</v>
      </c>
      <c r="BD270" s="177">
        <f t="shared" si="5"/>
        <v>-0.006551263487</v>
      </c>
      <c r="BE270" s="177"/>
      <c r="BF270" s="177"/>
      <c r="BG270" s="189"/>
      <c r="BH270" s="140"/>
      <c r="BI270" s="140"/>
      <c r="BJ270" s="140"/>
      <c r="BK270" s="140"/>
      <c r="BL270" s="140"/>
      <c r="BM270" s="140"/>
      <c r="BN270" s="140"/>
      <c r="BO270" s="140"/>
      <c r="BP270" s="140"/>
      <c r="BQ270" s="140"/>
      <c r="BR270" s="140"/>
      <c r="BS270" s="140"/>
      <c r="BT270" s="140"/>
      <c r="BU270" s="140"/>
      <c r="BV270" s="140"/>
      <c r="BW270" s="140"/>
      <c r="BX270" s="140"/>
      <c r="BY270" s="140"/>
    </row>
    <row r="271" ht="15.75" customHeight="1">
      <c r="A271" s="168"/>
      <c r="B271" s="169">
        <v>45777.0</v>
      </c>
      <c r="C271" s="170">
        <v>9080.78</v>
      </c>
      <c r="D271" s="170">
        <v>9111.52</v>
      </c>
      <c r="E271" s="170">
        <v>8880.78</v>
      </c>
      <c r="F271" s="170">
        <v>8944.12</v>
      </c>
      <c r="G271" s="171" t="s">
        <v>238</v>
      </c>
      <c r="H271" s="172">
        <f t="shared" si="1"/>
        <v>-0.01524524635</v>
      </c>
      <c r="I271" s="172"/>
      <c r="J271" s="172"/>
      <c r="K271" s="188"/>
      <c r="L271" s="140"/>
      <c r="M271" s="140"/>
      <c r="N271" s="210">
        <f>IFERROR(__xludf.DUMMYFUNCTION("""COMPUTED_VALUE"""),45777.64583333333)</f>
        <v>45777.64583</v>
      </c>
      <c r="O271" s="211">
        <f>IFERROR(__xludf.DUMMYFUNCTION("""COMPUTED_VALUE"""),1433.0)</f>
        <v>1433</v>
      </c>
      <c r="P271" s="211">
        <f>IFERROR(__xludf.DUMMYFUNCTION("""COMPUTED_VALUE"""),1433.7)</f>
        <v>1433.7</v>
      </c>
      <c r="Q271" s="211">
        <f>IFERROR(__xludf.DUMMYFUNCTION("""COMPUTED_VALUE"""),1400.0)</f>
        <v>1400</v>
      </c>
      <c r="R271" s="211">
        <f>IFERROR(__xludf.DUMMYFUNCTION("""COMPUTED_VALUE"""),1427.0)</f>
        <v>1427</v>
      </c>
      <c r="S271" s="211">
        <f>IFERROR(__xludf.DUMMYFUNCTION("""COMPUTED_VALUE"""),1.4192027E7)</f>
        <v>14192027</v>
      </c>
      <c r="T271" s="211">
        <f t="shared" si="2"/>
        <v>-0.001960235856</v>
      </c>
      <c r="U271" s="212"/>
      <c r="V271" s="211"/>
      <c r="W271" s="213"/>
      <c r="X271" s="140"/>
      <c r="Y271" s="140"/>
      <c r="Z271" s="210">
        <f>IFERROR(__xludf.DUMMYFUNCTION("""COMPUTED_VALUE"""),45777.64583333333)</f>
        <v>45777.64583</v>
      </c>
      <c r="AA271" s="211">
        <f>IFERROR(__xludf.DUMMYFUNCTION("""COMPUTED_VALUE"""),403.45)</f>
        <v>403.45</v>
      </c>
      <c r="AB271" s="211">
        <f>IFERROR(__xludf.DUMMYFUNCTION("""COMPUTED_VALUE"""),409.35)</f>
        <v>409.35</v>
      </c>
      <c r="AC271" s="211">
        <f>IFERROR(__xludf.DUMMYFUNCTION("""COMPUTED_VALUE"""),397.7)</f>
        <v>397.7</v>
      </c>
      <c r="AD271" s="211">
        <f>IFERROR(__xludf.DUMMYFUNCTION("""COMPUTED_VALUE"""),408.2)</f>
        <v>408.2</v>
      </c>
      <c r="AE271" s="211">
        <f>IFERROR(__xludf.DUMMYFUNCTION("""COMPUTED_VALUE"""),6841231.0)</f>
        <v>6841231</v>
      </c>
      <c r="AF271" s="211">
        <f t="shared" si="3"/>
        <v>0.01381373717</v>
      </c>
      <c r="AG271" s="211"/>
      <c r="AH271" s="211"/>
      <c r="AI271" s="213"/>
      <c r="AJ271" s="140"/>
      <c r="AK271" s="140"/>
      <c r="AL271" s="210">
        <f>IFERROR(__xludf.DUMMYFUNCTION("""COMPUTED_VALUE"""),45777.64583333333)</f>
        <v>45777.64583</v>
      </c>
      <c r="AM271" s="211">
        <f>IFERROR(__xludf.DUMMYFUNCTION("""COMPUTED_VALUE"""),4610.0)</f>
        <v>4610</v>
      </c>
      <c r="AN271" s="211">
        <f>IFERROR(__xludf.DUMMYFUNCTION("""COMPUTED_VALUE"""),4637.0)</f>
        <v>4637</v>
      </c>
      <c r="AO271" s="211">
        <f>IFERROR(__xludf.DUMMYFUNCTION("""COMPUTED_VALUE"""),4466.2)</f>
        <v>4466.2</v>
      </c>
      <c r="AP271" s="211">
        <f>IFERROR(__xludf.DUMMYFUNCTION("""COMPUTED_VALUE"""),4487.9)</f>
        <v>4487.9</v>
      </c>
      <c r="AQ271" s="211">
        <f>IFERROR(__xludf.DUMMYFUNCTION("""COMPUTED_VALUE"""),2513611.0)</f>
        <v>2513611</v>
      </c>
      <c r="AR271" s="211">
        <f t="shared" si="4"/>
        <v>-0.02669111533</v>
      </c>
      <c r="AS271" s="211"/>
      <c r="AT271" s="211"/>
      <c r="AU271" s="213"/>
      <c r="AV271" s="140"/>
      <c r="AW271" s="140"/>
      <c r="AX271" s="210">
        <f>IFERROR(__xludf.DUMMYFUNCTION("""COMPUTED_VALUE"""),45777.64583333333)</f>
        <v>45777.64583</v>
      </c>
      <c r="AY271" s="211">
        <f>IFERROR(__xludf.DUMMYFUNCTION("""COMPUTED_VALUE"""),427.4)</f>
        <v>427.4</v>
      </c>
      <c r="AZ271" s="211">
        <f>IFERROR(__xludf.DUMMYFUNCTION("""COMPUTED_VALUE"""),429.3)</f>
        <v>429.3</v>
      </c>
      <c r="BA271" s="211">
        <f>IFERROR(__xludf.DUMMYFUNCTION("""COMPUTED_VALUE"""),422.0)</f>
        <v>422</v>
      </c>
      <c r="BB271" s="211">
        <f>IFERROR(__xludf.DUMMYFUNCTION("""COMPUTED_VALUE"""),425.8)</f>
        <v>425.8</v>
      </c>
      <c r="BC271" s="211">
        <f>IFERROR(__xludf.DUMMYFUNCTION("""COMPUTED_VALUE"""),1.0026546E7)</f>
        <v>10026546</v>
      </c>
      <c r="BD271" s="211">
        <f t="shared" si="5"/>
        <v>-0.00046959381</v>
      </c>
      <c r="BE271" s="211"/>
      <c r="BF271" s="211"/>
      <c r="BG271" s="213"/>
      <c r="BH271" s="140"/>
      <c r="BI271" s="140"/>
      <c r="BJ271" s="140"/>
      <c r="BK271" s="140"/>
      <c r="BL271" s="140"/>
      <c r="BM271" s="140"/>
      <c r="BN271" s="140"/>
      <c r="BO271" s="140"/>
      <c r="BP271" s="140"/>
      <c r="BQ271" s="140"/>
      <c r="BR271" s="140"/>
      <c r="BS271" s="140"/>
      <c r="BT271" s="140"/>
      <c r="BU271" s="140"/>
      <c r="BV271" s="140"/>
      <c r="BW271" s="140"/>
      <c r="BX271" s="140"/>
      <c r="BY271" s="140"/>
    </row>
    <row r="272" ht="15.75" customHeight="1">
      <c r="A272" s="214"/>
      <c r="B272" s="215"/>
      <c r="C272" s="215"/>
      <c r="D272" s="215"/>
      <c r="E272" s="215"/>
      <c r="F272" s="215"/>
      <c r="G272" s="216"/>
      <c r="H272" s="216"/>
      <c r="I272" s="216"/>
      <c r="J272" s="216"/>
      <c r="K272" s="216"/>
      <c r="L272" s="217"/>
      <c r="M272" s="217"/>
      <c r="N272" s="214"/>
      <c r="O272" s="218"/>
      <c r="P272" s="218"/>
      <c r="Q272" s="218"/>
      <c r="R272" s="218"/>
      <c r="S272" s="218"/>
      <c r="T272" s="218"/>
      <c r="U272" s="219"/>
      <c r="V272" s="218"/>
      <c r="W272" s="218"/>
      <c r="X272" s="217"/>
      <c r="Y272" s="217"/>
      <c r="Z272" s="214"/>
      <c r="AA272" s="218"/>
      <c r="AB272" s="218"/>
      <c r="AC272" s="218"/>
      <c r="AD272" s="218"/>
      <c r="AE272" s="218"/>
      <c r="AF272" s="218"/>
      <c r="AG272" s="218"/>
      <c r="AH272" s="218"/>
      <c r="AI272" s="218"/>
      <c r="AJ272" s="217"/>
      <c r="AK272" s="217"/>
      <c r="AL272" s="214"/>
      <c r="AM272" s="218"/>
      <c r="AN272" s="218"/>
      <c r="AO272" s="218"/>
      <c r="AP272" s="218"/>
      <c r="AQ272" s="218"/>
      <c r="AR272" s="218"/>
      <c r="AS272" s="218"/>
      <c r="AT272" s="218"/>
      <c r="AU272" s="218"/>
      <c r="AV272" s="217"/>
      <c r="AW272" s="217"/>
      <c r="AX272" s="214"/>
      <c r="AY272" s="218"/>
      <c r="AZ272" s="218"/>
      <c r="BA272" s="218"/>
      <c r="BB272" s="218"/>
      <c r="BC272" s="218"/>
      <c r="BD272" s="218"/>
      <c r="BE272" s="218"/>
      <c r="BF272" s="218"/>
      <c r="BG272" s="218"/>
      <c r="BH272" s="140"/>
      <c r="BI272" s="140"/>
      <c r="BJ272" s="140"/>
      <c r="BK272" s="140"/>
      <c r="BL272" s="140"/>
      <c r="BM272" s="140"/>
      <c r="BN272" s="140"/>
      <c r="BO272" s="140"/>
      <c r="BP272" s="140"/>
      <c r="BQ272" s="140"/>
      <c r="BR272" s="140"/>
      <c r="BS272" s="140"/>
      <c r="BT272" s="140"/>
      <c r="BU272" s="140"/>
      <c r="BV272" s="140"/>
      <c r="BW272" s="140"/>
      <c r="BX272" s="140"/>
      <c r="BY272" s="140"/>
    </row>
    <row r="273" ht="15.75" customHeight="1">
      <c r="A273" s="150"/>
      <c r="B273" s="140"/>
      <c r="C273" s="140"/>
      <c r="D273" s="140"/>
      <c r="E273" s="140"/>
      <c r="F273" s="140"/>
      <c r="G273" s="140"/>
      <c r="H273" s="220"/>
      <c r="I273" s="140"/>
      <c r="J273" s="140"/>
      <c r="K273" s="140"/>
      <c r="L273" s="140"/>
      <c r="M273" s="140"/>
      <c r="N273" s="140"/>
      <c r="O273" s="140"/>
      <c r="P273" s="140"/>
      <c r="Q273" s="140"/>
      <c r="R273" s="140"/>
      <c r="S273" s="140"/>
      <c r="T273" s="220"/>
      <c r="U273" s="140"/>
      <c r="V273" s="140"/>
      <c r="W273" s="140"/>
      <c r="X273" s="140"/>
      <c r="Y273" s="140"/>
      <c r="Z273" s="140"/>
      <c r="AA273" s="140"/>
      <c r="AB273" s="140"/>
      <c r="AC273" s="140"/>
      <c r="AD273" s="140"/>
      <c r="AE273" s="140"/>
      <c r="AF273" s="140"/>
      <c r="AG273" s="140"/>
      <c r="AH273" s="140"/>
      <c r="AI273" s="140"/>
      <c r="AJ273" s="140"/>
      <c r="AK273" s="140"/>
      <c r="AL273" s="140"/>
      <c r="AM273" s="140"/>
      <c r="AN273" s="140"/>
      <c r="AO273" s="140"/>
      <c r="AP273" s="140"/>
      <c r="AQ273" s="140"/>
      <c r="AR273" s="220"/>
      <c r="AS273" s="140"/>
      <c r="AT273" s="140"/>
      <c r="AU273" s="140"/>
      <c r="AV273" s="140"/>
      <c r="AW273" s="140"/>
      <c r="AX273" s="140"/>
      <c r="AY273" s="140"/>
      <c r="AZ273" s="140"/>
      <c r="BA273" s="140"/>
      <c r="BB273" s="140"/>
      <c r="BC273" s="140"/>
      <c r="BD273" s="221"/>
      <c r="BE273" s="140"/>
      <c r="BF273" s="140"/>
      <c r="BG273" s="140"/>
      <c r="BH273" s="140"/>
      <c r="BI273" s="140"/>
      <c r="BJ273" s="140"/>
      <c r="BK273" s="140"/>
      <c r="BL273" s="140"/>
      <c r="BM273" s="140"/>
      <c r="BN273" s="140"/>
      <c r="BO273" s="140"/>
      <c r="BP273" s="140"/>
      <c r="BQ273" s="140"/>
      <c r="BR273" s="140"/>
      <c r="BS273" s="140"/>
      <c r="BT273" s="140"/>
      <c r="BU273" s="140"/>
      <c r="BV273" s="140"/>
      <c r="BW273" s="140"/>
      <c r="BX273" s="140"/>
      <c r="BY273" s="140"/>
    </row>
    <row r="274" ht="15.75" customHeight="1">
      <c r="A274" s="150"/>
      <c r="B274" s="140"/>
      <c r="C274" s="140"/>
      <c r="D274" s="140"/>
      <c r="E274" s="140"/>
      <c r="F274" s="140"/>
      <c r="G274" s="140"/>
      <c r="H274" s="222"/>
      <c r="I274" s="140"/>
      <c r="J274" s="140"/>
      <c r="K274" s="140"/>
      <c r="L274" s="140"/>
      <c r="M274" s="140"/>
      <c r="N274" s="140"/>
      <c r="O274" s="140"/>
      <c r="P274" s="140"/>
      <c r="Q274" s="140"/>
      <c r="R274" s="140"/>
      <c r="S274" s="140"/>
      <c r="T274" s="222"/>
      <c r="U274" s="140"/>
      <c r="V274" s="140"/>
      <c r="W274" s="140"/>
      <c r="X274" s="140"/>
      <c r="Y274" s="140"/>
      <c r="Z274" s="140"/>
      <c r="AA274" s="140"/>
      <c r="AB274" s="140"/>
      <c r="AC274" s="140"/>
      <c r="AD274" s="140"/>
      <c r="AE274" s="140"/>
      <c r="AF274" s="140"/>
      <c r="AG274" s="140"/>
      <c r="AH274" s="140"/>
      <c r="AI274" s="140"/>
      <c r="AJ274" s="140"/>
      <c r="AK274" s="140"/>
      <c r="AL274" s="140"/>
      <c r="AM274" s="140"/>
      <c r="AN274" s="140"/>
      <c r="AO274" s="140"/>
      <c r="AP274" s="140"/>
      <c r="AQ274" s="140"/>
      <c r="AR274" s="222"/>
      <c r="AS274" s="140"/>
      <c r="AT274" s="140"/>
      <c r="AU274" s="140"/>
      <c r="AV274" s="140"/>
      <c r="AW274" s="140"/>
      <c r="AX274" s="140"/>
      <c r="AY274" s="140"/>
      <c r="AZ274" s="140"/>
      <c r="BA274" s="140"/>
      <c r="BB274" s="140"/>
      <c r="BC274" s="140"/>
      <c r="BD274" s="221"/>
      <c r="BE274" s="140"/>
      <c r="BF274" s="140"/>
      <c r="BG274" s="140"/>
      <c r="BH274" s="140"/>
      <c r="BI274" s="140"/>
      <c r="BJ274" s="140"/>
      <c r="BK274" s="140"/>
      <c r="BL274" s="140"/>
      <c r="BM274" s="140"/>
      <c r="BN274" s="140"/>
      <c r="BO274" s="140"/>
      <c r="BP274" s="140"/>
      <c r="BQ274" s="140"/>
      <c r="BR274" s="140"/>
      <c r="BS274" s="140"/>
      <c r="BT274" s="140"/>
      <c r="BU274" s="140"/>
      <c r="BV274" s="140"/>
      <c r="BW274" s="140"/>
      <c r="BX274" s="140"/>
      <c r="BY274" s="140"/>
    </row>
    <row r="275" ht="15.75" customHeight="1">
      <c r="A275" s="150"/>
      <c r="B275" s="140"/>
      <c r="C275" s="140"/>
      <c r="D275" s="140"/>
      <c r="E275" s="140"/>
      <c r="F275" s="140"/>
      <c r="G275" s="140"/>
      <c r="H275" s="140"/>
      <c r="I275" s="140"/>
      <c r="J275" s="140"/>
      <c r="K275" s="140"/>
      <c r="L275" s="140"/>
      <c r="M275" s="140"/>
      <c r="N275" s="140"/>
      <c r="O275" s="140"/>
      <c r="P275" s="140"/>
      <c r="Q275" s="140"/>
      <c r="R275" s="140"/>
      <c r="S275" s="140"/>
      <c r="T275" s="140"/>
      <c r="U275" s="140"/>
      <c r="V275" s="140"/>
      <c r="W275" s="140"/>
      <c r="X275" s="140"/>
      <c r="Y275" s="140"/>
      <c r="Z275" s="140"/>
      <c r="AA275" s="140"/>
      <c r="AB275" s="140"/>
      <c r="AC275" s="140"/>
      <c r="AD275" s="140"/>
      <c r="AE275" s="140"/>
      <c r="AF275" s="140"/>
      <c r="AG275" s="140"/>
      <c r="AH275" s="140"/>
      <c r="AI275" s="140"/>
      <c r="AJ275" s="140"/>
      <c r="AK275" s="140"/>
      <c r="AL275" s="140"/>
      <c r="AM275" s="140"/>
      <c r="AN275" s="140"/>
      <c r="AO275" s="140"/>
      <c r="AP275" s="140"/>
      <c r="AQ275" s="140"/>
      <c r="AR275" s="140"/>
      <c r="AS275" s="140"/>
      <c r="AT275" s="140"/>
      <c r="AU275" s="140"/>
      <c r="AV275" s="140"/>
      <c r="AW275" s="140"/>
      <c r="AX275" s="140"/>
      <c r="AY275" s="140"/>
      <c r="AZ275" s="140"/>
      <c r="BA275" s="140"/>
      <c r="BB275" s="140"/>
      <c r="BC275" s="140"/>
      <c r="BD275" s="221"/>
      <c r="BE275" s="140"/>
      <c r="BF275" s="140"/>
      <c r="BG275" s="140"/>
      <c r="BH275" s="140"/>
      <c r="BI275" s="140"/>
      <c r="BJ275" s="140"/>
      <c r="BK275" s="140"/>
      <c r="BL275" s="140"/>
      <c r="BM275" s="140"/>
      <c r="BN275" s="140"/>
      <c r="BO275" s="140"/>
      <c r="BP275" s="140"/>
      <c r="BQ275" s="140"/>
      <c r="BR275" s="140"/>
      <c r="BS275" s="140"/>
      <c r="BT275" s="140"/>
      <c r="BU275" s="140"/>
      <c r="BV275" s="140"/>
      <c r="BW275" s="140"/>
      <c r="BX275" s="140"/>
      <c r="BY275" s="140"/>
    </row>
    <row r="276" ht="15.75" customHeight="1">
      <c r="A276" s="150"/>
      <c r="B276" s="140"/>
      <c r="C276" s="140"/>
      <c r="D276" s="140"/>
      <c r="E276" s="140"/>
      <c r="F276" s="140"/>
      <c r="G276" s="140"/>
      <c r="H276" s="140"/>
      <c r="I276" s="140"/>
      <c r="J276" s="140"/>
      <c r="K276" s="140"/>
      <c r="L276" s="140"/>
      <c r="M276" s="140"/>
      <c r="N276" s="140"/>
      <c r="O276" s="140"/>
      <c r="P276" s="140"/>
      <c r="Q276" s="140"/>
      <c r="R276" s="140"/>
      <c r="S276" s="140"/>
      <c r="T276" s="140"/>
      <c r="U276" s="140"/>
      <c r="V276" s="140"/>
      <c r="W276" s="140"/>
      <c r="X276" s="140"/>
      <c r="Y276" s="140"/>
      <c r="Z276" s="140"/>
      <c r="AA276" s="140"/>
      <c r="AB276" s="140"/>
      <c r="AC276" s="140"/>
      <c r="AD276" s="140"/>
      <c r="AE276" s="140"/>
      <c r="AF276" s="140"/>
      <c r="AG276" s="140"/>
      <c r="AH276" s="140"/>
      <c r="AI276" s="140"/>
      <c r="AJ276" s="140"/>
      <c r="AK276" s="140"/>
      <c r="AL276" s="140"/>
      <c r="AM276" s="140"/>
      <c r="AN276" s="140"/>
      <c r="AO276" s="140"/>
      <c r="AP276" s="140"/>
      <c r="AQ276" s="140"/>
      <c r="AR276" s="140"/>
      <c r="AS276" s="140"/>
      <c r="AT276" s="140"/>
      <c r="AU276" s="140"/>
      <c r="AV276" s="140"/>
      <c r="AW276" s="140"/>
      <c r="AX276" s="140"/>
      <c r="AY276" s="140"/>
      <c r="AZ276" s="140"/>
      <c r="BA276" s="140"/>
      <c r="BB276" s="140"/>
      <c r="BC276" s="140"/>
      <c r="BD276" s="221"/>
      <c r="BE276" s="140"/>
      <c r="BF276" s="140"/>
      <c r="BG276" s="140"/>
      <c r="BH276" s="140"/>
      <c r="BI276" s="140"/>
      <c r="BJ276" s="140"/>
      <c r="BK276" s="140"/>
      <c r="BL276" s="140"/>
      <c r="BM276" s="140"/>
      <c r="BN276" s="140"/>
      <c r="BO276" s="140"/>
      <c r="BP276" s="140"/>
      <c r="BQ276" s="140"/>
      <c r="BR276" s="140"/>
      <c r="BS276" s="140"/>
      <c r="BT276" s="140"/>
      <c r="BU276" s="140"/>
      <c r="BV276" s="140"/>
      <c r="BW276" s="140"/>
      <c r="BX276" s="140"/>
      <c r="BY276" s="140"/>
    </row>
    <row r="277" ht="15.75" customHeight="1">
      <c r="A277" s="150"/>
      <c r="B277" s="140"/>
      <c r="C277" s="140"/>
      <c r="D277" s="140"/>
      <c r="E277" s="140"/>
      <c r="F277" s="140"/>
      <c r="G277" s="140"/>
      <c r="H277" s="140"/>
      <c r="I277" s="140"/>
      <c r="J277" s="140"/>
      <c r="K277" s="140"/>
      <c r="L277" s="140"/>
      <c r="M277" s="140"/>
      <c r="N277" s="140"/>
      <c r="O277" s="140"/>
      <c r="P277" s="140"/>
      <c r="Q277" s="140"/>
      <c r="R277" s="140"/>
      <c r="S277" s="140"/>
      <c r="T277" s="140"/>
      <c r="U277" s="140"/>
      <c r="V277" s="140"/>
      <c r="W277" s="140"/>
      <c r="X277" s="140"/>
      <c r="Y277" s="140"/>
      <c r="Z277" s="140"/>
      <c r="AA277" s="140"/>
      <c r="AB277" s="140"/>
      <c r="AC277" s="140"/>
      <c r="AD277" s="140"/>
      <c r="AE277" s="140"/>
      <c r="AF277" s="140"/>
      <c r="AG277" s="140"/>
      <c r="AH277" s="140"/>
      <c r="AI277" s="140"/>
      <c r="AJ277" s="140"/>
      <c r="AK277" s="140"/>
      <c r="AL277" s="140"/>
      <c r="AM277" s="140"/>
      <c r="AN277" s="140"/>
      <c r="AO277" s="140"/>
      <c r="AP277" s="140"/>
      <c r="AQ277" s="140"/>
      <c r="AR277" s="140"/>
      <c r="AS277" s="140"/>
      <c r="AT277" s="140"/>
      <c r="AU277" s="140"/>
      <c r="AV277" s="140"/>
      <c r="AW277" s="140"/>
      <c r="AX277" s="140"/>
      <c r="AY277" s="140"/>
      <c r="AZ277" s="140"/>
      <c r="BA277" s="140"/>
      <c r="BB277" s="140"/>
      <c r="BC277" s="140"/>
      <c r="BD277" s="221"/>
      <c r="BE277" s="140"/>
      <c r="BF277" s="140"/>
      <c r="BG277" s="140"/>
      <c r="BH277" s="140"/>
      <c r="BI277" s="140"/>
      <c r="BJ277" s="140"/>
      <c r="BK277" s="140"/>
      <c r="BL277" s="140"/>
      <c r="BM277" s="140"/>
      <c r="BN277" s="140"/>
      <c r="BO277" s="140"/>
      <c r="BP277" s="140"/>
      <c r="BQ277" s="140"/>
      <c r="BR277" s="140"/>
      <c r="BS277" s="140"/>
      <c r="BT277" s="140"/>
      <c r="BU277" s="140"/>
      <c r="BV277" s="140"/>
      <c r="BW277" s="140"/>
      <c r="BX277" s="140"/>
      <c r="BY277" s="140"/>
    </row>
    <row r="278" ht="15.75" customHeight="1">
      <c r="A278" s="150"/>
      <c r="B278" s="140"/>
      <c r="C278" s="140"/>
      <c r="D278" s="140"/>
      <c r="E278" s="140"/>
      <c r="F278" s="140"/>
      <c r="G278" s="140"/>
      <c r="H278" s="140"/>
      <c r="I278" s="140"/>
      <c r="J278" s="140"/>
      <c r="K278" s="140"/>
      <c r="L278" s="140"/>
      <c r="M278" s="140"/>
      <c r="N278" s="140"/>
      <c r="O278" s="140"/>
      <c r="P278" s="140"/>
      <c r="Q278" s="140"/>
      <c r="R278" s="140"/>
      <c r="S278" s="140"/>
      <c r="T278" s="140"/>
      <c r="U278" s="140"/>
      <c r="V278" s="140"/>
      <c r="W278" s="140"/>
      <c r="X278" s="140"/>
      <c r="Y278" s="140"/>
      <c r="Z278" s="140"/>
      <c r="AA278" s="140"/>
      <c r="AB278" s="140"/>
      <c r="AC278" s="140"/>
      <c r="AD278" s="140"/>
      <c r="AE278" s="140"/>
      <c r="AF278" s="140"/>
      <c r="AG278" s="140"/>
      <c r="AH278" s="140"/>
      <c r="AI278" s="140"/>
      <c r="AJ278" s="140"/>
      <c r="AK278" s="140"/>
      <c r="AL278" s="140"/>
      <c r="AM278" s="140"/>
      <c r="AN278" s="140"/>
      <c r="AO278" s="140"/>
      <c r="AP278" s="140"/>
      <c r="AQ278" s="140"/>
      <c r="AR278" s="140"/>
      <c r="AS278" s="140"/>
      <c r="AT278" s="140"/>
      <c r="AU278" s="140"/>
      <c r="AV278" s="140"/>
      <c r="AW278" s="140"/>
      <c r="AX278" s="140"/>
      <c r="AY278" s="140"/>
      <c r="AZ278" s="140"/>
      <c r="BA278" s="140"/>
      <c r="BB278" s="140"/>
      <c r="BC278" s="140"/>
      <c r="BD278" s="221"/>
      <c r="BE278" s="140"/>
      <c r="BF278" s="140"/>
      <c r="BG278" s="140"/>
      <c r="BH278" s="140"/>
      <c r="BI278" s="140"/>
      <c r="BJ278" s="140"/>
      <c r="BK278" s="140"/>
      <c r="BL278" s="140"/>
      <c r="BM278" s="140"/>
      <c r="BN278" s="140"/>
      <c r="BO278" s="140"/>
      <c r="BP278" s="140"/>
      <c r="BQ278" s="140"/>
      <c r="BR278" s="140"/>
      <c r="BS278" s="140"/>
      <c r="BT278" s="140"/>
      <c r="BU278" s="140"/>
      <c r="BV278" s="140"/>
      <c r="BW278" s="140"/>
      <c r="BX278" s="140"/>
      <c r="BY278" s="140"/>
    </row>
    <row r="279" ht="15.75" customHeight="1">
      <c r="A279" s="150"/>
      <c r="B279" s="140"/>
      <c r="C279" s="140"/>
      <c r="D279" s="140"/>
      <c r="E279" s="140"/>
      <c r="F279" s="140"/>
      <c r="G279" s="140"/>
      <c r="H279" s="140"/>
      <c r="I279" s="140"/>
      <c r="J279" s="140"/>
      <c r="K279" s="140"/>
      <c r="L279" s="140"/>
      <c r="M279" s="140"/>
      <c r="N279" s="140"/>
      <c r="O279" s="140"/>
      <c r="P279" s="140"/>
      <c r="Q279" s="140"/>
      <c r="R279" s="140"/>
      <c r="S279" s="140"/>
      <c r="T279" s="140"/>
      <c r="U279" s="140"/>
      <c r="V279" s="140"/>
      <c r="W279" s="140"/>
      <c r="X279" s="140"/>
      <c r="Y279" s="140"/>
      <c r="Z279" s="140"/>
      <c r="AA279" s="140"/>
      <c r="AB279" s="140"/>
      <c r="AC279" s="140"/>
      <c r="AD279" s="140"/>
      <c r="AE279" s="140"/>
      <c r="AF279" s="140"/>
      <c r="AG279" s="140"/>
      <c r="AH279" s="140"/>
      <c r="AI279" s="140"/>
      <c r="AJ279" s="140"/>
      <c r="AK279" s="140"/>
      <c r="AL279" s="140"/>
      <c r="AM279" s="140"/>
      <c r="AN279" s="140"/>
      <c r="AO279" s="140"/>
      <c r="AP279" s="140"/>
      <c r="AQ279" s="140"/>
      <c r="AR279" s="140"/>
      <c r="AS279" s="140"/>
      <c r="AT279" s="140"/>
      <c r="AU279" s="140"/>
      <c r="AV279" s="140"/>
      <c r="AW279" s="140"/>
      <c r="AX279" s="140"/>
      <c r="AY279" s="140"/>
      <c r="AZ279" s="140"/>
      <c r="BA279" s="140"/>
      <c r="BB279" s="140"/>
      <c r="BC279" s="140"/>
      <c r="BD279" s="221"/>
      <c r="BE279" s="140"/>
      <c r="BF279" s="140"/>
      <c r="BG279" s="140"/>
      <c r="BH279" s="140"/>
      <c r="BI279" s="140"/>
      <c r="BJ279" s="140"/>
      <c r="BK279" s="140"/>
      <c r="BL279" s="140"/>
      <c r="BM279" s="140"/>
      <c r="BN279" s="140"/>
      <c r="BO279" s="140"/>
      <c r="BP279" s="140"/>
      <c r="BQ279" s="140"/>
      <c r="BR279" s="140"/>
      <c r="BS279" s="140"/>
      <c r="BT279" s="140"/>
      <c r="BU279" s="140"/>
      <c r="BV279" s="140"/>
      <c r="BW279" s="140"/>
      <c r="BX279" s="140"/>
      <c r="BY279" s="140"/>
    </row>
    <row r="280" ht="15.75" customHeight="1">
      <c r="A280" s="150"/>
      <c r="B280" s="140"/>
      <c r="C280" s="140"/>
      <c r="D280" s="140"/>
      <c r="E280" s="140"/>
      <c r="F280" s="140"/>
      <c r="G280" s="140"/>
      <c r="H280" s="140"/>
      <c r="I280" s="140"/>
      <c r="J280" s="140"/>
      <c r="K280" s="140"/>
      <c r="L280" s="140"/>
      <c r="M280" s="140"/>
      <c r="N280" s="140"/>
      <c r="O280" s="140"/>
      <c r="P280" s="140"/>
      <c r="Q280" s="140"/>
      <c r="R280" s="140"/>
      <c r="S280" s="140"/>
      <c r="T280" s="140"/>
      <c r="U280" s="140"/>
      <c r="V280" s="140"/>
      <c r="W280" s="140"/>
      <c r="X280" s="140"/>
      <c r="Y280" s="140"/>
      <c r="Z280" s="140"/>
      <c r="AA280" s="140"/>
      <c r="AB280" s="140"/>
      <c r="AC280" s="140"/>
      <c r="AD280" s="140"/>
      <c r="AE280" s="140"/>
      <c r="AF280" s="140"/>
      <c r="AG280" s="140"/>
      <c r="AH280" s="140"/>
      <c r="AI280" s="140"/>
      <c r="AJ280" s="140"/>
      <c r="AK280" s="140"/>
      <c r="AL280" s="140"/>
      <c r="AM280" s="140"/>
      <c r="AN280" s="140"/>
      <c r="AO280" s="140"/>
      <c r="AP280" s="140"/>
      <c r="AQ280" s="140"/>
      <c r="AR280" s="140"/>
      <c r="AS280" s="140"/>
      <c r="AT280" s="140"/>
      <c r="AU280" s="140"/>
      <c r="AV280" s="140"/>
      <c r="AW280" s="140"/>
      <c r="AX280" s="140"/>
      <c r="AY280" s="140"/>
      <c r="AZ280" s="140"/>
      <c r="BA280" s="140"/>
      <c r="BB280" s="140"/>
      <c r="BC280" s="140"/>
      <c r="BD280" s="221"/>
      <c r="BE280" s="140"/>
      <c r="BF280" s="140"/>
      <c r="BG280" s="140"/>
      <c r="BH280" s="140"/>
      <c r="BI280" s="140"/>
      <c r="BJ280" s="140"/>
      <c r="BK280" s="140"/>
      <c r="BL280" s="140"/>
      <c r="BM280" s="140"/>
      <c r="BN280" s="140"/>
      <c r="BO280" s="140"/>
      <c r="BP280" s="140"/>
      <c r="BQ280" s="140"/>
      <c r="BR280" s="140"/>
      <c r="BS280" s="140"/>
      <c r="BT280" s="140"/>
      <c r="BU280" s="140"/>
      <c r="BV280" s="140"/>
      <c r="BW280" s="140"/>
      <c r="BX280" s="140"/>
      <c r="BY280" s="140"/>
    </row>
    <row r="281" ht="15.75" customHeight="1">
      <c r="A281" s="150"/>
      <c r="B281" s="140"/>
      <c r="C281" s="140"/>
      <c r="D281" s="140"/>
      <c r="E281" s="140"/>
      <c r="F281" s="140"/>
      <c r="G281" s="140"/>
      <c r="H281" s="140"/>
      <c r="I281" s="140"/>
      <c r="J281" s="140"/>
      <c r="K281" s="140"/>
      <c r="L281" s="140"/>
      <c r="M281" s="140"/>
      <c r="N281" s="140"/>
      <c r="O281" s="140"/>
      <c r="P281" s="140"/>
      <c r="Q281" s="140"/>
      <c r="R281" s="140"/>
      <c r="S281" s="140"/>
      <c r="T281" s="140"/>
      <c r="U281" s="140"/>
      <c r="V281" s="140"/>
      <c r="W281" s="140"/>
      <c r="X281" s="140"/>
      <c r="Y281" s="140"/>
      <c r="Z281" s="140"/>
      <c r="AA281" s="140"/>
      <c r="AB281" s="140"/>
      <c r="AC281" s="140"/>
      <c r="AD281" s="140"/>
      <c r="AE281" s="140"/>
      <c r="AF281" s="140"/>
      <c r="AG281" s="140"/>
      <c r="AH281" s="140"/>
      <c r="AI281" s="140"/>
      <c r="AJ281" s="140"/>
      <c r="AK281" s="140"/>
      <c r="AL281" s="140"/>
      <c r="AM281" s="140"/>
      <c r="AN281" s="140"/>
      <c r="AO281" s="140"/>
      <c r="AP281" s="140"/>
      <c r="AQ281" s="140"/>
      <c r="AR281" s="140"/>
      <c r="AS281" s="140"/>
      <c r="AT281" s="140"/>
      <c r="AU281" s="140"/>
      <c r="AV281" s="140"/>
      <c r="AW281" s="140"/>
      <c r="AX281" s="140"/>
      <c r="AY281" s="140"/>
      <c r="AZ281" s="140"/>
      <c r="BA281" s="140"/>
      <c r="BB281" s="140"/>
      <c r="BC281" s="140"/>
      <c r="BD281" s="221"/>
      <c r="BE281" s="140"/>
      <c r="BF281" s="140"/>
      <c r="BG281" s="140"/>
      <c r="BH281" s="140"/>
      <c r="BI281" s="140"/>
      <c r="BJ281" s="140"/>
      <c r="BK281" s="140"/>
      <c r="BL281" s="140"/>
      <c r="BM281" s="140"/>
      <c r="BN281" s="140"/>
      <c r="BO281" s="140"/>
      <c r="BP281" s="140"/>
      <c r="BQ281" s="140"/>
      <c r="BR281" s="140"/>
      <c r="BS281" s="140"/>
      <c r="BT281" s="140"/>
      <c r="BU281" s="140"/>
      <c r="BV281" s="140"/>
      <c r="BW281" s="140"/>
      <c r="BX281" s="140"/>
      <c r="BY281" s="140"/>
    </row>
    <row r="282" ht="15.75" customHeight="1">
      <c r="A282" s="150"/>
      <c r="B282" s="140"/>
      <c r="C282" s="140"/>
      <c r="D282" s="140"/>
      <c r="E282" s="140"/>
      <c r="F282" s="140"/>
      <c r="G282" s="140"/>
      <c r="H282" s="140"/>
      <c r="I282" s="140"/>
      <c r="J282" s="140"/>
      <c r="K282" s="140"/>
      <c r="L282" s="140"/>
      <c r="M282" s="140"/>
      <c r="N282" s="140"/>
      <c r="O282" s="140"/>
      <c r="P282" s="140"/>
      <c r="Q282" s="140"/>
      <c r="R282" s="140"/>
      <c r="S282" s="140"/>
      <c r="T282" s="140"/>
      <c r="U282" s="140"/>
      <c r="V282" s="140"/>
      <c r="W282" s="140"/>
      <c r="X282" s="140"/>
      <c r="Y282" s="140"/>
      <c r="Z282" s="140"/>
      <c r="AA282" s="140"/>
      <c r="AB282" s="140"/>
      <c r="AC282" s="140"/>
      <c r="AD282" s="140"/>
      <c r="AE282" s="140"/>
      <c r="AF282" s="140"/>
      <c r="AG282" s="140"/>
      <c r="AH282" s="140"/>
      <c r="AI282" s="140"/>
      <c r="AJ282" s="140"/>
      <c r="AK282" s="140"/>
      <c r="AL282" s="140"/>
      <c r="AM282" s="140"/>
      <c r="AN282" s="140"/>
      <c r="AO282" s="140"/>
      <c r="AP282" s="140"/>
      <c r="AQ282" s="140"/>
      <c r="AR282" s="140"/>
      <c r="AS282" s="140"/>
      <c r="AT282" s="140"/>
      <c r="AU282" s="140"/>
      <c r="AV282" s="140"/>
      <c r="AW282" s="140"/>
      <c r="AX282" s="140"/>
      <c r="AY282" s="140"/>
      <c r="AZ282" s="140"/>
      <c r="BA282" s="140"/>
      <c r="BB282" s="140"/>
      <c r="BC282" s="140"/>
      <c r="BD282" s="221"/>
      <c r="BE282" s="140"/>
      <c r="BF282" s="140"/>
      <c r="BG282" s="140"/>
      <c r="BH282" s="140"/>
      <c r="BI282" s="140"/>
      <c r="BJ282" s="140"/>
      <c r="BK282" s="140"/>
      <c r="BL282" s="140"/>
      <c r="BM282" s="140"/>
      <c r="BN282" s="140"/>
      <c r="BO282" s="140"/>
      <c r="BP282" s="140"/>
      <c r="BQ282" s="140"/>
      <c r="BR282" s="140"/>
      <c r="BS282" s="140"/>
      <c r="BT282" s="140"/>
      <c r="BU282" s="140"/>
      <c r="BV282" s="140"/>
      <c r="BW282" s="140"/>
      <c r="BX282" s="140"/>
      <c r="BY282" s="140"/>
    </row>
    <row r="283" ht="15.75" customHeight="1">
      <c r="A283" s="150"/>
      <c r="B283" s="140"/>
      <c r="C283" s="140"/>
      <c r="D283" s="140"/>
      <c r="E283" s="140"/>
      <c r="F283" s="140"/>
      <c r="G283" s="140"/>
      <c r="H283" s="140"/>
      <c r="I283" s="140"/>
      <c r="J283" s="140"/>
      <c r="K283" s="140"/>
      <c r="L283" s="140"/>
      <c r="M283" s="140"/>
      <c r="N283" s="140"/>
      <c r="O283" s="140"/>
      <c r="P283" s="140"/>
      <c r="Q283" s="140"/>
      <c r="R283" s="140"/>
      <c r="S283" s="140"/>
      <c r="T283" s="140"/>
      <c r="U283" s="140"/>
      <c r="V283" s="140"/>
      <c r="W283" s="140"/>
      <c r="X283" s="140"/>
      <c r="Y283" s="140"/>
      <c r="Z283" s="140"/>
      <c r="AA283" s="140"/>
      <c r="AB283" s="140"/>
      <c r="AC283" s="140"/>
      <c r="AD283" s="140"/>
      <c r="AE283" s="140"/>
      <c r="AF283" s="140"/>
      <c r="AG283" s="140"/>
      <c r="AH283" s="140"/>
      <c r="AI283" s="140"/>
      <c r="AJ283" s="140"/>
      <c r="AK283" s="140"/>
      <c r="AL283" s="140"/>
      <c r="AM283" s="140"/>
      <c r="AN283" s="140"/>
      <c r="AO283" s="140"/>
      <c r="AP283" s="140"/>
      <c r="AQ283" s="140"/>
      <c r="AR283" s="140"/>
      <c r="AS283" s="140"/>
      <c r="AT283" s="140"/>
      <c r="AU283" s="140"/>
      <c r="AV283" s="140"/>
      <c r="AW283" s="140"/>
      <c r="AX283" s="140"/>
      <c r="AY283" s="140"/>
      <c r="AZ283" s="140"/>
      <c r="BA283" s="140"/>
      <c r="BB283" s="140"/>
      <c r="BC283" s="140"/>
      <c r="BD283" s="221"/>
      <c r="BE283" s="140"/>
      <c r="BF283" s="140"/>
      <c r="BG283" s="140"/>
      <c r="BH283" s="140"/>
      <c r="BI283" s="140"/>
      <c r="BJ283" s="140"/>
      <c r="BK283" s="140"/>
      <c r="BL283" s="140"/>
      <c r="BM283" s="140"/>
      <c r="BN283" s="140"/>
      <c r="BO283" s="140"/>
      <c r="BP283" s="140"/>
      <c r="BQ283" s="140"/>
      <c r="BR283" s="140"/>
      <c r="BS283" s="140"/>
      <c r="BT283" s="140"/>
      <c r="BU283" s="140"/>
      <c r="BV283" s="140"/>
      <c r="BW283" s="140"/>
      <c r="BX283" s="140"/>
      <c r="BY283" s="140"/>
    </row>
    <row r="284" ht="15.75" customHeight="1">
      <c r="A284" s="150"/>
      <c r="B284" s="150"/>
      <c r="C284" s="150"/>
      <c r="D284" s="150"/>
      <c r="E284" s="150"/>
      <c r="F284" s="150"/>
      <c r="G284" s="150"/>
      <c r="H284" s="150"/>
      <c r="I284" s="150"/>
      <c r="J284" s="150"/>
      <c r="K284" s="150"/>
      <c r="L284" s="150"/>
      <c r="M284" s="150"/>
      <c r="N284" s="150"/>
      <c r="O284" s="150"/>
      <c r="P284" s="150"/>
      <c r="Q284" s="150"/>
      <c r="R284" s="150"/>
      <c r="S284" s="150"/>
      <c r="T284" s="150"/>
      <c r="U284" s="150"/>
      <c r="V284" s="150"/>
      <c r="W284" s="150"/>
      <c r="X284" s="150"/>
      <c r="Y284" s="150"/>
      <c r="Z284" s="150"/>
      <c r="AA284" s="150"/>
      <c r="AB284" s="150"/>
      <c r="AC284" s="150"/>
      <c r="AD284" s="150"/>
      <c r="AE284" s="150"/>
      <c r="AF284" s="150"/>
      <c r="AG284" s="150"/>
      <c r="AH284" s="150"/>
      <c r="AI284" s="150"/>
      <c r="AJ284" s="150"/>
      <c r="AK284" s="150"/>
      <c r="AL284" s="150"/>
      <c r="AM284" s="150"/>
      <c r="AN284" s="150"/>
      <c r="AO284" s="150"/>
      <c r="AP284" s="150"/>
      <c r="AQ284" s="150"/>
      <c r="AR284" s="150"/>
      <c r="AS284" s="150"/>
      <c r="AT284" s="150"/>
      <c r="AU284" s="150"/>
      <c r="AV284" s="150"/>
      <c r="AW284" s="150"/>
      <c r="AX284" s="223"/>
      <c r="AY284" s="223"/>
      <c r="AZ284" s="223"/>
      <c r="BA284" s="223"/>
      <c r="BB284" s="223"/>
      <c r="BC284" s="223"/>
      <c r="BD284" s="224"/>
      <c r="BE284" s="225"/>
      <c r="BF284" s="223"/>
      <c r="BG284" s="225"/>
      <c r="BH284" s="150"/>
      <c r="BI284" s="150"/>
      <c r="BJ284" s="150"/>
      <c r="BK284" s="150"/>
      <c r="BL284" s="150"/>
      <c r="BM284" s="150"/>
      <c r="BN284" s="150"/>
      <c r="BO284" s="150"/>
      <c r="BP284" s="150"/>
      <c r="BQ284" s="150"/>
      <c r="BR284" s="150"/>
      <c r="BS284" s="150"/>
      <c r="BT284" s="150"/>
      <c r="BU284" s="150"/>
      <c r="BV284" s="150"/>
      <c r="BW284" s="150"/>
      <c r="BX284" s="150"/>
      <c r="BY284" s="150"/>
    </row>
    <row r="285" ht="15.75" customHeight="1">
      <c r="A285" s="150"/>
      <c r="B285" s="150"/>
      <c r="C285" s="150"/>
      <c r="D285" s="150"/>
      <c r="E285" s="150"/>
      <c r="F285" s="150"/>
      <c r="G285" s="150"/>
      <c r="H285" s="150"/>
      <c r="I285" s="150"/>
      <c r="J285" s="150"/>
      <c r="K285" s="150"/>
      <c r="L285" s="150"/>
      <c r="M285" s="150"/>
      <c r="N285" s="150"/>
      <c r="O285" s="150"/>
      <c r="P285" s="150"/>
      <c r="Q285" s="150"/>
      <c r="R285" s="150"/>
      <c r="S285" s="150"/>
      <c r="T285" s="150"/>
      <c r="U285" s="150"/>
      <c r="V285" s="150"/>
      <c r="W285" s="150"/>
      <c r="X285" s="150"/>
      <c r="Y285" s="150"/>
      <c r="Z285" s="150"/>
      <c r="AA285" s="150"/>
      <c r="AB285" s="150"/>
      <c r="AC285" s="150"/>
      <c r="AD285" s="150"/>
      <c r="AE285" s="150"/>
      <c r="AF285" s="150"/>
      <c r="AG285" s="150"/>
      <c r="AH285" s="150"/>
      <c r="AI285" s="150"/>
      <c r="AJ285" s="150"/>
      <c r="AK285" s="150"/>
      <c r="AL285" s="150"/>
      <c r="AM285" s="150"/>
      <c r="AN285" s="150"/>
      <c r="AO285" s="150"/>
      <c r="AP285" s="150"/>
      <c r="AQ285" s="150"/>
      <c r="AR285" s="150"/>
      <c r="AS285" s="150"/>
      <c r="AT285" s="150"/>
      <c r="AU285" s="150"/>
      <c r="AV285" s="150"/>
      <c r="AW285" s="150"/>
      <c r="AX285" s="223"/>
      <c r="AY285" s="223"/>
      <c r="AZ285" s="223"/>
      <c r="BA285" s="223"/>
      <c r="BB285" s="223"/>
      <c r="BC285" s="223"/>
      <c r="BD285" s="224"/>
      <c r="BE285" s="223"/>
      <c r="BF285" s="223"/>
      <c r="BG285" s="223"/>
      <c r="BH285" s="150"/>
      <c r="BI285" s="150"/>
      <c r="BJ285" s="150"/>
      <c r="BK285" s="150"/>
      <c r="BL285" s="150"/>
      <c r="BM285" s="150"/>
      <c r="BN285" s="150"/>
      <c r="BO285" s="150"/>
      <c r="BP285" s="150"/>
      <c r="BQ285" s="150"/>
      <c r="BR285" s="150"/>
      <c r="BS285" s="150"/>
      <c r="BT285" s="150"/>
      <c r="BU285" s="150"/>
      <c r="BV285" s="150"/>
      <c r="BW285" s="150"/>
      <c r="BX285" s="150"/>
      <c r="BY285" s="150"/>
    </row>
    <row r="286" ht="15.75" customHeight="1">
      <c r="A286" s="150"/>
      <c r="B286" s="150"/>
      <c r="C286" s="150"/>
      <c r="D286" s="150"/>
      <c r="E286" s="150"/>
      <c r="F286" s="150"/>
      <c r="G286" s="150"/>
      <c r="H286" s="150"/>
      <c r="I286" s="150"/>
      <c r="J286" s="150"/>
      <c r="K286" s="150"/>
      <c r="L286" s="150"/>
      <c r="M286" s="150"/>
      <c r="N286" s="150"/>
      <c r="O286" s="150"/>
      <c r="P286" s="150"/>
      <c r="Q286" s="150"/>
      <c r="R286" s="150"/>
      <c r="S286" s="150"/>
      <c r="T286" s="150"/>
      <c r="U286" s="150"/>
      <c r="V286" s="150"/>
      <c r="W286" s="150"/>
      <c r="X286" s="150"/>
      <c r="Y286" s="150"/>
      <c r="Z286" s="150"/>
      <c r="AA286" s="150"/>
      <c r="AB286" s="150"/>
      <c r="AC286" s="150"/>
      <c r="AD286" s="150"/>
      <c r="AE286" s="150"/>
      <c r="AF286" s="150"/>
      <c r="AG286" s="150"/>
      <c r="AH286" s="150"/>
      <c r="AI286" s="150"/>
      <c r="AJ286" s="150"/>
      <c r="AK286" s="150"/>
      <c r="AL286" s="150"/>
      <c r="AM286" s="150"/>
      <c r="AN286" s="150"/>
      <c r="AO286" s="150"/>
      <c r="AP286" s="150"/>
      <c r="AQ286" s="150"/>
      <c r="AR286" s="150"/>
      <c r="AS286" s="150"/>
      <c r="AT286" s="150"/>
      <c r="AU286" s="150"/>
      <c r="AV286" s="150"/>
      <c r="AW286" s="150"/>
      <c r="AX286" s="223"/>
      <c r="AY286" s="223"/>
      <c r="AZ286" s="223"/>
      <c r="BA286" s="223"/>
      <c r="BB286" s="223"/>
      <c r="BC286" s="223"/>
      <c r="BD286" s="224"/>
      <c r="BE286" s="223"/>
      <c r="BF286" s="223"/>
      <c r="BG286" s="223"/>
      <c r="BH286" s="150"/>
      <c r="BI286" s="150"/>
      <c r="BJ286" s="150"/>
      <c r="BK286" s="150"/>
      <c r="BL286" s="150"/>
      <c r="BM286" s="150"/>
      <c r="BN286" s="150"/>
      <c r="BO286" s="150"/>
      <c r="BP286" s="150"/>
      <c r="BQ286" s="150"/>
      <c r="BR286" s="150"/>
      <c r="BS286" s="150"/>
      <c r="BT286" s="150"/>
      <c r="BU286" s="150"/>
      <c r="BV286" s="150"/>
      <c r="BW286" s="150"/>
      <c r="BX286" s="150"/>
      <c r="BY286" s="150"/>
    </row>
    <row r="287" ht="15.75" customHeight="1">
      <c r="A287" s="150"/>
      <c r="B287" s="150"/>
      <c r="C287" s="150"/>
      <c r="D287" s="150"/>
      <c r="E287" s="150"/>
      <c r="F287" s="150"/>
      <c r="G287" s="150"/>
      <c r="H287" s="150"/>
      <c r="I287" s="150"/>
      <c r="J287" s="150"/>
      <c r="K287" s="150"/>
      <c r="L287" s="150"/>
      <c r="M287" s="150"/>
      <c r="N287" s="150"/>
      <c r="O287" s="150"/>
      <c r="P287" s="150"/>
      <c r="Q287" s="150"/>
      <c r="R287" s="150"/>
      <c r="S287" s="150"/>
      <c r="T287" s="150"/>
      <c r="U287" s="150"/>
      <c r="V287" s="150"/>
      <c r="W287" s="150"/>
      <c r="X287" s="150"/>
      <c r="Y287" s="150"/>
      <c r="Z287" s="150"/>
      <c r="AA287" s="150"/>
      <c r="AB287" s="150"/>
      <c r="AC287" s="150"/>
      <c r="AD287" s="150"/>
      <c r="AE287" s="150"/>
      <c r="AF287" s="150"/>
      <c r="AG287" s="150"/>
      <c r="AH287" s="150"/>
      <c r="AI287" s="150"/>
      <c r="AJ287" s="150"/>
      <c r="AK287" s="150"/>
      <c r="AL287" s="150"/>
      <c r="AM287" s="150"/>
      <c r="AN287" s="150"/>
      <c r="AO287" s="150"/>
      <c r="AP287" s="150"/>
      <c r="AQ287" s="150"/>
      <c r="AR287" s="150"/>
      <c r="AS287" s="150"/>
      <c r="AT287" s="150"/>
      <c r="AU287" s="150"/>
      <c r="AV287" s="150"/>
      <c r="AW287" s="150"/>
      <c r="AX287" s="223"/>
      <c r="AY287" s="223"/>
      <c r="AZ287" s="223"/>
      <c r="BA287" s="223"/>
      <c r="BB287" s="223"/>
      <c r="BC287" s="223"/>
      <c r="BD287" s="224"/>
      <c r="BE287" s="223"/>
      <c r="BF287" s="223"/>
      <c r="BG287" s="223"/>
      <c r="BH287" s="150"/>
      <c r="BI287" s="150"/>
      <c r="BJ287" s="150"/>
      <c r="BK287" s="150"/>
      <c r="BL287" s="150"/>
      <c r="BM287" s="150"/>
      <c r="BN287" s="150"/>
      <c r="BO287" s="150"/>
      <c r="BP287" s="150"/>
      <c r="BQ287" s="150"/>
      <c r="BR287" s="150"/>
      <c r="BS287" s="150"/>
      <c r="BT287" s="150"/>
      <c r="BU287" s="150"/>
      <c r="BV287" s="150"/>
      <c r="BW287" s="150"/>
      <c r="BX287" s="150"/>
      <c r="BY287" s="150"/>
    </row>
    <row r="288" ht="15.75" customHeight="1">
      <c r="A288" s="150"/>
      <c r="B288" s="150"/>
      <c r="C288" s="150"/>
      <c r="D288" s="150"/>
      <c r="E288" s="150"/>
      <c r="F288" s="150"/>
      <c r="G288" s="150"/>
      <c r="H288" s="150"/>
      <c r="I288" s="150"/>
      <c r="J288" s="150"/>
      <c r="K288" s="150"/>
      <c r="L288" s="150"/>
      <c r="M288" s="150"/>
      <c r="N288" s="150"/>
      <c r="O288" s="150"/>
      <c r="P288" s="150"/>
      <c r="Q288" s="150"/>
      <c r="R288" s="150"/>
      <c r="S288" s="150"/>
      <c r="T288" s="150"/>
      <c r="U288" s="150"/>
      <c r="V288" s="150"/>
      <c r="W288" s="150"/>
      <c r="X288" s="150"/>
      <c r="Y288" s="150"/>
      <c r="Z288" s="150"/>
      <c r="AA288" s="150"/>
      <c r="AB288" s="150"/>
      <c r="AC288" s="150"/>
      <c r="AD288" s="150"/>
      <c r="AE288" s="150"/>
      <c r="AF288" s="150"/>
      <c r="AG288" s="150"/>
      <c r="AH288" s="150"/>
      <c r="AI288" s="150"/>
      <c r="AJ288" s="150"/>
      <c r="AK288" s="150"/>
      <c r="AL288" s="150"/>
      <c r="AM288" s="150"/>
      <c r="AN288" s="150"/>
      <c r="AO288" s="150"/>
      <c r="AP288" s="150"/>
      <c r="AQ288" s="150"/>
      <c r="AR288" s="150"/>
      <c r="AS288" s="150"/>
      <c r="AT288" s="150"/>
      <c r="AU288" s="150"/>
      <c r="AV288" s="150"/>
      <c r="AW288" s="150"/>
      <c r="AX288" s="223"/>
      <c r="AY288" s="223"/>
      <c r="AZ288" s="223"/>
      <c r="BA288" s="223"/>
      <c r="BB288" s="223"/>
      <c r="BC288" s="223"/>
      <c r="BD288" s="224"/>
      <c r="BE288" s="223"/>
      <c r="BF288" s="223"/>
      <c r="BG288" s="223"/>
      <c r="BH288" s="150"/>
      <c r="BI288" s="150"/>
      <c r="BJ288" s="150"/>
      <c r="BK288" s="150"/>
      <c r="BL288" s="150"/>
      <c r="BM288" s="150"/>
      <c r="BN288" s="150"/>
      <c r="BO288" s="150"/>
      <c r="BP288" s="150"/>
      <c r="BQ288" s="150"/>
      <c r="BR288" s="150"/>
      <c r="BS288" s="150"/>
      <c r="BT288" s="150"/>
      <c r="BU288" s="150"/>
      <c r="BV288" s="150"/>
      <c r="BW288" s="150"/>
      <c r="BX288" s="150"/>
      <c r="BY288" s="150"/>
    </row>
    <row r="289" ht="15.75" customHeight="1">
      <c r="A289" s="150"/>
      <c r="B289" s="150"/>
      <c r="C289" s="150"/>
      <c r="D289" s="150"/>
      <c r="E289" s="150"/>
      <c r="F289" s="150"/>
      <c r="G289" s="150"/>
      <c r="H289" s="150"/>
      <c r="I289" s="150"/>
      <c r="J289" s="150"/>
      <c r="K289" s="150"/>
      <c r="L289" s="150"/>
      <c r="M289" s="150"/>
      <c r="N289" s="150"/>
      <c r="O289" s="150"/>
      <c r="P289" s="150"/>
      <c r="Q289" s="150"/>
      <c r="R289" s="150"/>
      <c r="S289" s="150"/>
      <c r="T289" s="150"/>
      <c r="U289" s="150"/>
      <c r="V289" s="150"/>
      <c r="W289" s="150"/>
      <c r="X289" s="150"/>
      <c r="Y289" s="150"/>
      <c r="Z289" s="150"/>
      <c r="AA289" s="150"/>
      <c r="AB289" s="150"/>
      <c r="AC289" s="150"/>
      <c r="AD289" s="150"/>
      <c r="AE289" s="150"/>
      <c r="AF289" s="150"/>
      <c r="AG289" s="150"/>
      <c r="AH289" s="150"/>
      <c r="AI289" s="150"/>
      <c r="AJ289" s="150"/>
      <c r="AK289" s="150"/>
      <c r="AL289" s="150"/>
      <c r="AM289" s="150"/>
      <c r="AN289" s="150"/>
      <c r="AO289" s="150"/>
      <c r="AP289" s="150"/>
      <c r="AQ289" s="150"/>
      <c r="AR289" s="150"/>
      <c r="AS289" s="150"/>
      <c r="AT289" s="150"/>
      <c r="AU289" s="150"/>
      <c r="AV289" s="150"/>
      <c r="AW289" s="150"/>
      <c r="AX289" s="223"/>
      <c r="AY289" s="223"/>
      <c r="AZ289" s="223"/>
      <c r="BA289" s="223"/>
      <c r="BB289" s="223"/>
      <c r="BC289" s="223"/>
      <c r="BD289" s="224"/>
      <c r="BE289" s="223"/>
      <c r="BF289" s="223"/>
      <c r="BG289" s="223"/>
      <c r="BH289" s="150"/>
      <c r="BI289" s="150"/>
      <c r="BJ289" s="150"/>
      <c r="BK289" s="150"/>
      <c r="BL289" s="150"/>
      <c r="BM289" s="150"/>
      <c r="BN289" s="150"/>
      <c r="BO289" s="150"/>
      <c r="BP289" s="150"/>
      <c r="BQ289" s="150"/>
      <c r="BR289" s="150"/>
      <c r="BS289" s="150"/>
      <c r="BT289" s="150"/>
      <c r="BU289" s="150"/>
      <c r="BV289" s="150"/>
      <c r="BW289" s="150"/>
      <c r="BX289" s="150"/>
      <c r="BY289" s="150"/>
    </row>
    <row r="290" ht="15.75" customHeight="1">
      <c r="A290" s="150"/>
      <c r="B290" s="150"/>
      <c r="C290" s="150"/>
      <c r="D290" s="150"/>
      <c r="E290" s="150"/>
      <c r="F290" s="150"/>
      <c r="G290" s="150"/>
      <c r="H290" s="150"/>
      <c r="I290" s="150"/>
      <c r="J290" s="150"/>
      <c r="K290" s="150"/>
      <c r="L290" s="150"/>
      <c r="M290" s="150"/>
      <c r="N290" s="150"/>
      <c r="O290" s="150"/>
      <c r="P290" s="150"/>
      <c r="Q290" s="150"/>
      <c r="R290" s="150"/>
      <c r="S290" s="150"/>
      <c r="T290" s="150"/>
      <c r="U290" s="150"/>
      <c r="V290" s="150"/>
      <c r="W290" s="150"/>
      <c r="X290" s="150"/>
      <c r="Y290" s="150"/>
      <c r="Z290" s="150"/>
      <c r="AA290" s="150"/>
      <c r="AB290" s="150"/>
      <c r="AC290" s="150"/>
      <c r="AD290" s="150"/>
      <c r="AE290" s="150"/>
      <c r="AF290" s="150"/>
      <c r="AG290" s="150"/>
      <c r="AH290" s="150"/>
      <c r="AI290" s="150"/>
      <c r="AJ290" s="150"/>
      <c r="AK290" s="150"/>
      <c r="AL290" s="150"/>
      <c r="AM290" s="150"/>
      <c r="AN290" s="150"/>
      <c r="AO290" s="150"/>
      <c r="AP290" s="150"/>
      <c r="AQ290" s="150"/>
      <c r="AR290" s="150"/>
      <c r="AS290" s="150"/>
      <c r="AT290" s="150"/>
      <c r="AU290" s="150"/>
      <c r="AV290" s="150"/>
      <c r="AW290" s="150"/>
      <c r="AX290" s="223"/>
      <c r="AY290" s="223"/>
      <c r="AZ290" s="223"/>
      <c r="BA290" s="223"/>
      <c r="BB290" s="223"/>
      <c r="BC290" s="223"/>
      <c r="BD290" s="224"/>
      <c r="BE290" s="223"/>
      <c r="BF290" s="223"/>
      <c r="BG290" s="223"/>
      <c r="BH290" s="150"/>
      <c r="BI290" s="150"/>
      <c r="BJ290" s="150"/>
      <c r="BK290" s="150"/>
      <c r="BL290" s="150"/>
      <c r="BM290" s="150"/>
      <c r="BN290" s="150"/>
      <c r="BO290" s="150"/>
      <c r="BP290" s="150"/>
      <c r="BQ290" s="150"/>
      <c r="BR290" s="150"/>
      <c r="BS290" s="150"/>
      <c r="BT290" s="150"/>
      <c r="BU290" s="150"/>
      <c r="BV290" s="150"/>
      <c r="BW290" s="150"/>
      <c r="BX290" s="150"/>
      <c r="BY290" s="150"/>
    </row>
    <row r="291" ht="15.75" customHeight="1">
      <c r="A291" s="150"/>
      <c r="B291" s="150"/>
      <c r="C291" s="150"/>
      <c r="D291" s="150"/>
      <c r="E291" s="150"/>
      <c r="F291" s="150"/>
      <c r="G291" s="150"/>
      <c r="H291" s="150"/>
      <c r="I291" s="150"/>
      <c r="J291" s="150"/>
      <c r="K291" s="150"/>
      <c r="L291" s="150"/>
      <c r="M291" s="150"/>
      <c r="N291" s="150"/>
      <c r="O291" s="150"/>
      <c r="P291" s="150"/>
      <c r="Q291" s="150"/>
      <c r="R291" s="150"/>
      <c r="S291" s="150"/>
      <c r="T291" s="150"/>
      <c r="U291" s="150"/>
      <c r="V291" s="150"/>
      <c r="W291" s="150"/>
      <c r="X291" s="150"/>
      <c r="Y291" s="150"/>
      <c r="Z291" s="150"/>
      <c r="AA291" s="150"/>
      <c r="AB291" s="150"/>
      <c r="AC291" s="150"/>
      <c r="AD291" s="150"/>
      <c r="AE291" s="150"/>
      <c r="AF291" s="150"/>
      <c r="AG291" s="150"/>
      <c r="AH291" s="150"/>
      <c r="AI291" s="150"/>
      <c r="AJ291" s="150"/>
      <c r="AK291" s="150"/>
      <c r="AL291" s="150"/>
      <c r="AM291" s="150"/>
      <c r="AN291" s="150"/>
      <c r="AO291" s="150"/>
      <c r="AP291" s="150"/>
      <c r="AQ291" s="150"/>
      <c r="AR291" s="150"/>
      <c r="AS291" s="150"/>
      <c r="AT291" s="150"/>
      <c r="AU291" s="150"/>
      <c r="AV291" s="150"/>
      <c r="AW291" s="150"/>
      <c r="AX291" s="223"/>
      <c r="AY291" s="223"/>
      <c r="AZ291" s="223"/>
      <c r="BA291" s="223"/>
      <c r="BB291" s="223"/>
      <c r="BC291" s="223"/>
      <c r="BD291" s="224"/>
      <c r="BE291" s="223"/>
      <c r="BF291" s="223"/>
      <c r="BG291" s="223"/>
      <c r="BH291" s="150"/>
      <c r="BI291" s="150"/>
      <c r="BJ291" s="150"/>
      <c r="BK291" s="150"/>
      <c r="BL291" s="150"/>
      <c r="BM291" s="150"/>
      <c r="BN291" s="150"/>
      <c r="BO291" s="150"/>
      <c r="BP291" s="150"/>
      <c r="BQ291" s="150"/>
      <c r="BR291" s="150"/>
      <c r="BS291" s="150"/>
      <c r="BT291" s="150"/>
      <c r="BU291" s="150"/>
      <c r="BV291" s="150"/>
      <c r="BW291" s="150"/>
      <c r="BX291" s="150"/>
      <c r="BY291" s="150"/>
    </row>
    <row r="292" ht="15.75" customHeight="1">
      <c r="A292" s="150"/>
      <c r="B292" s="150"/>
      <c r="C292" s="150"/>
      <c r="D292" s="150"/>
      <c r="E292" s="150"/>
      <c r="F292" s="150"/>
      <c r="G292" s="150"/>
      <c r="H292" s="150"/>
      <c r="I292" s="150"/>
      <c r="J292" s="150"/>
      <c r="K292" s="150"/>
      <c r="L292" s="150"/>
      <c r="M292" s="150"/>
      <c r="N292" s="150"/>
      <c r="O292" s="150"/>
      <c r="P292" s="150"/>
      <c r="Q292" s="150"/>
      <c r="R292" s="150"/>
      <c r="S292" s="150"/>
      <c r="T292" s="150"/>
      <c r="U292" s="150"/>
      <c r="V292" s="150"/>
      <c r="W292" s="150"/>
      <c r="X292" s="150"/>
      <c r="Y292" s="150"/>
      <c r="Z292" s="150"/>
      <c r="AA292" s="150"/>
      <c r="AB292" s="150"/>
      <c r="AC292" s="150"/>
      <c r="AD292" s="150"/>
      <c r="AE292" s="150"/>
      <c r="AF292" s="150"/>
      <c r="AG292" s="150"/>
      <c r="AH292" s="150"/>
      <c r="AI292" s="150"/>
      <c r="AJ292" s="150"/>
      <c r="AK292" s="150"/>
      <c r="AL292" s="150"/>
      <c r="AM292" s="150"/>
      <c r="AN292" s="150"/>
      <c r="AO292" s="150"/>
      <c r="AP292" s="150"/>
      <c r="AQ292" s="150"/>
      <c r="AR292" s="150"/>
      <c r="AS292" s="150"/>
      <c r="AT292" s="150"/>
      <c r="AU292" s="150"/>
      <c r="AV292" s="150"/>
      <c r="AW292" s="150"/>
      <c r="AX292" s="223"/>
      <c r="AY292" s="223"/>
      <c r="AZ292" s="223"/>
      <c r="BA292" s="223"/>
      <c r="BB292" s="223"/>
      <c r="BC292" s="223"/>
      <c r="BD292" s="224"/>
      <c r="BE292" s="223"/>
      <c r="BF292" s="223"/>
      <c r="BG292" s="223"/>
      <c r="BH292" s="150"/>
      <c r="BI292" s="150"/>
      <c r="BJ292" s="150"/>
      <c r="BK292" s="150"/>
      <c r="BL292" s="150"/>
      <c r="BM292" s="150"/>
      <c r="BN292" s="150"/>
      <c r="BO292" s="150"/>
      <c r="BP292" s="150"/>
      <c r="BQ292" s="150"/>
      <c r="BR292" s="150"/>
      <c r="BS292" s="150"/>
      <c r="BT292" s="150"/>
      <c r="BU292" s="150"/>
      <c r="BV292" s="150"/>
      <c r="BW292" s="150"/>
      <c r="BX292" s="150"/>
      <c r="BY292" s="150"/>
    </row>
    <row r="293" ht="15.75" customHeight="1">
      <c r="A293" s="150"/>
      <c r="B293" s="150"/>
      <c r="C293" s="150"/>
      <c r="D293" s="150"/>
      <c r="E293" s="150"/>
      <c r="F293" s="150"/>
      <c r="G293" s="150"/>
      <c r="H293" s="150"/>
      <c r="I293" s="150"/>
      <c r="J293" s="150"/>
      <c r="K293" s="150"/>
      <c r="L293" s="150"/>
      <c r="M293" s="150"/>
      <c r="N293" s="150"/>
      <c r="O293" s="150"/>
      <c r="P293" s="150"/>
      <c r="Q293" s="150"/>
      <c r="R293" s="150"/>
      <c r="S293" s="150"/>
      <c r="T293" s="150"/>
      <c r="U293" s="150"/>
      <c r="V293" s="150"/>
      <c r="W293" s="150"/>
      <c r="X293" s="150"/>
      <c r="Y293" s="150"/>
      <c r="Z293" s="150"/>
      <c r="AA293" s="150"/>
      <c r="AB293" s="150"/>
      <c r="AC293" s="150"/>
      <c r="AD293" s="150"/>
      <c r="AE293" s="150"/>
      <c r="AF293" s="150"/>
      <c r="AG293" s="150"/>
      <c r="AH293" s="150"/>
      <c r="AI293" s="150"/>
      <c r="AJ293" s="150"/>
      <c r="AK293" s="150"/>
      <c r="AL293" s="150"/>
      <c r="AM293" s="150"/>
      <c r="AN293" s="150"/>
      <c r="AO293" s="150"/>
      <c r="AP293" s="150"/>
      <c r="AQ293" s="150"/>
      <c r="AR293" s="150"/>
      <c r="AS293" s="150"/>
      <c r="AT293" s="150"/>
      <c r="AU293" s="150"/>
      <c r="AV293" s="150"/>
      <c r="AW293" s="150"/>
      <c r="AX293" s="223"/>
      <c r="AY293" s="223"/>
      <c r="AZ293" s="223"/>
      <c r="BA293" s="223"/>
      <c r="BB293" s="223"/>
      <c r="BC293" s="223"/>
      <c r="BD293" s="224"/>
      <c r="BE293" s="223"/>
      <c r="BF293" s="223"/>
      <c r="BG293" s="223"/>
      <c r="BH293" s="150"/>
      <c r="BI293" s="150"/>
      <c r="BJ293" s="150"/>
      <c r="BK293" s="150"/>
      <c r="BL293" s="150"/>
      <c r="BM293" s="150"/>
      <c r="BN293" s="150"/>
      <c r="BO293" s="150"/>
      <c r="BP293" s="150"/>
      <c r="BQ293" s="150"/>
      <c r="BR293" s="150"/>
      <c r="BS293" s="150"/>
      <c r="BT293" s="150"/>
      <c r="BU293" s="150"/>
      <c r="BV293" s="150"/>
      <c r="BW293" s="150"/>
      <c r="BX293" s="150"/>
      <c r="BY293" s="150"/>
    </row>
    <row r="294" ht="15.75" customHeight="1">
      <c r="A294" s="150"/>
      <c r="B294" s="150"/>
      <c r="C294" s="150"/>
      <c r="D294" s="150"/>
      <c r="E294" s="150"/>
      <c r="F294" s="150"/>
      <c r="G294" s="150"/>
      <c r="H294" s="150"/>
      <c r="I294" s="150"/>
      <c r="J294" s="150"/>
      <c r="K294" s="150"/>
      <c r="L294" s="150"/>
      <c r="M294" s="150"/>
      <c r="N294" s="150"/>
      <c r="O294" s="150"/>
      <c r="P294" s="150"/>
      <c r="Q294" s="150"/>
      <c r="R294" s="150"/>
      <c r="S294" s="150"/>
      <c r="T294" s="150"/>
      <c r="U294" s="150"/>
      <c r="V294" s="150"/>
      <c r="W294" s="150"/>
      <c r="X294" s="150"/>
      <c r="Y294" s="150"/>
      <c r="Z294" s="150"/>
      <c r="AA294" s="150"/>
      <c r="AB294" s="150"/>
      <c r="AC294" s="150"/>
      <c r="AD294" s="150"/>
      <c r="AE294" s="150"/>
      <c r="AF294" s="150"/>
      <c r="AG294" s="150"/>
      <c r="AH294" s="150"/>
      <c r="AI294" s="150"/>
      <c r="AJ294" s="150"/>
      <c r="AK294" s="150"/>
      <c r="AL294" s="150"/>
      <c r="AM294" s="150"/>
      <c r="AN294" s="150"/>
      <c r="AO294" s="150"/>
      <c r="AP294" s="150"/>
      <c r="AQ294" s="150"/>
      <c r="AR294" s="150"/>
      <c r="AS294" s="150"/>
      <c r="AT294" s="150"/>
      <c r="AU294" s="150"/>
      <c r="AV294" s="150"/>
      <c r="AW294" s="150"/>
      <c r="AX294" s="223"/>
      <c r="AY294" s="223"/>
      <c r="AZ294" s="223"/>
      <c r="BA294" s="223"/>
      <c r="BB294" s="223"/>
      <c r="BC294" s="223"/>
      <c r="BD294" s="224"/>
      <c r="BE294" s="223"/>
      <c r="BF294" s="223"/>
      <c r="BG294" s="223"/>
      <c r="BH294" s="150"/>
      <c r="BI294" s="150"/>
      <c r="BJ294" s="150"/>
      <c r="BK294" s="150"/>
      <c r="BL294" s="150"/>
      <c r="BM294" s="150"/>
      <c r="BN294" s="150"/>
      <c r="BO294" s="150"/>
      <c r="BP294" s="150"/>
      <c r="BQ294" s="150"/>
      <c r="BR294" s="150"/>
      <c r="BS294" s="150"/>
      <c r="BT294" s="150"/>
      <c r="BU294" s="150"/>
      <c r="BV294" s="150"/>
      <c r="BW294" s="150"/>
      <c r="BX294" s="150"/>
      <c r="BY294" s="150"/>
    </row>
    <row r="295" ht="15.75" customHeight="1">
      <c r="A295" s="150"/>
      <c r="B295" s="150"/>
      <c r="C295" s="150"/>
      <c r="D295" s="150"/>
      <c r="E295" s="150"/>
      <c r="F295" s="150"/>
      <c r="G295" s="150"/>
      <c r="H295" s="150"/>
      <c r="I295" s="150"/>
      <c r="J295" s="150"/>
      <c r="K295" s="150"/>
      <c r="L295" s="150"/>
      <c r="M295" s="150"/>
      <c r="N295" s="150"/>
      <c r="O295" s="150"/>
      <c r="P295" s="150"/>
      <c r="Q295" s="150"/>
      <c r="R295" s="150"/>
      <c r="S295" s="150"/>
      <c r="T295" s="150"/>
      <c r="U295" s="150"/>
      <c r="V295" s="150"/>
      <c r="W295" s="150"/>
      <c r="X295" s="150"/>
      <c r="Y295" s="150"/>
      <c r="Z295" s="150"/>
      <c r="AA295" s="150"/>
      <c r="AB295" s="150"/>
      <c r="AC295" s="150"/>
      <c r="AD295" s="150"/>
      <c r="AE295" s="150"/>
      <c r="AF295" s="150"/>
      <c r="AG295" s="150"/>
      <c r="AH295" s="150"/>
      <c r="AI295" s="150"/>
      <c r="AJ295" s="150"/>
      <c r="AK295" s="150"/>
      <c r="AL295" s="150"/>
      <c r="AM295" s="150"/>
      <c r="AN295" s="150"/>
      <c r="AO295" s="150"/>
      <c r="AP295" s="150"/>
      <c r="AQ295" s="150"/>
      <c r="AR295" s="150"/>
      <c r="AS295" s="150"/>
      <c r="AT295" s="150"/>
      <c r="AU295" s="150"/>
      <c r="AV295" s="150"/>
      <c r="AW295" s="150"/>
      <c r="AX295" s="223"/>
      <c r="AY295" s="223"/>
      <c r="AZ295" s="223"/>
      <c r="BA295" s="223"/>
      <c r="BB295" s="223"/>
      <c r="BC295" s="223"/>
      <c r="BD295" s="224"/>
      <c r="BE295" s="223"/>
      <c r="BF295" s="223"/>
      <c r="BG295" s="223"/>
      <c r="BH295" s="150"/>
      <c r="BI295" s="150"/>
      <c r="BJ295" s="150"/>
      <c r="BK295" s="150"/>
      <c r="BL295" s="150"/>
      <c r="BM295" s="150"/>
      <c r="BN295" s="150"/>
      <c r="BO295" s="150"/>
      <c r="BP295" s="150"/>
      <c r="BQ295" s="150"/>
      <c r="BR295" s="150"/>
      <c r="BS295" s="150"/>
      <c r="BT295" s="150"/>
      <c r="BU295" s="150"/>
      <c r="BV295" s="150"/>
      <c r="BW295" s="150"/>
      <c r="BX295" s="150"/>
      <c r="BY295" s="150"/>
    </row>
    <row r="296" ht="15.75" customHeight="1">
      <c r="A296" s="150"/>
      <c r="B296" s="150"/>
      <c r="C296" s="150"/>
      <c r="D296" s="150"/>
      <c r="E296" s="150"/>
      <c r="F296" s="150"/>
      <c r="G296" s="150"/>
      <c r="H296" s="150"/>
      <c r="I296" s="150"/>
      <c r="J296" s="150"/>
      <c r="K296" s="150"/>
      <c r="L296" s="150"/>
      <c r="M296" s="150"/>
      <c r="N296" s="150"/>
      <c r="O296" s="150"/>
      <c r="P296" s="150"/>
      <c r="Q296" s="150"/>
      <c r="R296" s="150"/>
      <c r="S296" s="150"/>
      <c r="T296" s="150"/>
      <c r="U296" s="150"/>
      <c r="V296" s="150"/>
      <c r="W296" s="150"/>
      <c r="X296" s="150"/>
      <c r="Y296" s="150"/>
      <c r="Z296" s="150"/>
      <c r="AA296" s="150"/>
      <c r="AB296" s="150"/>
      <c r="AC296" s="150"/>
      <c r="AD296" s="150"/>
      <c r="AE296" s="150"/>
      <c r="AF296" s="150"/>
      <c r="AG296" s="150"/>
      <c r="AH296" s="150"/>
      <c r="AI296" s="150"/>
      <c r="AJ296" s="150"/>
      <c r="AK296" s="150"/>
      <c r="AL296" s="150"/>
      <c r="AM296" s="150"/>
      <c r="AN296" s="150"/>
      <c r="AO296" s="150"/>
      <c r="AP296" s="150"/>
      <c r="AQ296" s="150"/>
      <c r="AR296" s="150"/>
      <c r="AS296" s="150"/>
      <c r="AT296" s="150"/>
      <c r="AU296" s="150"/>
      <c r="AV296" s="150"/>
      <c r="AW296" s="150"/>
      <c r="AX296" s="223"/>
      <c r="AY296" s="223"/>
      <c r="AZ296" s="223"/>
      <c r="BA296" s="223"/>
      <c r="BB296" s="223"/>
      <c r="BC296" s="223"/>
      <c r="BD296" s="224"/>
      <c r="BE296" s="223"/>
      <c r="BF296" s="223"/>
      <c r="BG296" s="223"/>
      <c r="BH296" s="150"/>
      <c r="BI296" s="150"/>
      <c r="BJ296" s="150"/>
      <c r="BK296" s="150"/>
      <c r="BL296" s="150"/>
      <c r="BM296" s="150"/>
      <c r="BN296" s="150"/>
      <c r="BO296" s="150"/>
      <c r="BP296" s="150"/>
      <c r="BQ296" s="150"/>
      <c r="BR296" s="150"/>
      <c r="BS296" s="150"/>
      <c r="BT296" s="150"/>
      <c r="BU296" s="150"/>
      <c r="BV296" s="150"/>
      <c r="BW296" s="150"/>
      <c r="BX296" s="150"/>
      <c r="BY296" s="150"/>
    </row>
    <row r="297" ht="15.75" customHeight="1">
      <c r="A297" s="150"/>
      <c r="B297" s="150"/>
      <c r="C297" s="150"/>
      <c r="D297" s="150"/>
      <c r="E297" s="150"/>
      <c r="F297" s="150"/>
      <c r="G297" s="150"/>
      <c r="H297" s="150"/>
      <c r="I297" s="150"/>
      <c r="J297" s="150"/>
      <c r="K297" s="150"/>
      <c r="L297" s="150"/>
      <c r="M297" s="150"/>
      <c r="N297" s="150"/>
      <c r="O297" s="150"/>
      <c r="P297" s="150"/>
      <c r="Q297" s="150"/>
      <c r="R297" s="150"/>
      <c r="S297" s="150"/>
      <c r="T297" s="150"/>
      <c r="U297" s="150"/>
      <c r="V297" s="150"/>
      <c r="W297" s="150"/>
      <c r="X297" s="150"/>
      <c r="Y297" s="150"/>
      <c r="Z297" s="150"/>
      <c r="AA297" s="150"/>
      <c r="AB297" s="150"/>
      <c r="AC297" s="150"/>
      <c r="AD297" s="150"/>
      <c r="AE297" s="150"/>
      <c r="AF297" s="150"/>
      <c r="AG297" s="150"/>
      <c r="AH297" s="150"/>
      <c r="AI297" s="150"/>
      <c r="AJ297" s="150"/>
      <c r="AK297" s="150"/>
      <c r="AL297" s="150"/>
      <c r="AM297" s="150"/>
      <c r="AN297" s="150"/>
      <c r="AO297" s="150"/>
      <c r="AP297" s="150"/>
      <c r="AQ297" s="150"/>
      <c r="AR297" s="150"/>
      <c r="AS297" s="150"/>
      <c r="AT297" s="150"/>
      <c r="AU297" s="150"/>
      <c r="AV297" s="150"/>
      <c r="AW297" s="150"/>
      <c r="AX297" s="223"/>
      <c r="AY297" s="223"/>
      <c r="AZ297" s="223"/>
      <c r="BA297" s="223"/>
      <c r="BB297" s="223"/>
      <c r="BC297" s="223"/>
      <c r="BD297" s="224"/>
      <c r="BE297" s="223"/>
      <c r="BF297" s="223"/>
      <c r="BG297" s="223"/>
      <c r="BH297" s="150"/>
      <c r="BI297" s="150"/>
      <c r="BJ297" s="150"/>
      <c r="BK297" s="150"/>
      <c r="BL297" s="150"/>
      <c r="BM297" s="150"/>
      <c r="BN297" s="150"/>
      <c r="BO297" s="150"/>
      <c r="BP297" s="150"/>
      <c r="BQ297" s="150"/>
      <c r="BR297" s="150"/>
      <c r="BS297" s="150"/>
      <c r="BT297" s="150"/>
      <c r="BU297" s="150"/>
      <c r="BV297" s="150"/>
      <c r="BW297" s="150"/>
      <c r="BX297" s="150"/>
      <c r="BY297" s="150"/>
    </row>
    <row r="298" ht="15.75" customHeight="1">
      <c r="A298" s="150"/>
      <c r="B298" s="150"/>
      <c r="C298" s="150"/>
      <c r="D298" s="150"/>
      <c r="E298" s="150"/>
      <c r="F298" s="150"/>
      <c r="G298" s="150"/>
      <c r="H298" s="150"/>
      <c r="I298" s="150"/>
      <c r="J298" s="150"/>
      <c r="K298" s="150"/>
      <c r="L298" s="150"/>
      <c r="M298" s="150"/>
      <c r="N298" s="150"/>
      <c r="O298" s="150"/>
      <c r="P298" s="150"/>
      <c r="Q298" s="150"/>
      <c r="R298" s="150"/>
      <c r="S298" s="150"/>
      <c r="T298" s="150"/>
      <c r="U298" s="150"/>
      <c r="V298" s="150"/>
      <c r="W298" s="150"/>
      <c r="X298" s="150"/>
      <c r="Y298" s="150"/>
      <c r="Z298" s="150"/>
      <c r="AA298" s="150"/>
      <c r="AB298" s="150"/>
      <c r="AC298" s="150"/>
      <c r="AD298" s="150"/>
      <c r="AE298" s="150"/>
      <c r="AF298" s="150"/>
      <c r="AG298" s="150"/>
      <c r="AH298" s="150"/>
      <c r="AI298" s="150"/>
      <c r="AJ298" s="150"/>
      <c r="AK298" s="150"/>
      <c r="AL298" s="150"/>
      <c r="AM298" s="150"/>
      <c r="AN298" s="150"/>
      <c r="AO298" s="150"/>
      <c r="AP298" s="150"/>
      <c r="AQ298" s="150"/>
      <c r="AR298" s="150"/>
      <c r="AS298" s="150"/>
      <c r="AT298" s="150"/>
      <c r="AU298" s="150"/>
      <c r="AV298" s="150"/>
      <c r="AW298" s="150"/>
      <c r="AX298" s="223"/>
      <c r="AY298" s="223"/>
      <c r="AZ298" s="223"/>
      <c r="BA298" s="223"/>
      <c r="BB298" s="223"/>
      <c r="BC298" s="223"/>
      <c r="BD298" s="224"/>
      <c r="BE298" s="223"/>
      <c r="BF298" s="223"/>
      <c r="BG298" s="223"/>
      <c r="BH298" s="150"/>
      <c r="BI298" s="150"/>
      <c r="BJ298" s="150"/>
      <c r="BK298" s="150"/>
      <c r="BL298" s="150"/>
      <c r="BM298" s="150"/>
      <c r="BN298" s="150"/>
      <c r="BO298" s="150"/>
      <c r="BP298" s="150"/>
      <c r="BQ298" s="150"/>
      <c r="BR298" s="150"/>
      <c r="BS298" s="150"/>
      <c r="BT298" s="150"/>
      <c r="BU298" s="150"/>
      <c r="BV298" s="150"/>
      <c r="BW298" s="150"/>
      <c r="BX298" s="150"/>
      <c r="BY298" s="150"/>
    </row>
    <row r="299" ht="15.75" customHeight="1">
      <c r="A299" s="150"/>
      <c r="B299" s="150"/>
      <c r="C299" s="150"/>
      <c r="D299" s="150"/>
      <c r="E299" s="150"/>
      <c r="F299" s="150"/>
      <c r="G299" s="150"/>
      <c r="H299" s="150"/>
      <c r="I299" s="150"/>
      <c r="J299" s="150"/>
      <c r="K299" s="150"/>
      <c r="L299" s="150"/>
      <c r="M299" s="150"/>
      <c r="N299" s="150"/>
      <c r="O299" s="150"/>
      <c r="P299" s="150"/>
      <c r="Q299" s="150"/>
      <c r="R299" s="150"/>
      <c r="S299" s="150"/>
      <c r="T299" s="150"/>
      <c r="U299" s="150"/>
      <c r="V299" s="150"/>
      <c r="W299" s="150"/>
      <c r="X299" s="150"/>
      <c r="Y299" s="150"/>
      <c r="Z299" s="150"/>
      <c r="AA299" s="150"/>
      <c r="AB299" s="150"/>
      <c r="AC299" s="150"/>
      <c r="AD299" s="150"/>
      <c r="AE299" s="150"/>
      <c r="AF299" s="150"/>
      <c r="AG299" s="150"/>
      <c r="AH299" s="150"/>
      <c r="AI299" s="150"/>
      <c r="AJ299" s="150"/>
      <c r="AK299" s="150"/>
      <c r="AL299" s="150"/>
      <c r="AM299" s="150"/>
      <c r="AN299" s="150"/>
      <c r="AO299" s="150"/>
      <c r="AP299" s="150"/>
      <c r="AQ299" s="150"/>
      <c r="AR299" s="150"/>
      <c r="AS299" s="150"/>
      <c r="AT299" s="150"/>
      <c r="AU299" s="150"/>
      <c r="AV299" s="150"/>
      <c r="AW299" s="150"/>
      <c r="AX299" s="223"/>
      <c r="AY299" s="223"/>
      <c r="AZ299" s="223"/>
      <c r="BA299" s="223"/>
      <c r="BB299" s="223"/>
      <c r="BC299" s="223"/>
      <c r="BD299" s="224"/>
      <c r="BE299" s="223"/>
      <c r="BF299" s="223"/>
      <c r="BG299" s="223"/>
      <c r="BH299" s="150"/>
      <c r="BI299" s="150"/>
      <c r="BJ299" s="150"/>
      <c r="BK299" s="150"/>
      <c r="BL299" s="150"/>
      <c r="BM299" s="150"/>
      <c r="BN299" s="150"/>
      <c r="BO299" s="150"/>
      <c r="BP299" s="150"/>
      <c r="BQ299" s="150"/>
      <c r="BR299" s="150"/>
      <c r="BS299" s="150"/>
      <c r="BT299" s="150"/>
      <c r="BU299" s="150"/>
      <c r="BV299" s="150"/>
      <c r="BW299" s="150"/>
      <c r="BX299" s="150"/>
      <c r="BY299" s="150"/>
    </row>
    <row r="300" ht="15.75" customHeight="1">
      <c r="A300" s="150"/>
      <c r="B300" s="150"/>
      <c r="C300" s="150"/>
      <c r="D300" s="150"/>
      <c r="E300" s="150"/>
      <c r="F300" s="150"/>
      <c r="G300" s="150"/>
      <c r="H300" s="150"/>
      <c r="I300" s="150"/>
      <c r="J300" s="150"/>
      <c r="K300" s="150"/>
      <c r="L300" s="150"/>
      <c r="M300" s="150"/>
      <c r="N300" s="150"/>
      <c r="O300" s="150"/>
      <c r="P300" s="150"/>
      <c r="Q300" s="150"/>
      <c r="R300" s="150"/>
      <c r="S300" s="150"/>
      <c r="T300" s="150"/>
      <c r="U300" s="150"/>
      <c r="V300" s="150"/>
      <c r="W300" s="150"/>
      <c r="X300" s="150"/>
      <c r="Y300" s="150"/>
      <c r="Z300" s="150"/>
      <c r="AA300" s="150"/>
      <c r="AB300" s="150"/>
      <c r="AC300" s="150"/>
      <c r="AD300" s="150"/>
      <c r="AE300" s="150"/>
      <c r="AF300" s="150"/>
      <c r="AG300" s="150"/>
      <c r="AH300" s="150"/>
      <c r="AI300" s="150"/>
      <c r="AJ300" s="150"/>
      <c r="AK300" s="150"/>
      <c r="AL300" s="150"/>
      <c r="AM300" s="150"/>
      <c r="AN300" s="150"/>
      <c r="AO300" s="150"/>
      <c r="AP300" s="150"/>
      <c r="AQ300" s="150"/>
      <c r="AR300" s="150"/>
      <c r="AS300" s="150"/>
      <c r="AT300" s="150"/>
      <c r="AU300" s="150"/>
      <c r="AV300" s="150"/>
      <c r="AW300" s="150"/>
      <c r="AX300" s="223"/>
      <c r="AY300" s="223"/>
      <c r="AZ300" s="223"/>
      <c r="BA300" s="223"/>
      <c r="BB300" s="223"/>
      <c r="BC300" s="223"/>
      <c r="BD300" s="224"/>
      <c r="BE300" s="223"/>
      <c r="BF300" s="223"/>
      <c r="BG300" s="223"/>
      <c r="BH300" s="150"/>
      <c r="BI300" s="150"/>
      <c r="BJ300" s="150"/>
      <c r="BK300" s="150"/>
      <c r="BL300" s="150"/>
      <c r="BM300" s="150"/>
      <c r="BN300" s="150"/>
      <c r="BO300" s="150"/>
      <c r="BP300" s="150"/>
      <c r="BQ300" s="150"/>
      <c r="BR300" s="150"/>
      <c r="BS300" s="150"/>
      <c r="BT300" s="150"/>
      <c r="BU300" s="150"/>
      <c r="BV300" s="150"/>
      <c r="BW300" s="150"/>
      <c r="BX300" s="150"/>
      <c r="BY300" s="150"/>
    </row>
    <row r="301" ht="15.75" customHeight="1">
      <c r="A301" s="150"/>
      <c r="B301" s="150"/>
      <c r="C301" s="150"/>
      <c r="D301" s="150"/>
      <c r="E301" s="150"/>
      <c r="F301" s="150"/>
      <c r="G301" s="150"/>
      <c r="H301" s="150"/>
      <c r="I301" s="150"/>
      <c r="J301" s="150"/>
      <c r="K301" s="150"/>
      <c r="L301" s="150"/>
      <c r="M301" s="150"/>
      <c r="N301" s="150"/>
      <c r="O301" s="150"/>
      <c r="P301" s="150"/>
      <c r="Q301" s="150"/>
      <c r="R301" s="150"/>
      <c r="S301" s="150"/>
      <c r="T301" s="150"/>
      <c r="U301" s="150"/>
      <c r="V301" s="150"/>
      <c r="W301" s="150"/>
      <c r="X301" s="150"/>
      <c r="Y301" s="150"/>
      <c r="Z301" s="150"/>
      <c r="AA301" s="150"/>
      <c r="AB301" s="150"/>
      <c r="AC301" s="150"/>
      <c r="AD301" s="150"/>
      <c r="AE301" s="150"/>
      <c r="AF301" s="150"/>
      <c r="AG301" s="150"/>
      <c r="AH301" s="150"/>
      <c r="AI301" s="150"/>
      <c r="AJ301" s="150"/>
      <c r="AK301" s="150"/>
      <c r="AL301" s="150"/>
      <c r="AM301" s="150"/>
      <c r="AN301" s="150"/>
      <c r="AO301" s="150"/>
      <c r="AP301" s="150"/>
      <c r="AQ301" s="150"/>
      <c r="AR301" s="150"/>
      <c r="AS301" s="150"/>
      <c r="AT301" s="150"/>
      <c r="AU301" s="150"/>
      <c r="AV301" s="150"/>
      <c r="AW301" s="150"/>
      <c r="AX301" s="223"/>
      <c r="AY301" s="223"/>
      <c r="AZ301" s="223"/>
      <c r="BA301" s="223"/>
      <c r="BB301" s="223"/>
      <c r="BC301" s="223"/>
      <c r="BD301" s="224"/>
      <c r="BE301" s="223"/>
      <c r="BF301" s="223"/>
      <c r="BG301" s="223"/>
      <c r="BH301" s="150"/>
      <c r="BI301" s="150"/>
      <c r="BJ301" s="150"/>
      <c r="BK301" s="150"/>
      <c r="BL301" s="150"/>
      <c r="BM301" s="150"/>
      <c r="BN301" s="150"/>
      <c r="BO301" s="150"/>
      <c r="BP301" s="150"/>
      <c r="BQ301" s="150"/>
      <c r="BR301" s="150"/>
      <c r="BS301" s="150"/>
      <c r="BT301" s="150"/>
      <c r="BU301" s="150"/>
      <c r="BV301" s="150"/>
      <c r="BW301" s="150"/>
      <c r="BX301" s="150"/>
      <c r="BY301" s="150"/>
    </row>
    <row r="302" ht="15.75" customHeight="1">
      <c r="A302" s="150"/>
      <c r="B302" s="150"/>
      <c r="C302" s="150"/>
      <c r="D302" s="150"/>
      <c r="E302" s="150"/>
      <c r="F302" s="150"/>
      <c r="G302" s="150"/>
      <c r="H302" s="150"/>
      <c r="I302" s="150"/>
      <c r="J302" s="150"/>
      <c r="K302" s="150"/>
      <c r="L302" s="150"/>
      <c r="M302" s="150"/>
      <c r="N302" s="150"/>
      <c r="O302" s="150"/>
      <c r="P302" s="150"/>
      <c r="Q302" s="150"/>
      <c r="R302" s="150"/>
      <c r="S302" s="150"/>
      <c r="T302" s="150"/>
      <c r="U302" s="150"/>
      <c r="V302" s="150"/>
      <c r="W302" s="150"/>
      <c r="X302" s="150"/>
      <c r="Y302" s="150"/>
      <c r="Z302" s="150"/>
      <c r="AA302" s="150"/>
      <c r="AB302" s="150"/>
      <c r="AC302" s="150"/>
      <c r="AD302" s="150"/>
      <c r="AE302" s="150"/>
      <c r="AF302" s="150"/>
      <c r="AG302" s="150"/>
      <c r="AH302" s="150"/>
      <c r="AI302" s="150"/>
      <c r="AJ302" s="150"/>
      <c r="AK302" s="150"/>
      <c r="AL302" s="150"/>
      <c r="AM302" s="150"/>
      <c r="AN302" s="150"/>
      <c r="AO302" s="150"/>
      <c r="AP302" s="150"/>
      <c r="AQ302" s="150"/>
      <c r="AR302" s="150"/>
      <c r="AS302" s="150"/>
      <c r="AT302" s="150"/>
      <c r="AU302" s="150"/>
      <c r="AV302" s="150"/>
      <c r="AW302" s="150"/>
      <c r="AX302" s="223"/>
      <c r="AY302" s="223"/>
      <c r="AZ302" s="223"/>
      <c r="BA302" s="223"/>
      <c r="BB302" s="223"/>
      <c r="BC302" s="223"/>
      <c r="BD302" s="224"/>
      <c r="BE302" s="223"/>
      <c r="BF302" s="223"/>
      <c r="BG302" s="223"/>
      <c r="BH302" s="150"/>
      <c r="BI302" s="150"/>
      <c r="BJ302" s="150"/>
      <c r="BK302" s="150"/>
      <c r="BL302" s="150"/>
      <c r="BM302" s="150"/>
      <c r="BN302" s="150"/>
      <c r="BO302" s="150"/>
      <c r="BP302" s="150"/>
      <c r="BQ302" s="150"/>
      <c r="BR302" s="150"/>
      <c r="BS302" s="150"/>
      <c r="BT302" s="150"/>
      <c r="BU302" s="150"/>
      <c r="BV302" s="150"/>
      <c r="BW302" s="150"/>
      <c r="BX302" s="150"/>
      <c r="BY302" s="150"/>
    </row>
    <row r="303" ht="15.75" customHeight="1">
      <c r="A303" s="150"/>
      <c r="B303" s="150"/>
      <c r="C303" s="150"/>
      <c r="D303" s="150"/>
      <c r="E303" s="150"/>
      <c r="F303" s="150"/>
      <c r="G303" s="150"/>
      <c r="H303" s="150"/>
      <c r="I303" s="150"/>
      <c r="J303" s="150"/>
      <c r="K303" s="150"/>
      <c r="L303" s="150"/>
      <c r="M303" s="150"/>
      <c r="N303" s="150"/>
      <c r="O303" s="150"/>
      <c r="P303" s="150"/>
      <c r="Q303" s="150"/>
      <c r="R303" s="150"/>
      <c r="S303" s="150"/>
      <c r="T303" s="150"/>
      <c r="U303" s="150"/>
      <c r="V303" s="150"/>
      <c r="W303" s="150"/>
      <c r="X303" s="150"/>
      <c r="Y303" s="150"/>
      <c r="Z303" s="150"/>
      <c r="AA303" s="150"/>
      <c r="AB303" s="150"/>
      <c r="AC303" s="150"/>
      <c r="AD303" s="150"/>
      <c r="AE303" s="150"/>
      <c r="AF303" s="150"/>
      <c r="AG303" s="150"/>
      <c r="AH303" s="150"/>
      <c r="AI303" s="150"/>
      <c r="AJ303" s="150"/>
      <c r="AK303" s="150"/>
      <c r="AL303" s="150"/>
      <c r="AM303" s="150"/>
      <c r="AN303" s="150"/>
      <c r="AO303" s="150"/>
      <c r="AP303" s="150"/>
      <c r="AQ303" s="150"/>
      <c r="AR303" s="150"/>
      <c r="AS303" s="150"/>
      <c r="AT303" s="150"/>
      <c r="AU303" s="150"/>
      <c r="AV303" s="150"/>
      <c r="AW303" s="150"/>
      <c r="AX303" s="223"/>
      <c r="AY303" s="223"/>
      <c r="AZ303" s="223"/>
      <c r="BA303" s="223"/>
      <c r="BB303" s="223"/>
      <c r="BC303" s="223"/>
      <c r="BD303" s="224"/>
      <c r="BE303" s="223"/>
      <c r="BF303" s="223"/>
      <c r="BG303" s="223"/>
      <c r="BH303" s="150"/>
      <c r="BI303" s="150"/>
      <c r="BJ303" s="150"/>
      <c r="BK303" s="150"/>
      <c r="BL303" s="150"/>
      <c r="BM303" s="150"/>
      <c r="BN303" s="150"/>
      <c r="BO303" s="150"/>
      <c r="BP303" s="150"/>
      <c r="BQ303" s="150"/>
      <c r="BR303" s="150"/>
      <c r="BS303" s="150"/>
      <c r="BT303" s="150"/>
      <c r="BU303" s="150"/>
      <c r="BV303" s="150"/>
      <c r="BW303" s="150"/>
      <c r="BX303" s="150"/>
      <c r="BY303" s="150"/>
    </row>
    <row r="304" ht="15.75" customHeight="1">
      <c r="A304" s="150"/>
      <c r="B304" s="150"/>
      <c r="C304" s="150"/>
      <c r="D304" s="150"/>
      <c r="E304" s="150"/>
      <c r="F304" s="150"/>
      <c r="G304" s="150"/>
      <c r="H304" s="150"/>
      <c r="I304" s="150"/>
      <c r="J304" s="150"/>
      <c r="K304" s="150"/>
      <c r="L304" s="150"/>
      <c r="M304" s="150"/>
      <c r="N304" s="150"/>
      <c r="O304" s="150"/>
      <c r="P304" s="150"/>
      <c r="Q304" s="150"/>
      <c r="R304" s="150"/>
      <c r="S304" s="150"/>
      <c r="T304" s="150"/>
      <c r="U304" s="150"/>
      <c r="V304" s="150"/>
      <c r="W304" s="150"/>
      <c r="X304" s="150"/>
      <c r="Y304" s="150"/>
      <c r="Z304" s="150"/>
      <c r="AA304" s="150"/>
      <c r="AB304" s="150"/>
      <c r="AC304" s="150"/>
      <c r="AD304" s="150"/>
      <c r="AE304" s="150"/>
      <c r="AF304" s="150"/>
      <c r="AG304" s="150"/>
      <c r="AH304" s="150"/>
      <c r="AI304" s="150"/>
      <c r="AJ304" s="150"/>
      <c r="AK304" s="150"/>
      <c r="AL304" s="150"/>
      <c r="AM304" s="150"/>
      <c r="AN304" s="150"/>
      <c r="AO304" s="150"/>
      <c r="AP304" s="150"/>
      <c r="AQ304" s="150"/>
      <c r="AR304" s="150"/>
      <c r="AS304" s="150"/>
      <c r="AT304" s="150"/>
      <c r="AU304" s="150"/>
      <c r="AV304" s="150"/>
      <c r="AW304" s="150"/>
      <c r="AX304" s="223"/>
      <c r="AY304" s="223"/>
      <c r="AZ304" s="223"/>
      <c r="BA304" s="223"/>
      <c r="BB304" s="223"/>
      <c r="BC304" s="223"/>
      <c r="BD304" s="224"/>
      <c r="BE304" s="223"/>
      <c r="BF304" s="223"/>
      <c r="BG304" s="223"/>
      <c r="BH304" s="150"/>
      <c r="BI304" s="150"/>
      <c r="BJ304" s="150"/>
      <c r="BK304" s="150"/>
      <c r="BL304" s="150"/>
      <c r="BM304" s="150"/>
      <c r="BN304" s="150"/>
      <c r="BO304" s="150"/>
      <c r="BP304" s="150"/>
      <c r="BQ304" s="150"/>
      <c r="BR304" s="150"/>
      <c r="BS304" s="150"/>
      <c r="BT304" s="150"/>
      <c r="BU304" s="150"/>
      <c r="BV304" s="150"/>
      <c r="BW304" s="150"/>
      <c r="BX304" s="150"/>
      <c r="BY304" s="150"/>
    </row>
    <row r="305" ht="15.75" customHeight="1">
      <c r="A305" s="150"/>
      <c r="B305" s="150"/>
      <c r="C305" s="150"/>
      <c r="D305" s="150"/>
      <c r="E305" s="150"/>
      <c r="F305" s="150"/>
      <c r="G305" s="150"/>
      <c r="H305" s="150"/>
      <c r="I305" s="150"/>
      <c r="J305" s="150"/>
      <c r="K305" s="150"/>
      <c r="L305" s="150"/>
      <c r="M305" s="150"/>
      <c r="N305" s="150"/>
      <c r="O305" s="150"/>
      <c r="P305" s="150"/>
      <c r="Q305" s="150"/>
      <c r="R305" s="150"/>
      <c r="S305" s="150"/>
      <c r="T305" s="150"/>
      <c r="U305" s="150"/>
      <c r="V305" s="150"/>
      <c r="W305" s="150"/>
      <c r="X305" s="150"/>
      <c r="Y305" s="150"/>
      <c r="Z305" s="150"/>
      <c r="AA305" s="150"/>
      <c r="AB305" s="150"/>
      <c r="AC305" s="150"/>
      <c r="AD305" s="150"/>
      <c r="AE305" s="150"/>
      <c r="AF305" s="150"/>
      <c r="AG305" s="150"/>
      <c r="AH305" s="150"/>
      <c r="AI305" s="150"/>
      <c r="AJ305" s="150"/>
      <c r="AK305" s="150"/>
      <c r="AL305" s="150"/>
      <c r="AM305" s="150"/>
      <c r="AN305" s="150"/>
      <c r="AO305" s="150"/>
      <c r="AP305" s="150"/>
      <c r="AQ305" s="150"/>
      <c r="AR305" s="150"/>
      <c r="AS305" s="150"/>
      <c r="AT305" s="150"/>
      <c r="AU305" s="150"/>
      <c r="AV305" s="150"/>
      <c r="AW305" s="150"/>
      <c r="AX305" s="223"/>
      <c r="AY305" s="223"/>
      <c r="AZ305" s="223"/>
      <c r="BA305" s="223"/>
      <c r="BB305" s="223"/>
      <c r="BC305" s="223"/>
      <c r="BD305" s="224"/>
      <c r="BE305" s="223"/>
      <c r="BF305" s="223"/>
      <c r="BG305" s="223"/>
      <c r="BH305" s="150"/>
      <c r="BI305" s="150"/>
      <c r="BJ305" s="150"/>
      <c r="BK305" s="150"/>
      <c r="BL305" s="150"/>
      <c r="BM305" s="150"/>
      <c r="BN305" s="150"/>
      <c r="BO305" s="150"/>
      <c r="BP305" s="150"/>
      <c r="BQ305" s="150"/>
      <c r="BR305" s="150"/>
      <c r="BS305" s="150"/>
      <c r="BT305" s="150"/>
      <c r="BU305" s="150"/>
      <c r="BV305" s="150"/>
      <c r="BW305" s="150"/>
      <c r="BX305" s="150"/>
      <c r="BY305" s="150"/>
    </row>
    <row r="306" ht="15.75" customHeight="1">
      <c r="A306" s="150"/>
      <c r="B306" s="150"/>
      <c r="C306" s="150"/>
      <c r="D306" s="150"/>
      <c r="E306" s="150"/>
      <c r="F306" s="150"/>
      <c r="G306" s="150"/>
      <c r="H306" s="150"/>
      <c r="I306" s="150"/>
      <c r="J306" s="150"/>
      <c r="K306" s="150"/>
      <c r="L306" s="150"/>
      <c r="M306" s="150"/>
      <c r="N306" s="150"/>
      <c r="O306" s="150"/>
      <c r="P306" s="150"/>
      <c r="Q306" s="150"/>
      <c r="R306" s="150"/>
      <c r="S306" s="150"/>
      <c r="T306" s="150"/>
      <c r="U306" s="150"/>
      <c r="V306" s="150"/>
      <c r="W306" s="150"/>
      <c r="X306" s="150"/>
      <c r="Y306" s="150"/>
      <c r="Z306" s="150"/>
      <c r="AA306" s="150"/>
      <c r="AB306" s="150"/>
      <c r="AC306" s="150"/>
      <c r="AD306" s="150"/>
      <c r="AE306" s="150"/>
      <c r="AF306" s="150"/>
      <c r="AG306" s="150"/>
      <c r="AH306" s="150"/>
      <c r="AI306" s="150"/>
      <c r="AJ306" s="150"/>
      <c r="AK306" s="150"/>
      <c r="AL306" s="150"/>
      <c r="AM306" s="150"/>
      <c r="AN306" s="150"/>
      <c r="AO306" s="150"/>
      <c r="AP306" s="150"/>
      <c r="AQ306" s="150"/>
      <c r="AR306" s="150"/>
      <c r="AS306" s="150"/>
      <c r="AT306" s="150"/>
      <c r="AU306" s="150"/>
      <c r="AV306" s="150"/>
      <c r="AW306" s="150"/>
      <c r="AX306" s="150"/>
      <c r="AY306" s="150"/>
      <c r="AZ306" s="150"/>
      <c r="BA306" s="150"/>
      <c r="BB306" s="150"/>
      <c r="BC306" s="150"/>
      <c r="BD306" s="150"/>
      <c r="BE306" s="150"/>
      <c r="BF306" s="150"/>
      <c r="BG306" s="150"/>
      <c r="BH306" s="150"/>
      <c r="BI306" s="150"/>
      <c r="BJ306" s="150"/>
      <c r="BK306" s="150"/>
      <c r="BL306" s="150"/>
      <c r="BM306" s="150"/>
      <c r="BN306" s="150"/>
      <c r="BO306" s="150"/>
      <c r="BP306" s="150"/>
      <c r="BQ306" s="150"/>
      <c r="BR306" s="150"/>
      <c r="BS306" s="150"/>
      <c r="BT306" s="150"/>
      <c r="BU306" s="150"/>
      <c r="BV306" s="150"/>
      <c r="BW306" s="150"/>
      <c r="BX306" s="150"/>
      <c r="BY306" s="150"/>
    </row>
    <row r="307" ht="15.75" customHeight="1">
      <c r="A307" s="150"/>
      <c r="B307" s="150"/>
      <c r="C307" s="150"/>
      <c r="D307" s="150"/>
      <c r="E307" s="150"/>
      <c r="F307" s="150"/>
      <c r="G307" s="150"/>
      <c r="H307" s="150"/>
      <c r="I307" s="150"/>
      <c r="J307" s="150"/>
      <c r="K307" s="150"/>
      <c r="L307" s="150"/>
      <c r="M307" s="150"/>
      <c r="N307" s="150"/>
      <c r="O307" s="150"/>
      <c r="P307" s="140"/>
      <c r="Q307" s="140"/>
      <c r="R307" s="140"/>
      <c r="S307" s="140"/>
      <c r="T307" s="140"/>
      <c r="U307" s="140"/>
      <c r="V307" s="140"/>
      <c r="W307" s="140"/>
      <c r="X307" s="140"/>
      <c r="Y307" s="140"/>
      <c r="Z307" s="140"/>
      <c r="AA307" s="140"/>
      <c r="AB307" s="140"/>
      <c r="AC307" s="140"/>
      <c r="AD307" s="140"/>
      <c r="AE307" s="140"/>
      <c r="AF307" s="140"/>
      <c r="AG307" s="140"/>
      <c r="AH307" s="140"/>
      <c r="AI307" s="140"/>
      <c r="AJ307" s="140"/>
      <c r="AK307" s="140"/>
      <c r="AL307" s="140"/>
      <c r="AM307" s="140"/>
      <c r="AN307" s="140"/>
      <c r="AO307" s="140"/>
      <c r="AP307" s="140"/>
      <c r="AQ307" s="140"/>
      <c r="AR307" s="140"/>
      <c r="AS307" s="140"/>
      <c r="AT307" s="140"/>
      <c r="AU307" s="140"/>
      <c r="AV307" s="140"/>
      <c r="AW307" s="140"/>
      <c r="AX307" s="140"/>
      <c r="AY307" s="140"/>
      <c r="AZ307" s="140"/>
      <c r="BA307" s="140"/>
      <c r="BB307" s="140"/>
      <c r="BC307" s="140"/>
      <c r="BD307" s="140"/>
      <c r="BE307" s="140"/>
      <c r="BF307" s="140"/>
      <c r="BG307" s="140"/>
      <c r="BH307" s="140"/>
      <c r="BI307" s="140"/>
      <c r="BJ307" s="140"/>
      <c r="BK307" s="140"/>
      <c r="BL307" s="140"/>
      <c r="BM307" s="140"/>
      <c r="BN307" s="140"/>
      <c r="BO307" s="140"/>
      <c r="BP307" s="140"/>
      <c r="BQ307" s="140"/>
      <c r="BR307" s="140"/>
      <c r="BS307" s="140"/>
      <c r="BT307" s="140"/>
      <c r="BU307" s="140"/>
      <c r="BV307" s="140"/>
      <c r="BW307" s="140"/>
      <c r="BX307" s="140"/>
      <c r="BY307" s="140"/>
    </row>
    <row r="308" ht="15.75" customHeight="1">
      <c r="A308" s="150"/>
      <c r="B308" s="150"/>
      <c r="C308" s="150"/>
      <c r="D308" s="150"/>
      <c r="E308" s="150"/>
      <c r="F308" s="150"/>
      <c r="G308" s="150"/>
      <c r="H308" s="150"/>
      <c r="I308" s="150"/>
      <c r="J308" s="150"/>
      <c r="K308" s="150"/>
      <c r="L308" s="150"/>
      <c r="M308" s="150"/>
      <c r="N308" s="150"/>
      <c r="O308" s="150"/>
      <c r="P308" s="140"/>
      <c r="Q308" s="140"/>
      <c r="R308" s="140"/>
      <c r="S308" s="140"/>
      <c r="T308" s="140"/>
      <c r="U308" s="140"/>
      <c r="V308" s="140"/>
      <c r="W308" s="140"/>
      <c r="X308" s="140"/>
      <c r="Y308" s="140"/>
      <c r="Z308" s="140"/>
      <c r="AA308" s="140"/>
      <c r="AB308" s="140"/>
      <c r="AC308" s="140"/>
      <c r="AD308" s="140"/>
      <c r="AE308" s="140"/>
      <c r="AF308" s="140"/>
      <c r="AG308" s="140"/>
      <c r="AH308" s="140"/>
      <c r="AI308" s="140"/>
      <c r="AJ308" s="140"/>
      <c r="AK308" s="140"/>
      <c r="AL308" s="140"/>
      <c r="AM308" s="140"/>
      <c r="AN308" s="140"/>
      <c r="AO308" s="140"/>
      <c r="AP308" s="140"/>
      <c r="AQ308" s="140"/>
      <c r="AR308" s="140"/>
      <c r="AS308" s="140"/>
      <c r="AT308" s="140"/>
      <c r="AU308" s="140"/>
      <c r="AV308" s="140"/>
      <c r="AW308" s="140"/>
      <c r="AX308" s="140"/>
      <c r="AY308" s="140"/>
      <c r="AZ308" s="140"/>
      <c r="BA308" s="140"/>
      <c r="BB308" s="140"/>
      <c r="BC308" s="140"/>
      <c r="BD308" s="140"/>
      <c r="BE308" s="140"/>
      <c r="BF308" s="140"/>
      <c r="BG308" s="140"/>
      <c r="BH308" s="140"/>
      <c r="BI308" s="140"/>
      <c r="BJ308" s="140"/>
      <c r="BK308" s="140"/>
      <c r="BL308" s="140"/>
      <c r="BM308" s="140"/>
      <c r="BN308" s="140"/>
      <c r="BO308" s="140"/>
      <c r="BP308" s="140"/>
      <c r="BQ308" s="140"/>
      <c r="BR308" s="140"/>
      <c r="BS308" s="140"/>
      <c r="BT308" s="140"/>
      <c r="BU308" s="140"/>
      <c r="BV308" s="140"/>
      <c r="BW308" s="140"/>
      <c r="BX308" s="140"/>
      <c r="BY308" s="140"/>
    </row>
    <row r="309" ht="15.75" customHeight="1">
      <c r="A309" s="150"/>
      <c r="B309" s="150"/>
      <c r="C309" s="150"/>
      <c r="D309" s="150"/>
      <c r="E309" s="150"/>
      <c r="F309" s="150"/>
      <c r="G309" s="150"/>
      <c r="H309" s="150"/>
      <c r="I309" s="150"/>
      <c r="J309" s="150"/>
      <c r="K309" s="150"/>
      <c r="L309" s="150"/>
      <c r="M309" s="150"/>
      <c r="N309" s="150"/>
      <c r="O309" s="150"/>
      <c r="P309" s="140"/>
      <c r="Q309" s="140"/>
      <c r="R309" s="140"/>
      <c r="S309" s="140"/>
      <c r="T309" s="140"/>
      <c r="U309" s="140"/>
      <c r="V309" s="140"/>
      <c r="W309" s="140"/>
      <c r="X309" s="140"/>
      <c r="Y309" s="140"/>
      <c r="Z309" s="140"/>
      <c r="AA309" s="140"/>
      <c r="AB309" s="140"/>
      <c r="AC309" s="140"/>
      <c r="AD309" s="140"/>
      <c r="AE309" s="140"/>
      <c r="AF309" s="140"/>
      <c r="AG309" s="140"/>
      <c r="AH309" s="140"/>
      <c r="AI309" s="140"/>
      <c r="AJ309" s="140"/>
      <c r="AK309" s="140"/>
      <c r="AL309" s="140"/>
      <c r="AM309" s="140"/>
      <c r="AN309" s="140"/>
      <c r="AO309" s="140"/>
      <c r="AP309" s="140"/>
      <c r="AQ309" s="140"/>
      <c r="AR309" s="140"/>
      <c r="AS309" s="140"/>
      <c r="AT309" s="140"/>
      <c r="AU309" s="140"/>
      <c r="AV309" s="140"/>
      <c r="AW309" s="140"/>
      <c r="AX309" s="140"/>
      <c r="AY309" s="140"/>
      <c r="AZ309" s="140"/>
      <c r="BA309" s="140"/>
      <c r="BB309" s="140"/>
      <c r="BC309" s="140"/>
      <c r="BD309" s="140"/>
      <c r="BE309" s="140"/>
      <c r="BF309" s="140"/>
      <c r="BG309" s="140"/>
      <c r="BH309" s="140"/>
      <c r="BI309" s="140"/>
      <c r="BJ309" s="140"/>
      <c r="BK309" s="140"/>
      <c r="BL309" s="140"/>
      <c r="BM309" s="140"/>
      <c r="BN309" s="140"/>
      <c r="BO309" s="140"/>
      <c r="BP309" s="140"/>
      <c r="BQ309" s="140"/>
      <c r="BR309" s="140"/>
      <c r="BS309" s="140"/>
      <c r="BT309" s="140"/>
      <c r="BU309" s="140"/>
      <c r="BV309" s="140"/>
      <c r="BW309" s="140"/>
      <c r="BX309" s="140"/>
      <c r="BY309" s="140"/>
    </row>
    <row r="310" ht="15.75" customHeight="1">
      <c r="A310" s="150"/>
      <c r="B310" s="150"/>
      <c r="C310" s="150"/>
      <c r="D310" s="150"/>
      <c r="E310" s="150"/>
      <c r="F310" s="150"/>
      <c r="G310" s="150"/>
      <c r="H310" s="150"/>
      <c r="I310" s="150"/>
      <c r="J310" s="150"/>
      <c r="K310" s="150"/>
      <c r="L310" s="150"/>
      <c r="M310" s="150"/>
      <c r="N310" s="150"/>
      <c r="O310" s="150"/>
      <c r="P310" s="140"/>
      <c r="Q310" s="140"/>
      <c r="R310" s="140"/>
      <c r="S310" s="140"/>
      <c r="T310" s="140"/>
      <c r="U310" s="140"/>
      <c r="V310" s="140"/>
      <c r="W310" s="140"/>
      <c r="X310" s="140"/>
      <c r="Y310" s="140"/>
      <c r="Z310" s="140"/>
      <c r="AA310" s="140"/>
      <c r="AB310" s="140"/>
      <c r="AC310" s="140"/>
      <c r="AD310" s="140"/>
      <c r="AE310" s="140"/>
      <c r="AF310" s="140"/>
      <c r="AG310" s="140"/>
      <c r="AH310" s="140"/>
      <c r="AI310" s="140"/>
      <c r="AJ310" s="140"/>
      <c r="AK310" s="140"/>
      <c r="AL310" s="140"/>
      <c r="AM310" s="140"/>
      <c r="AN310" s="140"/>
      <c r="AO310" s="140"/>
      <c r="AP310" s="140"/>
      <c r="AQ310" s="140"/>
      <c r="AR310" s="140"/>
      <c r="AS310" s="140"/>
      <c r="AT310" s="140"/>
      <c r="AU310" s="140"/>
      <c r="AV310" s="140"/>
      <c r="AW310" s="140"/>
      <c r="AX310" s="140"/>
      <c r="AY310" s="140"/>
      <c r="AZ310" s="140"/>
      <c r="BA310" s="140"/>
      <c r="BB310" s="140"/>
      <c r="BC310" s="140"/>
      <c r="BD310" s="140"/>
      <c r="BE310" s="140"/>
      <c r="BF310" s="140"/>
      <c r="BG310" s="140"/>
      <c r="BH310" s="140"/>
      <c r="BI310" s="140"/>
      <c r="BJ310" s="140"/>
      <c r="BK310" s="140"/>
      <c r="BL310" s="140"/>
      <c r="BM310" s="140"/>
      <c r="BN310" s="140"/>
      <c r="BO310" s="140"/>
      <c r="BP310" s="140"/>
      <c r="BQ310" s="140"/>
      <c r="BR310" s="140"/>
      <c r="BS310" s="140"/>
      <c r="BT310" s="140"/>
      <c r="BU310" s="140"/>
      <c r="BV310" s="140"/>
      <c r="BW310" s="140"/>
      <c r="BX310" s="140"/>
      <c r="BY310" s="140"/>
    </row>
    <row r="311" ht="15.75" customHeight="1">
      <c r="A311" s="150"/>
      <c r="B311" s="150"/>
      <c r="C311" s="150"/>
      <c r="D311" s="150"/>
      <c r="E311" s="150"/>
      <c r="F311" s="150"/>
      <c r="G311" s="150"/>
      <c r="H311" s="150"/>
      <c r="I311" s="150"/>
      <c r="J311" s="150"/>
      <c r="K311" s="150"/>
      <c r="L311" s="150"/>
      <c r="M311" s="150"/>
      <c r="N311" s="150"/>
      <c r="O311" s="150"/>
      <c r="P311" s="140"/>
      <c r="Q311" s="140"/>
      <c r="R311" s="140"/>
      <c r="S311" s="140"/>
      <c r="T311" s="140"/>
      <c r="U311" s="140"/>
      <c r="V311" s="140"/>
      <c r="W311" s="140"/>
      <c r="X311" s="140"/>
      <c r="Y311" s="140"/>
      <c r="Z311" s="140"/>
      <c r="AA311" s="140"/>
      <c r="AB311" s="140"/>
      <c r="AC311" s="140"/>
      <c r="AD311" s="140"/>
      <c r="AE311" s="140"/>
      <c r="AF311" s="140"/>
      <c r="AG311" s="140"/>
      <c r="AH311" s="140"/>
      <c r="AI311" s="140"/>
      <c r="AJ311" s="140"/>
      <c r="AK311" s="140"/>
      <c r="AL311" s="140"/>
      <c r="AM311" s="140"/>
      <c r="AN311" s="140"/>
      <c r="AO311" s="140"/>
      <c r="AP311" s="140"/>
      <c r="AQ311" s="140"/>
      <c r="AR311" s="140"/>
      <c r="AS311" s="140"/>
      <c r="AT311" s="140"/>
      <c r="AU311" s="140"/>
      <c r="AV311" s="140"/>
      <c r="AW311" s="140"/>
      <c r="AX311" s="140"/>
      <c r="AY311" s="140"/>
      <c r="AZ311" s="140"/>
      <c r="BA311" s="140"/>
      <c r="BB311" s="140"/>
      <c r="BC311" s="140"/>
      <c r="BD311" s="140"/>
      <c r="BE311" s="140"/>
      <c r="BF311" s="140"/>
      <c r="BG311" s="140"/>
      <c r="BH311" s="140"/>
      <c r="BI311" s="140"/>
      <c r="BJ311" s="140"/>
      <c r="BK311" s="140"/>
      <c r="BL311" s="140"/>
      <c r="BM311" s="140"/>
      <c r="BN311" s="140"/>
      <c r="BO311" s="140"/>
      <c r="BP311" s="140"/>
      <c r="BQ311" s="140"/>
      <c r="BR311" s="140"/>
      <c r="BS311" s="140"/>
      <c r="BT311" s="140"/>
      <c r="BU311" s="140"/>
      <c r="BV311" s="140"/>
      <c r="BW311" s="140"/>
      <c r="BX311" s="140"/>
      <c r="BY311" s="140"/>
    </row>
    <row r="312" ht="15.75" customHeight="1">
      <c r="A312" s="150"/>
      <c r="B312" s="150"/>
      <c r="C312" s="150"/>
      <c r="D312" s="150"/>
      <c r="E312" s="150"/>
      <c r="F312" s="150"/>
      <c r="G312" s="150"/>
      <c r="H312" s="150"/>
      <c r="I312" s="150"/>
      <c r="J312" s="150"/>
      <c r="K312" s="150"/>
      <c r="L312" s="150"/>
      <c r="M312" s="150"/>
      <c r="N312" s="150"/>
      <c r="O312" s="150"/>
      <c r="P312" s="140"/>
      <c r="Q312" s="140"/>
      <c r="R312" s="140"/>
      <c r="S312" s="140"/>
      <c r="T312" s="140"/>
      <c r="U312" s="140"/>
      <c r="V312" s="140"/>
      <c r="W312" s="140"/>
      <c r="X312" s="140"/>
      <c r="Y312" s="140"/>
      <c r="Z312" s="140"/>
      <c r="AA312" s="140"/>
      <c r="AB312" s="140"/>
      <c r="AC312" s="140"/>
      <c r="AD312" s="140"/>
      <c r="AE312" s="140"/>
      <c r="AF312" s="140"/>
      <c r="AG312" s="140"/>
      <c r="AH312" s="140"/>
      <c r="AI312" s="140"/>
      <c r="AJ312" s="140"/>
      <c r="AK312" s="140"/>
      <c r="AL312" s="140"/>
      <c r="AM312" s="140"/>
      <c r="AN312" s="140"/>
      <c r="AO312" s="140"/>
      <c r="AP312" s="140"/>
      <c r="AQ312" s="140"/>
      <c r="AR312" s="140"/>
      <c r="AS312" s="140"/>
      <c r="AT312" s="140"/>
      <c r="AU312" s="140"/>
      <c r="AV312" s="140"/>
      <c r="AW312" s="140"/>
      <c r="AX312" s="140"/>
      <c r="AY312" s="140"/>
      <c r="AZ312" s="140"/>
      <c r="BA312" s="140"/>
      <c r="BB312" s="140"/>
      <c r="BC312" s="140"/>
      <c r="BD312" s="140"/>
      <c r="BE312" s="140"/>
      <c r="BF312" s="140"/>
      <c r="BG312" s="140"/>
      <c r="BH312" s="140"/>
      <c r="BI312" s="140"/>
      <c r="BJ312" s="140"/>
      <c r="BK312" s="140"/>
      <c r="BL312" s="140"/>
      <c r="BM312" s="140"/>
      <c r="BN312" s="140"/>
      <c r="BO312" s="140"/>
      <c r="BP312" s="140"/>
      <c r="BQ312" s="140"/>
      <c r="BR312" s="140"/>
      <c r="BS312" s="140"/>
      <c r="BT312" s="140"/>
      <c r="BU312" s="140"/>
      <c r="BV312" s="140"/>
      <c r="BW312" s="140"/>
      <c r="BX312" s="140"/>
      <c r="BY312" s="140"/>
    </row>
    <row r="313" ht="15.75" customHeight="1">
      <c r="A313" s="150"/>
      <c r="B313" s="150"/>
      <c r="C313" s="150"/>
      <c r="D313" s="150"/>
      <c r="E313" s="150"/>
      <c r="F313" s="150"/>
      <c r="G313" s="150"/>
      <c r="H313" s="150"/>
      <c r="I313" s="150"/>
      <c r="J313" s="150"/>
      <c r="K313" s="150"/>
      <c r="L313" s="150"/>
      <c r="M313" s="150"/>
      <c r="N313" s="150"/>
      <c r="O313" s="150"/>
      <c r="P313" s="140"/>
      <c r="Q313" s="140"/>
      <c r="R313" s="140"/>
      <c r="S313" s="140"/>
      <c r="T313" s="140"/>
      <c r="U313" s="140"/>
      <c r="V313" s="140"/>
      <c r="W313" s="140"/>
      <c r="X313" s="140"/>
      <c r="Y313" s="140"/>
      <c r="Z313" s="140"/>
      <c r="AA313" s="140"/>
      <c r="AB313" s="140"/>
      <c r="AC313" s="140"/>
      <c r="AD313" s="140"/>
      <c r="AE313" s="140"/>
      <c r="AF313" s="140"/>
      <c r="AG313" s="140"/>
      <c r="AH313" s="140"/>
      <c r="AI313" s="140"/>
      <c r="AJ313" s="140"/>
      <c r="AK313" s="140"/>
      <c r="AL313" s="140"/>
      <c r="AM313" s="140"/>
      <c r="AN313" s="140"/>
      <c r="AO313" s="140"/>
      <c r="AP313" s="140"/>
      <c r="AQ313" s="140"/>
      <c r="AR313" s="140"/>
      <c r="AS313" s="140"/>
      <c r="AT313" s="140"/>
      <c r="AU313" s="140"/>
      <c r="AV313" s="140"/>
      <c r="AW313" s="140"/>
      <c r="AX313" s="140"/>
      <c r="AY313" s="140"/>
      <c r="AZ313" s="140"/>
      <c r="BA313" s="140"/>
      <c r="BB313" s="140"/>
      <c r="BC313" s="140"/>
      <c r="BD313" s="140"/>
      <c r="BE313" s="140"/>
      <c r="BF313" s="140"/>
      <c r="BG313" s="140"/>
      <c r="BH313" s="140"/>
      <c r="BI313" s="140"/>
      <c r="BJ313" s="140"/>
      <c r="BK313" s="140"/>
      <c r="BL313" s="140"/>
      <c r="BM313" s="140"/>
      <c r="BN313" s="140"/>
      <c r="BO313" s="140"/>
      <c r="BP313" s="140"/>
      <c r="BQ313" s="140"/>
      <c r="BR313" s="140"/>
      <c r="BS313" s="140"/>
      <c r="BT313" s="140"/>
      <c r="BU313" s="140"/>
      <c r="BV313" s="140"/>
      <c r="BW313" s="140"/>
      <c r="BX313" s="140"/>
      <c r="BY313" s="140"/>
    </row>
    <row r="314" ht="15.75" customHeight="1">
      <c r="A314" s="150"/>
      <c r="B314" s="150"/>
      <c r="C314" s="150"/>
      <c r="D314" s="150"/>
      <c r="E314" s="150"/>
      <c r="F314" s="150"/>
      <c r="G314" s="150"/>
      <c r="H314" s="150"/>
      <c r="I314" s="150"/>
      <c r="J314" s="150"/>
      <c r="K314" s="150"/>
      <c r="L314" s="150"/>
      <c r="M314" s="150"/>
      <c r="N314" s="150"/>
      <c r="O314" s="150"/>
      <c r="P314" s="140"/>
      <c r="Q314" s="140"/>
      <c r="R314" s="140"/>
      <c r="S314" s="140"/>
      <c r="T314" s="140"/>
      <c r="U314" s="140"/>
      <c r="V314" s="140"/>
      <c r="W314" s="140"/>
      <c r="X314" s="140"/>
      <c r="Y314" s="140"/>
      <c r="Z314" s="140"/>
      <c r="AA314" s="140"/>
      <c r="AB314" s="140"/>
      <c r="AC314" s="140"/>
      <c r="AD314" s="140"/>
      <c r="AE314" s="140"/>
      <c r="AF314" s="140"/>
      <c r="AG314" s="140"/>
      <c r="AH314" s="140"/>
      <c r="AI314" s="140"/>
      <c r="AJ314" s="140"/>
      <c r="AK314" s="140"/>
      <c r="AL314" s="140"/>
      <c r="AM314" s="140"/>
      <c r="AN314" s="140"/>
      <c r="AO314" s="140"/>
      <c r="AP314" s="140"/>
      <c r="AQ314" s="140"/>
      <c r="AR314" s="140"/>
      <c r="AS314" s="140"/>
      <c r="AT314" s="140"/>
      <c r="AU314" s="140"/>
      <c r="AV314" s="140"/>
      <c r="AW314" s="140"/>
      <c r="AX314" s="140"/>
      <c r="AY314" s="140"/>
      <c r="AZ314" s="140"/>
      <c r="BA314" s="140"/>
      <c r="BB314" s="140"/>
      <c r="BC314" s="140"/>
      <c r="BD314" s="140"/>
      <c r="BE314" s="140"/>
      <c r="BF314" s="140"/>
      <c r="BG314" s="140"/>
      <c r="BH314" s="140"/>
      <c r="BI314" s="140"/>
      <c r="BJ314" s="140"/>
      <c r="BK314" s="140"/>
      <c r="BL314" s="140"/>
      <c r="BM314" s="140"/>
      <c r="BN314" s="140"/>
      <c r="BO314" s="140"/>
      <c r="BP314" s="140"/>
      <c r="BQ314" s="140"/>
      <c r="BR314" s="140"/>
      <c r="BS314" s="140"/>
      <c r="BT314" s="140"/>
      <c r="BU314" s="140"/>
      <c r="BV314" s="140"/>
      <c r="BW314" s="140"/>
      <c r="BX314" s="140"/>
      <c r="BY314" s="140"/>
    </row>
    <row r="315" ht="15.75" customHeight="1">
      <c r="A315" s="150"/>
      <c r="B315" s="150"/>
      <c r="C315" s="150"/>
      <c r="D315" s="150"/>
      <c r="E315" s="150"/>
      <c r="F315" s="150"/>
      <c r="G315" s="150"/>
      <c r="H315" s="150"/>
      <c r="I315" s="150"/>
      <c r="J315" s="150"/>
      <c r="K315" s="150"/>
      <c r="L315" s="150"/>
      <c r="M315" s="150"/>
      <c r="N315" s="150"/>
      <c r="O315" s="150"/>
      <c r="P315" s="140"/>
      <c r="Q315" s="140"/>
      <c r="R315" s="140"/>
      <c r="S315" s="140"/>
      <c r="T315" s="140"/>
      <c r="U315" s="140"/>
      <c r="V315" s="140"/>
      <c r="W315" s="140"/>
      <c r="X315" s="140"/>
      <c r="Y315" s="140"/>
      <c r="Z315" s="140"/>
      <c r="AA315" s="140"/>
      <c r="AB315" s="140"/>
      <c r="AC315" s="140"/>
      <c r="AD315" s="140"/>
      <c r="AE315" s="140"/>
      <c r="AF315" s="140"/>
      <c r="AG315" s="140"/>
      <c r="AH315" s="140"/>
      <c r="AI315" s="140"/>
      <c r="AJ315" s="140"/>
      <c r="AK315" s="140"/>
      <c r="AL315" s="140"/>
      <c r="AM315" s="140"/>
      <c r="AN315" s="140"/>
      <c r="AO315" s="140"/>
      <c r="AP315" s="140"/>
      <c r="AQ315" s="140"/>
      <c r="AR315" s="140"/>
      <c r="AS315" s="140"/>
      <c r="AT315" s="140"/>
      <c r="AU315" s="140"/>
      <c r="AV315" s="140"/>
      <c r="AW315" s="140"/>
      <c r="AX315" s="140"/>
      <c r="AY315" s="140"/>
      <c r="AZ315" s="140"/>
      <c r="BA315" s="140"/>
      <c r="BB315" s="140"/>
      <c r="BC315" s="140"/>
      <c r="BD315" s="140"/>
      <c r="BE315" s="140"/>
      <c r="BF315" s="140"/>
      <c r="BG315" s="140"/>
      <c r="BH315" s="140"/>
      <c r="BI315" s="140"/>
      <c r="BJ315" s="140"/>
      <c r="BK315" s="140"/>
      <c r="BL315" s="140"/>
      <c r="BM315" s="140"/>
      <c r="BN315" s="140"/>
      <c r="BO315" s="140"/>
      <c r="BP315" s="140"/>
      <c r="BQ315" s="140"/>
      <c r="BR315" s="140"/>
      <c r="BS315" s="140"/>
      <c r="BT315" s="140"/>
      <c r="BU315" s="140"/>
      <c r="BV315" s="140"/>
      <c r="BW315" s="140"/>
      <c r="BX315" s="140"/>
      <c r="BY315" s="140"/>
    </row>
    <row r="316" ht="15.75" customHeight="1">
      <c r="A316" s="150"/>
      <c r="B316" s="150"/>
      <c r="C316" s="150"/>
      <c r="D316" s="150"/>
      <c r="E316" s="150"/>
      <c r="F316" s="150"/>
      <c r="G316" s="150"/>
      <c r="H316" s="150"/>
      <c r="I316" s="150"/>
      <c r="J316" s="150"/>
      <c r="K316" s="150"/>
      <c r="L316" s="150"/>
      <c r="M316" s="150"/>
      <c r="N316" s="150"/>
      <c r="O316" s="150"/>
      <c r="P316" s="140"/>
      <c r="Q316" s="140"/>
      <c r="R316" s="140"/>
      <c r="S316" s="140"/>
      <c r="T316" s="140"/>
      <c r="U316" s="140"/>
      <c r="V316" s="140"/>
      <c r="W316" s="140"/>
      <c r="X316" s="140"/>
      <c r="Y316" s="140"/>
      <c r="Z316" s="140"/>
      <c r="AA316" s="140"/>
      <c r="AB316" s="140"/>
      <c r="AC316" s="140"/>
      <c r="AD316" s="140"/>
      <c r="AE316" s="140"/>
      <c r="AF316" s="140"/>
      <c r="AG316" s="140"/>
      <c r="AH316" s="140"/>
      <c r="AI316" s="140"/>
      <c r="AJ316" s="140"/>
      <c r="AK316" s="140"/>
      <c r="AL316" s="140"/>
      <c r="AM316" s="140"/>
      <c r="AN316" s="140"/>
      <c r="AO316" s="140"/>
      <c r="AP316" s="140"/>
      <c r="AQ316" s="140"/>
      <c r="AR316" s="140"/>
      <c r="AS316" s="140"/>
      <c r="AT316" s="140"/>
      <c r="AU316" s="140"/>
      <c r="AV316" s="140"/>
      <c r="AW316" s="140"/>
      <c r="AX316" s="140"/>
      <c r="AY316" s="140"/>
      <c r="AZ316" s="140"/>
      <c r="BA316" s="140"/>
      <c r="BB316" s="140"/>
      <c r="BC316" s="140"/>
      <c r="BD316" s="140"/>
      <c r="BE316" s="140"/>
      <c r="BF316" s="140"/>
      <c r="BG316" s="140"/>
      <c r="BH316" s="140"/>
      <c r="BI316" s="140"/>
      <c r="BJ316" s="140"/>
      <c r="BK316" s="140"/>
      <c r="BL316" s="140"/>
      <c r="BM316" s="140"/>
      <c r="BN316" s="140"/>
      <c r="BO316" s="140"/>
      <c r="BP316" s="140"/>
      <c r="BQ316" s="140"/>
      <c r="BR316" s="140"/>
      <c r="BS316" s="140"/>
      <c r="BT316" s="140"/>
      <c r="BU316" s="140"/>
      <c r="BV316" s="140"/>
      <c r="BW316" s="140"/>
      <c r="BX316" s="140"/>
      <c r="BY316" s="140"/>
    </row>
    <row r="317" ht="15.75" customHeight="1">
      <c r="A317" s="150"/>
      <c r="B317" s="150"/>
      <c r="C317" s="150"/>
      <c r="D317" s="150"/>
      <c r="E317" s="150"/>
      <c r="F317" s="150"/>
      <c r="G317" s="150"/>
      <c r="H317" s="150"/>
      <c r="I317" s="150"/>
      <c r="J317" s="150"/>
      <c r="K317" s="150"/>
      <c r="L317" s="150"/>
      <c r="M317" s="150"/>
      <c r="N317" s="150"/>
      <c r="O317" s="150"/>
      <c r="P317" s="140"/>
      <c r="Q317" s="140"/>
      <c r="R317" s="140"/>
      <c r="S317" s="140"/>
      <c r="T317" s="140"/>
      <c r="U317" s="140"/>
      <c r="V317" s="140"/>
      <c r="W317" s="140"/>
      <c r="X317" s="140"/>
      <c r="Y317" s="140"/>
      <c r="Z317" s="140"/>
      <c r="AA317" s="140"/>
      <c r="AB317" s="140"/>
      <c r="AC317" s="140"/>
      <c r="AD317" s="140"/>
      <c r="AE317" s="140"/>
      <c r="AF317" s="140"/>
      <c r="AG317" s="140"/>
      <c r="AH317" s="140"/>
      <c r="AI317" s="140"/>
      <c r="AJ317" s="140"/>
      <c r="AK317" s="140"/>
      <c r="AL317" s="140"/>
      <c r="AM317" s="140"/>
      <c r="AN317" s="140"/>
      <c r="AO317" s="140"/>
      <c r="AP317" s="140"/>
      <c r="AQ317" s="140"/>
      <c r="AR317" s="140"/>
      <c r="AS317" s="140"/>
      <c r="AT317" s="140"/>
      <c r="AU317" s="140"/>
      <c r="AV317" s="140"/>
      <c r="AW317" s="140"/>
      <c r="AX317" s="140"/>
      <c r="AY317" s="140"/>
      <c r="AZ317" s="140"/>
      <c r="BA317" s="140"/>
      <c r="BB317" s="140"/>
      <c r="BC317" s="140"/>
      <c r="BD317" s="140"/>
      <c r="BE317" s="140"/>
      <c r="BF317" s="140"/>
      <c r="BG317" s="140"/>
      <c r="BH317" s="140"/>
      <c r="BI317" s="140"/>
      <c r="BJ317" s="140"/>
      <c r="BK317" s="140"/>
      <c r="BL317" s="140"/>
      <c r="BM317" s="140"/>
      <c r="BN317" s="140"/>
      <c r="BO317" s="140"/>
      <c r="BP317" s="140"/>
      <c r="BQ317" s="140"/>
      <c r="BR317" s="140"/>
      <c r="BS317" s="140"/>
      <c r="BT317" s="140"/>
      <c r="BU317" s="140"/>
      <c r="BV317" s="140"/>
      <c r="BW317" s="140"/>
      <c r="BX317" s="140"/>
      <c r="BY317" s="140"/>
    </row>
    <row r="318" ht="15.75" customHeight="1">
      <c r="A318" s="150"/>
      <c r="B318" s="150"/>
      <c r="C318" s="150"/>
      <c r="D318" s="150"/>
      <c r="E318" s="150"/>
      <c r="F318" s="150"/>
      <c r="G318" s="150"/>
      <c r="H318" s="150"/>
      <c r="I318" s="150"/>
      <c r="J318" s="150"/>
      <c r="K318" s="150"/>
      <c r="L318" s="150"/>
      <c r="M318" s="150"/>
      <c r="N318" s="150"/>
      <c r="O318" s="150"/>
      <c r="P318" s="140"/>
      <c r="Q318" s="140"/>
      <c r="R318" s="140"/>
      <c r="S318" s="140"/>
      <c r="T318" s="140"/>
      <c r="U318" s="140"/>
      <c r="V318" s="140"/>
      <c r="W318" s="140"/>
      <c r="X318" s="140"/>
      <c r="Y318" s="140"/>
      <c r="Z318" s="140"/>
      <c r="AA318" s="140"/>
      <c r="AB318" s="140"/>
      <c r="AC318" s="140"/>
      <c r="AD318" s="140"/>
      <c r="AE318" s="140"/>
      <c r="AF318" s="140"/>
      <c r="AG318" s="140"/>
      <c r="AH318" s="140"/>
      <c r="AI318" s="140"/>
      <c r="AJ318" s="140"/>
      <c r="AK318" s="140"/>
      <c r="AL318" s="140"/>
      <c r="AM318" s="140"/>
      <c r="AN318" s="140"/>
      <c r="AO318" s="140"/>
      <c r="AP318" s="140"/>
      <c r="AQ318" s="140"/>
      <c r="AR318" s="140"/>
      <c r="AS318" s="140"/>
      <c r="AT318" s="140"/>
      <c r="AU318" s="140"/>
      <c r="AV318" s="140"/>
      <c r="AW318" s="140"/>
      <c r="AX318" s="140"/>
      <c r="AY318" s="140"/>
      <c r="AZ318" s="140"/>
      <c r="BA318" s="140"/>
      <c r="BB318" s="140"/>
      <c r="BC318" s="140"/>
      <c r="BD318" s="140"/>
      <c r="BE318" s="140"/>
      <c r="BF318" s="140"/>
      <c r="BG318" s="140"/>
      <c r="BH318" s="140"/>
      <c r="BI318" s="140"/>
      <c r="BJ318" s="140"/>
      <c r="BK318" s="140"/>
      <c r="BL318" s="140"/>
      <c r="BM318" s="140"/>
      <c r="BN318" s="140"/>
      <c r="BO318" s="140"/>
      <c r="BP318" s="140"/>
      <c r="BQ318" s="140"/>
      <c r="BR318" s="140"/>
      <c r="BS318" s="140"/>
      <c r="BT318" s="140"/>
      <c r="BU318" s="140"/>
      <c r="BV318" s="140"/>
      <c r="BW318" s="140"/>
      <c r="BX318" s="140"/>
      <c r="BY318" s="140"/>
    </row>
    <row r="319" ht="15.75" customHeight="1">
      <c r="A319" s="150"/>
      <c r="B319" s="150"/>
      <c r="C319" s="150"/>
      <c r="D319" s="150"/>
      <c r="E319" s="150"/>
      <c r="F319" s="150"/>
      <c r="G319" s="150"/>
      <c r="H319" s="150"/>
      <c r="I319" s="150"/>
      <c r="J319" s="150"/>
      <c r="K319" s="150"/>
      <c r="L319" s="150"/>
      <c r="M319" s="150"/>
      <c r="N319" s="150"/>
      <c r="O319" s="150"/>
      <c r="P319" s="140"/>
      <c r="Q319" s="140"/>
      <c r="R319" s="140"/>
      <c r="S319" s="140"/>
      <c r="T319" s="140"/>
      <c r="U319" s="140"/>
      <c r="V319" s="140"/>
      <c r="W319" s="140"/>
      <c r="X319" s="140"/>
      <c r="Y319" s="140"/>
      <c r="Z319" s="140"/>
      <c r="AA319" s="140"/>
      <c r="AB319" s="140"/>
      <c r="AC319" s="140"/>
      <c r="AD319" s="140"/>
      <c r="AE319" s="140"/>
      <c r="AF319" s="140"/>
      <c r="AG319" s="140"/>
      <c r="AH319" s="140"/>
      <c r="AI319" s="140"/>
      <c r="AJ319" s="140"/>
      <c r="AK319" s="140"/>
      <c r="AL319" s="140"/>
      <c r="AM319" s="140"/>
      <c r="AN319" s="140"/>
      <c r="AO319" s="140"/>
      <c r="AP319" s="140"/>
      <c r="AQ319" s="140"/>
      <c r="AR319" s="140"/>
      <c r="AS319" s="140"/>
      <c r="AT319" s="140"/>
      <c r="AU319" s="140"/>
      <c r="AV319" s="140"/>
      <c r="AW319" s="140"/>
      <c r="AX319" s="140"/>
      <c r="AY319" s="140"/>
      <c r="AZ319" s="140"/>
      <c r="BA319" s="140"/>
      <c r="BB319" s="140"/>
      <c r="BC319" s="140"/>
      <c r="BD319" s="140"/>
      <c r="BE319" s="140"/>
      <c r="BF319" s="140"/>
      <c r="BG319" s="140"/>
      <c r="BH319" s="140"/>
      <c r="BI319" s="140"/>
      <c r="BJ319" s="140"/>
      <c r="BK319" s="140"/>
      <c r="BL319" s="140"/>
      <c r="BM319" s="140"/>
      <c r="BN319" s="140"/>
      <c r="BO319" s="140"/>
      <c r="BP319" s="140"/>
      <c r="BQ319" s="140"/>
      <c r="BR319" s="140"/>
      <c r="BS319" s="140"/>
      <c r="BT319" s="140"/>
      <c r="BU319" s="140"/>
      <c r="BV319" s="140"/>
      <c r="BW319" s="140"/>
      <c r="BX319" s="140"/>
      <c r="BY319" s="140"/>
    </row>
    <row r="320" ht="15.75" customHeight="1">
      <c r="A320" s="150"/>
      <c r="B320" s="150"/>
      <c r="C320" s="150"/>
      <c r="D320" s="150"/>
      <c r="E320" s="150"/>
      <c r="F320" s="150"/>
      <c r="G320" s="150"/>
      <c r="H320" s="150"/>
      <c r="I320" s="150"/>
      <c r="J320" s="150"/>
      <c r="K320" s="150"/>
      <c r="L320" s="150"/>
      <c r="M320" s="150"/>
      <c r="N320" s="150"/>
      <c r="O320" s="150"/>
      <c r="P320" s="140"/>
      <c r="Q320" s="140"/>
      <c r="R320" s="140"/>
      <c r="S320" s="140"/>
      <c r="T320" s="140"/>
      <c r="U320" s="140"/>
      <c r="V320" s="140"/>
      <c r="W320" s="140"/>
      <c r="X320" s="140"/>
      <c r="Y320" s="140"/>
      <c r="Z320" s="140"/>
      <c r="AA320" s="140"/>
      <c r="AB320" s="140"/>
      <c r="AC320" s="140"/>
      <c r="AD320" s="140"/>
      <c r="AE320" s="140"/>
      <c r="AF320" s="140"/>
      <c r="AG320" s="140"/>
      <c r="AH320" s="140"/>
      <c r="AI320" s="140"/>
      <c r="AJ320" s="140"/>
      <c r="AK320" s="140"/>
      <c r="AL320" s="140"/>
      <c r="AM320" s="140"/>
      <c r="AN320" s="140"/>
      <c r="AO320" s="140"/>
      <c r="AP320" s="140"/>
      <c r="AQ320" s="140"/>
      <c r="AR320" s="140"/>
      <c r="AS320" s="140"/>
      <c r="AT320" s="140"/>
      <c r="AU320" s="140"/>
      <c r="AV320" s="140"/>
      <c r="AW320" s="140"/>
      <c r="AX320" s="140"/>
      <c r="AY320" s="140"/>
      <c r="AZ320" s="140"/>
      <c r="BA320" s="140"/>
      <c r="BB320" s="140"/>
      <c r="BC320" s="140"/>
      <c r="BD320" s="140"/>
      <c r="BE320" s="140"/>
      <c r="BF320" s="140"/>
      <c r="BG320" s="140"/>
      <c r="BH320" s="140"/>
      <c r="BI320" s="140"/>
      <c r="BJ320" s="140"/>
      <c r="BK320" s="140"/>
      <c r="BL320" s="140"/>
      <c r="BM320" s="140"/>
      <c r="BN320" s="140"/>
      <c r="BO320" s="140"/>
      <c r="BP320" s="140"/>
      <c r="BQ320" s="140"/>
      <c r="BR320" s="140"/>
      <c r="BS320" s="140"/>
      <c r="BT320" s="140"/>
      <c r="BU320" s="140"/>
      <c r="BV320" s="140"/>
      <c r="BW320" s="140"/>
      <c r="BX320" s="140"/>
      <c r="BY320" s="140"/>
    </row>
    <row r="321" ht="15.75" customHeight="1">
      <c r="A321" s="150"/>
      <c r="B321" s="150"/>
      <c r="C321" s="150"/>
      <c r="D321" s="150"/>
      <c r="E321" s="150"/>
      <c r="F321" s="150"/>
      <c r="G321" s="150"/>
      <c r="H321" s="150"/>
      <c r="I321" s="150"/>
      <c r="J321" s="150"/>
      <c r="K321" s="150"/>
      <c r="L321" s="150"/>
      <c r="M321" s="150"/>
      <c r="N321" s="150"/>
      <c r="O321" s="150"/>
      <c r="P321" s="140"/>
      <c r="Q321" s="140"/>
      <c r="R321" s="140"/>
      <c r="S321" s="140"/>
      <c r="T321" s="140"/>
      <c r="U321" s="140"/>
      <c r="V321" s="140"/>
      <c r="W321" s="140"/>
      <c r="X321" s="140"/>
      <c r="Y321" s="140"/>
      <c r="Z321" s="140"/>
      <c r="AA321" s="140"/>
      <c r="AB321" s="140"/>
      <c r="AC321" s="140"/>
      <c r="AD321" s="140"/>
      <c r="AE321" s="140"/>
      <c r="AF321" s="140"/>
      <c r="AG321" s="140"/>
      <c r="AH321" s="140"/>
      <c r="AI321" s="140"/>
      <c r="AJ321" s="140"/>
      <c r="AK321" s="140"/>
      <c r="AL321" s="140"/>
      <c r="AM321" s="140"/>
      <c r="AN321" s="140"/>
      <c r="AO321" s="140"/>
      <c r="AP321" s="140"/>
      <c r="AQ321" s="140"/>
      <c r="AR321" s="140"/>
      <c r="AS321" s="140"/>
      <c r="AT321" s="140"/>
      <c r="AU321" s="140"/>
      <c r="AV321" s="140"/>
      <c r="AW321" s="140"/>
      <c r="AX321" s="140"/>
      <c r="AY321" s="140"/>
      <c r="AZ321" s="140"/>
      <c r="BA321" s="140"/>
      <c r="BB321" s="140"/>
      <c r="BC321" s="140"/>
      <c r="BD321" s="140"/>
      <c r="BE321" s="140"/>
      <c r="BF321" s="140"/>
      <c r="BG321" s="140"/>
      <c r="BH321" s="140"/>
      <c r="BI321" s="140"/>
      <c r="BJ321" s="140"/>
      <c r="BK321" s="140"/>
      <c r="BL321" s="140"/>
      <c r="BM321" s="140"/>
      <c r="BN321" s="140"/>
      <c r="BO321" s="140"/>
      <c r="BP321" s="140"/>
      <c r="BQ321" s="140"/>
      <c r="BR321" s="140"/>
      <c r="BS321" s="140"/>
      <c r="BT321" s="140"/>
      <c r="BU321" s="140"/>
      <c r="BV321" s="140"/>
      <c r="BW321" s="140"/>
      <c r="BX321" s="140"/>
      <c r="BY321" s="140"/>
    </row>
    <row r="322" ht="15.75" customHeight="1">
      <c r="A322" s="150"/>
      <c r="B322" s="150"/>
      <c r="C322" s="150"/>
      <c r="D322" s="150"/>
      <c r="E322" s="150"/>
      <c r="F322" s="150"/>
      <c r="G322" s="150"/>
      <c r="H322" s="150"/>
      <c r="I322" s="150"/>
      <c r="J322" s="150"/>
      <c r="K322" s="150"/>
      <c r="L322" s="150"/>
      <c r="M322" s="150"/>
      <c r="N322" s="150"/>
      <c r="O322" s="150"/>
      <c r="P322" s="140"/>
      <c r="Q322" s="140"/>
      <c r="R322" s="140"/>
      <c r="S322" s="140"/>
      <c r="T322" s="140"/>
      <c r="U322" s="140"/>
      <c r="V322" s="140"/>
      <c r="W322" s="140"/>
      <c r="X322" s="140"/>
      <c r="Y322" s="140"/>
      <c r="Z322" s="140"/>
      <c r="AA322" s="140"/>
      <c r="AB322" s="140"/>
      <c r="AC322" s="140"/>
      <c r="AD322" s="140"/>
      <c r="AE322" s="140"/>
      <c r="AF322" s="140"/>
      <c r="AG322" s="140"/>
      <c r="AH322" s="140"/>
      <c r="AI322" s="140"/>
      <c r="AJ322" s="140"/>
      <c r="AK322" s="140"/>
      <c r="AL322" s="140"/>
      <c r="AM322" s="140"/>
      <c r="AN322" s="140"/>
      <c r="AO322" s="140"/>
      <c r="AP322" s="140"/>
      <c r="AQ322" s="140"/>
      <c r="AR322" s="140"/>
      <c r="AS322" s="140"/>
      <c r="AT322" s="140"/>
      <c r="AU322" s="140"/>
      <c r="AV322" s="140"/>
      <c r="AW322" s="140"/>
      <c r="AX322" s="140"/>
      <c r="AY322" s="140"/>
      <c r="AZ322" s="140"/>
      <c r="BA322" s="140"/>
      <c r="BB322" s="140"/>
      <c r="BC322" s="140"/>
      <c r="BD322" s="140"/>
      <c r="BE322" s="140"/>
      <c r="BF322" s="140"/>
      <c r="BG322" s="140"/>
      <c r="BH322" s="140"/>
      <c r="BI322" s="140"/>
      <c r="BJ322" s="140"/>
      <c r="BK322" s="140"/>
      <c r="BL322" s="140"/>
      <c r="BM322" s="140"/>
      <c r="BN322" s="140"/>
      <c r="BO322" s="140"/>
      <c r="BP322" s="140"/>
      <c r="BQ322" s="140"/>
      <c r="BR322" s="140"/>
      <c r="BS322" s="140"/>
      <c r="BT322" s="140"/>
      <c r="BU322" s="140"/>
      <c r="BV322" s="140"/>
      <c r="BW322" s="140"/>
      <c r="BX322" s="140"/>
      <c r="BY322" s="140"/>
    </row>
    <row r="323" ht="15.75" customHeight="1">
      <c r="A323" s="150"/>
      <c r="B323" s="150"/>
      <c r="C323" s="150"/>
      <c r="D323" s="150"/>
      <c r="E323" s="150"/>
      <c r="F323" s="150"/>
      <c r="G323" s="150"/>
      <c r="H323" s="150"/>
      <c r="I323" s="150"/>
      <c r="J323" s="150"/>
      <c r="K323" s="150"/>
      <c r="L323" s="150"/>
      <c r="M323" s="150"/>
      <c r="N323" s="150"/>
      <c r="O323" s="150"/>
      <c r="P323" s="140"/>
      <c r="Q323" s="140"/>
      <c r="R323" s="140"/>
      <c r="S323" s="140"/>
      <c r="T323" s="140"/>
      <c r="U323" s="140"/>
      <c r="V323" s="140"/>
      <c r="W323" s="140"/>
      <c r="X323" s="140"/>
      <c r="Y323" s="140"/>
      <c r="Z323" s="140"/>
      <c r="AA323" s="140"/>
      <c r="AB323" s="140"/>
      <c r="AC323" s="140"/>
      <c r="AD323" s="140"/>
      <c r="AE323" s="140"/>
      <c r="AF323" s="140"/>
      <c r="AG323" s="140"/>
      <c r="AH323" s="140"/>
      <c r="AI323" s="140"/>
      <c r="AJ323" s="140"/>
      <c r="AK323" s="140"/>
      <c r="AL323" s="140"/>
      <c r="AM323" s="140"/>
      <c r="AN323" s="140"/>
      <c r="AO323" s="140"/>
      <c r="AP323" s="140"/>
      <c r="AQ323" s="140"/>
      <c r="AR323" s="140"/>
      <c r="AS323" s="140"/>
      <c r="AT323" s="140"/>
      <c r="AU323" s="140"/>
      <c r="AV323" s="140"/>
      <c r="AW323" s="140"/>
      <c r="AX323" s="140"/>
      <c r="AY323" s="140"/>
      <c r="AZ323" s="140"/>
      <c r="BA323" s="140"/>
      <c r="BB323" s="140"/>
      <c r="BC323" s="140"/>
      <c r="BD323" s="140"/>
      <c r="BE323" s="140"/>
      <c r="BF323" s="140"/>
      <c r="BG323" s="140"/>
      <c r="BH323" s="140"/>
      <c r="BI323" s="140"/>
      <c r="BJ323" s="140"/>
      <c r="BK323" s="140"/>
      <c r="BL323" s="140"/>
      <c r="BM323" s="140"/>
      <c r="BN323" s="140"/>
      <c r="BO323" s="140"/>
      <c r="BP323" s="140"/>
      <c r="BQ323" s="140"/>
      <c r="BR323" s="140"/>
      <c r="BS323" s="140"/>
      <c r="BT323" s="140"/>
      <c r="BU323" s="140"/>
      <c r="BV323" s="140"/>
      <c r="BW323" s="140"/>
      <c r="BX323" s="140"/>
      <c r="BY323" s="140"/>
    </row>
    <row r="324" ht="15.75" customHeight="1">
      <c r="A324" s="150"/>
      <c r="B324" s="150"/>
      <c r="C324" s="150"/>
      <c r="D324" s="150"/>
      <c r="E324" s="150"/>
      <c r="F324" s="150"/>
      <c r="G324" s="150"/>
      <c r="H324" s="150"/>
      <c r="I324" s="150"/>
      <c r="J324" s="150"/>
      <c r="K324" s="150"/>
      <c r="L324" s="150"/>
      <c r="M324" s="150"/>
      <c r="N324" s="150"/>
      <c r="O324" s="150"/>
      <c r="P324" s="140"/>
      <c r="Q324" s="140"/>
      <c r="R324" s="140"/>
      <c r="S324" s="140"/>
      <c r="T324" s="140"/>
      <c r="U324" s="140"/>
      <c r="V324" s="140"/>
      <c r="W324" s="140"/>
      <c r="X324" s="140"/>
      <c r="Y324" s="140"/>
      <c r="Z324" s="140"/>
      <c r="AA324" s="140"/>
      <c r="AB324" s="140"/>
      <c r="AC324" s="140"/>
      <c r="AD324" s="140"/>
      <c r="AE324" s="140"/>
      <c r="AF324" s="140"/>
      <c r="AG324" s="140"/>
      <c r="AH324" s="140"/>
      <c r="AI324" s="140"/>
      <c r="AJ324" s="140"/>
      <c r="AK324" s="140"/>
      <c r="AL324" s="140"/>
      <c r="AM324" s="140"/>
      <c r="AN324" s="140"/>
      <c r="AO324" s="140"/>
      <c r="AP324" s="140"/>
      <c r="AQ324" s="140"/>
      <c r="AR324" s="140"/>
      <c r="AS324" s="140"/>
      <c r="AT324" s="140"/>
      <c r="AU324" s="140"/>
      <c r="AV324" s="140"/>
      <c r="AW324" s="140"/>
      <c r="AX324" s="140"/>
      <c r="AY324" s="140"/>
      <c r="AZ324" s="140"/>
      <c r="BA324" s="140"/>
      <c r="BB324" s="140"/>
      <c r="BC324" s="140"/>
      <c r="BD324" s="140"/>
      <c r="BE324" s="140"/>
      <c r="BF324" s="140"/>
      <c r="BG324" s="140"/>
      <c r="BH324" s="140"/>
      <c r="BI324" s="140"/>
      <c r="BJ324" s="140"/>
      <c r="BK324" s="140"/>
      <c r="BL324" s="140"/>
      <c r="BM324" s="140"/>
      <c r="BN324" s="140"/>
      <c r="BO324" s="140"/>
      <c r="BP324" s="140"/>
      <c r="BQ324" s="140"/>
      <c r="BR324" s="140"/>
      <c r="BS324" s="140"/>
      <c r="BT324" s="140"/>
      <c r="BU324" s="140"/>
      <c r="BV324" s="140"/>
      <c r="BW324" s="140"/>
      <c r="BX324" s="140"/>
      <c r="BY324" s="140"/>
    </row>
    <row r="325" ht="15.75" customHeight="1">
      <c r="A325" s="150"/>
      <c r="B325" s="150"/>
      <c r="C325" s="150"/>
      <c r="D325" s="150"/>
      <c r="E325" s="150"/>
      <c r="F325" s="150"/>
      <c r="G325" s="150"/>
      <c r="H325" s="150"/>
      <c r="I325" s="150"/>
      <c r="J325" s="150"/>
      <c r="K325" s="150"/>
      <c r="L325" s="150"/>
      <c r="M325" s="150"/>
      <c r="N325" s="150"/>
      <c r="O325" s="150"/>
      <c r="P325" s="140"/>
      <c r="Q325" s="140"/>
      <c r="R325" s="140"/>
      <c r="S325" s="140"/>
      <c r="T325" s="140"/>
      <c r="U325" s="140"/>
      <c r="V325" s="140"/>
      <c r="W325" s="140"/>
      <c r="X325" s="140"/>
      <c r="Y325" s="140"/>
      <c r="Z325" s="140"/>
      <c r="AA325" s="140"/>
      <c r="AB325" s="140"/>
      <c r="AC325" s="140"/>
      <c r="AD325" s="140"/>
      <c r="AE325" s="140"/>
      <c r="AF325" s="140"/>
      <c r="AG325" s="140"/>
      <c r="AH325" s="140"/>
      <c r="AI325" s="140"/>
      <c r="AJ325" s="140"/>
      <c r="AK325" s="140"/>
      <c r="AL325" s="140"/>
      <c r="AM325" s="140"/>
      <c r="AN325" s="140"/>
      <c r="AO325" s="140"/>
      <c r="AP325" s="140"/>
      <c r="AQ325" s="140"/>
      <c r="AR325" s="140"/>
      <c r="AS325" s="140"/>
      <c r="AT325" s="140"/>
      <c r="AU325" s="140"/>
      <c r="AV325" s="140"/>
      <c r="AW325" s="140"/>
      <c r="AX325" s="140"/>
      <c r="AY325" s="140"/>
      <c r="AZ325" s="140"/>
      <c r="BA325" s="140"/>
      <c r="BB325" s="140"/>
      <c r="BC325" s="140"/>
      <c r="BD325" s="140"/>
      <c r="BE325" s="140"/>
      <c r="BF325" s="140"/>
      <c r="BG325" s="140"/>
      <c r="BH325" s="140"/>
      <c r="BI325" s="140"/>
      <c r="BJ325" s="140"/>
      <c r="BK325" s="140"/>
      <c r="BL325" s="140"/>
      <c r="BM325" s="140"/>
      <c r="BN325" s="140"/>
      <c r="BO325" s="140"/>
      <c r="BP325" s="140"/>
      <c r="BQ325" s="140"/>
      <c r="BR325" s="140"/>
      <c r="BS325" s="140"/>
      <c r="BT325" s="140"/>
      <c r="BU325" s="140"/>
      <c r="BV325" s="140"/>
      <c r="BW325" s="140"/>
      <c r="BX325" s="140"/>
      <c r="BY325" s="140"/>
    </row>
    <row r="326" ht="15.75" customHeight="1">
      <c r="A326" s="150"/>
      <c r="B326" s="150"/>
      <c r="C326" s="150"/>
      <c r="D326" s="150"/>
      <c r="E326" s="150"/>
      <c r="F326" s="150"/>
      <c r="G326" s="150"/>
      <c r="H326" s="150"/>
      <c r="I326" s="150"/>
      <c r="J326" s="150"/>
      <c r="K326" s="150"/>
      <c r="L326" s="150"/>
      <c r="M326" s="150"/>
      <c r="N326" s="150"/>
      <c r="O326" s="150"/>
      <c r="P326" s="140"/>
      <c r="Q326" s="140"/>
      <c r="R326" s="140"/>
      <c r="S326" s="140"/>
      <c r="T326" s="140"/>
      <c r="U326" s="140"/>
      <c r="V326" s="140"/>
      <c r="W326" s="140"/>
      <c r="X326" s="140"/>
      <c r="Y326" s="140"/>
      <c r="Z326" s="140"/>
      <c r="AA326" s="140"/>
      <c r="AB326" s="140"/>
      <c r="AC326" s="140"/>
      <c r="AD326" s="140"/>
      <c r="AE326" s="140"/>
      <c r="AF326" s="140"/>
      <c r="AG326" s="140"/>
      <c r="AH326" s="140"/>
      <c r="AI326" s="140"/>
      <c r="AJ326" s="140"/>
      <c r="AK326" s="140"/>
      <c r="AL326" s="140"/>
      <c r="AM326" s="140"/>
      <c r="AN326" s="140"/>
      <c r="AO326" s="140"/>
      <c r="AP326" s="140"/>
      <c r="AQ326" s="140"/>
      <c r="AR326" s="140"/>
      <c r="AS326" s="140"/>
      <c r="AT326" s="140"/>
      <c r="AU326" s="140"/>
      <c r="AV326" s="140"/>
      <c r="AW326" s="140"/>
      <c r="AX326" s="140"/>
      <c r="AY326" s="140"/>
      <c r="AZ326" s="140"/>
      <c r="BA326" s="140"/>
      <c r="BB326" s="140"/>
      <c r="BC326" s="140"/>
      <c r="BD326" s="140"/>
      <c r="BE326" s="140"/>
      <c r="BF326" s="140"/>
      <c r="BG326" s="140"/>
      <c r="BH326" s="140"/>
      <c r="BI326" s="140"/>
      <c r="BJ326" s="140"/>
      <c r="BK326" s="140"/>
      <c r="BL326" s="140"/>
      <c r="BM326" s="140"/>
      <c r="BN326" s="140"/>
      <c r="BO326" s="140"/>
      <c r="BP326" s="140"/>
      <c r="BQ326" s="140"/>
      <c r="BR326" s="140"/>
      <c r="BS326" s="140"/>
      <c r="BT326" s="140"/>
      <c r="BU326" s="140"/>
      <c r="BV326" s="140"/>
      <c r="BW326" s="140"/>
      <c r="BX326" s="140"/>
      <c r="BY326" s="140"/>
    </row>
    <row r="327" ht="15.75" customHeight="1">
      <c r="A327" s="150"/>
      <c r="B327" s="150"/>
      <c r="C327" s="150"/>
      <c r="D327" s="150"/>
      <c r="E327" s="150"/>
      <c r="F327" s="150"/>
      <c r="G327" s="150"/>
      <c r="H327" s="150"/>
      <c r="I327" s="150"/>
      <c r="J327" s="150"/>
      <c r="K327" s="150"/>
      <c r="L327" s="150"/>
      <c r="M327" s="150"/>
      <c r="N327" s="150"/>
      <c r="O327" s="150"/>
      <c r="P327" s="140"/>
      <c r="Q327" s="140"/>
      <c r="R327" s="140"/>
      <c r="S327" s="140"/>
      <c r="T327" s="140"/>
      <c r="U327" s="140"/>
      <c r="V327" s="140"/>
      <c r="W327" s="140"/>
      <c r="X327" s="140"/>
      <c r="Y327" s="140"/>
      <c r="Z327" s="140"/>
      <c r="AA327" s="140"/>
      <c r="AB327" s="140"/>
      <c r="AC327" s="140"/>
      <c r="AD327" s="140"/>
      <c r="AE327" s="140"/>
      <c r="AF327" s="140"/>
      <c r="AG327" s="140"/>
      <c r="AH327" s="140"/>
      <c r="AI327" s="140"/>
      <c r="AJ327" s="140"/>
      <c r="AK327" s="140"/>
      <c r="AL327" s="140"/>
      <c r="AM327" s="140"/>
      <c r="AN327" s="140"/>
      <c r="AO327" s="140"/>
      <c r="AP327" s="140"/>
      <c r="AQ327" s="140"/>
      <c r="AR327" s="140"/>
      <c r="AS327" s="140"/>
      <c r="AT327" s="140"/>
      <c r="AU327" s="140"/>
      <c r="AV327" s="140"/>
      <c r="AW327" s="140"/>
      <c r="AX327" s="140"/>
      <c r="AY327" s="140"/>
      <c r="AZ327" s="140"/>
      <c r="BA327" s="140"/>
      <c r="BB327" s="140"/>
      <c r="BC327" s="140"/>
      <c r="BD327" s="140"/>
      <c r="BE327" s="140"/>
      <c r="BF327" s="140"/>
      <c r="BG327" s="140"/>
      <c r="BH327" s="140"/>
      <c r="BI327" s="140"/>
      <c r="BJ327" s="140"/>
      <c r="BK327" s="140"/>
      <c r="BL327" s="140"/>
      <c r="BM327" s="140"/>
      <c r="BN327" s="140"/>
      <c r="BO327" s="140"/>
      <c r="BP327" s="140"/>
      <c r="BQ327" s="140"/>
      <c r="BR327" s="140"/>
      <c r="BS327" s="140"/>
      <c r="BT327" s="140"/>
      <c r="BU327" s="140"/>
      <c r="BV327" s="140"/>
      <c r="BW327" s="140"/>
      <c r="BX327" s="140"/>
      <c r="BY327" s="140"/>
    </row>
    <row r="328" ht="15.75" customHeight="1">
      <c r="A328" s="150"/>
      <c r="B328" s="150"/>
      <c r="C328" s="150"/>
      <c r="D328" s="150"/>
      <c r="E328" s="150"/>
      <c r="F328" s="150"/>
      <c r="G328" s="150"/>
      <c r="H328" s="150"/>
      <c r="I328" s="150"/>
      <c r="J328" s="150"/>
      <c r="K328" s="150"/>
      <c r="L328" s="150"/>
      <c r="M328" s="150"/>
      <c r="N328" s="150"/>
      <c r="O328" s="150"/>
      <c r="P328" s="140"/>
      <c r="Q328" s="140"/>
      <c r="R328" s="140"/>
      <c r="S328" s="140"/>
      <c r="T328" s="140"/>
      <c r="U328" s="140"/>
      <c r="V328" s="140"/>
      <c r="W328" s="140"/>
      <c r="X328" s="140"/>
      <c r="Y328" s="140"/>
      <c r="Z328" s="140"/>
      <c r="AA328" s="140"/>
      <c r="AB328" s="140"/>
      <c r="AC328" s="140"/>
      <c r="AD328" s="140"/>
      <c r="AE328" s="140"/>
      <c r="AF328" s="140"/>
      <c r="AG328" s="140"/>
      <c r="AH328" s="140"/>
      <c r="AI328" s="140"/>
      <c r="AJ328" s="140"/>
      <c r="AK328" s="140"/>
      <c r="AL328" s="140"/>
      <c r="AM328" s="140"/>
      <c r="AN328" s="140"/>
      <c r="AO328" s="140"/>
      <c r="AP328" s="140"/>
      <c r="AQ328" s="140"/>
      <c r="AR328" s="140"/>
      <c r="AS328" s="140"/>
      <c r="AT328" s="140"/>
      <c r="AU328" s="140"/>
      <c r="AV328" s="140"/>
      <c r="AW328" s="140"/>
      <c r="AX328" s="140"/>
      <c r="AY328" s="140"/>
      <c r="AZ328" s="140"/>
      <c r="BA328" s="140"/>
      <c r="BB328" s="140"/>
      <c r="BC328" s="140"/>
      <c r="BD328" s="140"/>
      <c r="BE328" s="140"/>
      <c r="BF328" s="140"/>
      <c r="BG328" s="140"/>
      <c r="BH328" s="140"/>
      <c r="BI328" s="140"/>
      <c r="BJ328" s="140"/>
      <c r="BK328" s="140"/>
      <c r="BL328" s="140"/>
      <c r="BM328" s="140"/>
      <c r="BN328" s="140"/>
      <c r="BO328" s="140"/>
      <c r="BP328" s="140"/>
      <c r="BQ328" s="140"/>
      <c r="BR328" s="140"/>
      <c r="BS328" s="140"/>
      <c r="BT328" s="140"/>
      <c r="BU328" s="140"/>
      <c r="BV328" s="140"/>
      <c r="BW328" s="140"/>
      <c r="BX328" s="140"/>
      <c r="BY328" s="140"/>
    </row>
    <row r="329" ht="15.75" customHeight="1">
      <c r="A329" s="150"/>
      <c r="B329" s="150"/>
      <c r="C329" s="150"/>
      <c r="D329" s="150"/>
      <c r="E329" s="150"/>
      <c r="F329" s="150"/>
      <c r="G329" s="150"/>
      <c r="H329" s="150"/>
      <c r="I329" s="150"/>
      <c r="J329" s="150"/>
      <c r="K329" s="150"/>
      <c r="L329" s="150"/>
      <c r="M329" s="150"/>
      <c r="N329" s="150"/>
      <c r="O329" s="150"/>
      <c r="P329" s="140"/>
      <c r="Q329" s="140"/>
      <c r="R329" s="140"/>
      <c r="S329" s="140"/>
      <c r="T329" s="140"/>
      <c r="U329" s="140"/>
      <c r="V329" s="140"/>
      <c r="W329" s="140"/>
      <c r="X329" s="140"/>
      <c r="Y329" s="140"/>
      <c r="Z329" s="140"/>
      <c r="AA329" s="140"/>
      <c r="AB329" s="140"/>
      <c r="AC329" s="140"/>
      <c r="AD329" s="140"/>
      <c r="AE329" s="140"/>
      <c r="AF329" s="140"/>
      <c r="AG329" s="140"/>
      <c r="AH329" s="140"/>
      <c r="AI329" s="140"/>
      <c r="AJ329" s="140"/>
      <c r="AK329" s="140"/>
      <c r="AL329" s="140"/>
      <c r="AM329" s="140"/>
      <c r="AN329" s="140"/>
      <c r="AO329" s="140"/>
      <c r="AP329" s="140"/>
      <c r="AQ329" s="140"/>
      <c r="AR329" s="140"/>
      <c r="AS329" s="140"/>
      <c r="AT329" s="140"/>
      <c r="AU329" s="140"/>
      <c r="AV329" s="140"/>
      <c r="AW329" s="140"/>
      <c r="AX329" s="140"/>
      <c r="AY329" s="140"/>
      <c r="AZ329" s="140"/>
      <c r="BA329" s="140"/>
      <c r="BB329" s="140"/>
      <c r="BC329" s="140"/>
      <c r="BD329" s="140"/>
      <c r="BE329" s="140"/>
      <c r="BF329" s="140"/>
      <c r="BG329" s="140"/>
      <c r="BH329" s="140"/>
      <c r="BI329" s="140"/>
      <c r="BJ329" s="140"/>
      <c r="BK329" s="140"/>
      <c r="BL329" s="140"/>
      <c r="BM329" s="140"/>
      <c r="BN329" s="140"/>
      <c r="BO329" s="140"/>
      <c r="BP329" s="140"/>
      <c r="BQ329" s="140"/>
      <c r="BR329" s="140"/>
      <c r="BS329" s="140"/>
      <c r="BT329" s="140"/>
      <c r="BU329" s="140"/>
      <c r="BV329" s="140"/>
      <c r="BW329" s="140"/>
      <c r="BX329" s="140"/>
      <c r="BY329" s="140"/>
    </row>
    <row r="330" ht="15.75" customHeight="1">
      <c r="A330" s="150"/>
      <c r="B330" s="150"/>
      <c r="C330" s="150"/>
      <c r="D330" s="150"/>
      <c r="E330" s="150"/>
      <c r="F330" s="150"/>
      <c r="G330" s="150"/>
      <c r="H330" s="150"/>
      <c r="I330" s="150"/>
      <c r="J330" s="150"/>
      <c r="K330" s="150"/>
      <c r="L330" s="150"/>
      <c r="M330" s="150"/>
      <c r="N330" s="150"/>
      <c r="O330" s="150"/>
      <c r="P330" s="140"/>
      <c r="Q330" s="140"/>
      <c r="R330" s="140"/>
      <c r="S330" s="140"/>
      <c r="T330" s="140"/>
      <c r="U330" s="140"/>
      <c r="V330" s="140"/>
      <c r="W330" s="140"/>
      <c r="X330" s="140"/>
      <c r="Y330" s="140"/>
      <c r="Z330" s="140"/>
      <c r="AA330" s="140"/>
      <c r="AB330" s="140"/>
      <c r="AC330" s="140"/>
      <c r="AD330" s="140"/>
      <c r="AE330" s="140"/>
      <c r="AF330" s="140"/>
      <c r="AG330" s="140"/>
      <c r="AH330" s="140"/>
      <c r="AI330" s="140"/>
      <c r="AJ330" s="140"/>
      <c r="AK330" s="140"/>
      <c r="AL330" s="140"/>
      <c r="AM330" s="140"/>
      <c r="AN330" s="140"/>
      <c r="AO330" s="140"/>
      <c r="AP330" s="140"/>
      <c r="AQ330" s="140"/>
      <c r="AR330" s="140"/>
      <c r="AS330" s="140"/>
      <c r="AT330" s="140"/>
      <c r="AU330" s="140"/>
      <c r="AV330" s="140"/>
      <c r="AW330" s="140"/>
      <c r="AX330" s="140"/>
      <c r="AY330" s="140"/>
      <c r="AZ330" s="140"/>
      <c r="BA330" s="140"/>
      <c r="BB330" s="140"/>
      <c r="BC330" s="140"/>
      <c r="BD330" s="140"/>
      <c r="BE330" s="140"/>
      <c r="BF330" s="140"/>
      <c r="BG330" s="140"/>
      <c r="BH330" s="140"/>
      <c r="BI330" s="140"/>
      <c r="BJ330" s="140"/>
      <c r="BK330" s="140"/>
      <c r="BL330" s="140"/>
      <c r="BM330" s="140"/>
      <c r="BN330" s="140"/>
      <c r="BO330" s="140"/>
      <c r="BP330" s="140"/>
      <c r="BQ330" s="140"/>
      <c r="BR330" s="140"/>
      <c r="BS330" s="140"/>
      <c r="BT330" s="140"/>
      <c r="BU330" s="140"/>
      <c r="BV330" s="140"/>
      <c r="BW330" s="140"/>
      <c r="BX330" s="140"/>
      <c r="BY330" s="140"/>
    </row>
    <row r="331" ht="15.75" customHeight="1">
      <c r="A331" s="150"/>
      <c r="B331" s="150"/>
      <c r="C331" s="150"/>
      <c r="D331" s="150"/>
      <c r="E331" s="150"/>
      <c r="F331" s="150"/>
      <c r="G331" s="150"/>
      <c r="H331" s="150"/>
      <c r="I331" s="150"/>
      <c r="J331" s="150"/>
      <c r="K331" s="150"/>
      <c r="L331" s="150"/>
      <c r="M331" s="150"/>
      <c r="N331" s="150"/>
      <c r="O331" s="150"/>
      <c r="P331" s="140"/>
      <c r="Q331" s="140"/>
      <c r="R331" s="140"/>
      <c r="S331" s="140"/>
      <c r="T331" s="140"/>
      <c r="U331" s="140"/>
      <c r="V331" s="140"/>
      <c r="W331" s="140"/>
      <c r="X331" s="140"/>
      <c r="Y331" s="140"/>
      <c r="Z331" s="140"/>
      <c r="AA331" s="140"/>
      <c r="AB331" s="140"/>
      <c r="AC331" s="140"/>
      <c r="AD331" s="140"/>
      <c r="AE331" s="140"/>
      <c r="AF331" s="140"/>
      <c r="AG331" s="140"/>
      <c r="AH331" s="140"/>
      <c r="AI331" s="140"/>
      <c r="AJ331" s="140"/>
      <c r="AK331" s="140"/>
      <c r="AL331" s="140"/>
      <c r="AM331" s="140"/>
      <c r="AN331" s="140"/>
      <c r="AO331" s="140"/>
      <c r="AP331" s="140"/>
      <c r="AQ331" s="140"/>
      <c r="AR331" s="140"/>
      <c r="AS331" s="140"/>
      <c r="AT331" s="140"/>
      <c r="AU331" s="140"/>
      <c r="AV331" s="140"/>
      <c r="AW331" s="140"/>
      <c r="AX331" s="140"/>
      <c r="AY331" s="140"/>
      <c r="AZ331" s="140"/>
      <c r="BA331" s="140"/>
      <c r="BB331" s="140"/>
      <c r="BC331" s="140"/>
      <c r="BD331" s="140"/>
      <c r="BE331" s="140"/>
      <c r="BF331" s="140"/>
      <c r="BG331" s="140"/>
      <c r="BH331" s="140"/>
      <c r="BI331" s="140"/>
      <c r="BJ331" s="140"/>
      <c r="BK331" s="140"/>
      <c r="BL331" s="140"/>
      <c r="BM331" s="140"/>
      <c r="BN331" s="140"/>
      <c r="BO331" s="140"/>
      <c r="BP331" s="140"/>
      <c r="BQ331" s="140"/>
      <c r="BR331" s="140"/>
      <c r="BS331" s="140"/>
      <c r="BT331" s="140"/>
      <c r="BU331" s="140"/>
      <c r="BV331" s="140"/>
      <c r="BW331" s="140"/>
      <c r="BX331" s="140"/>
      <c r="BY331" s="140"/>
    </row>
    <row r="332" ht="15.75" customHeight="1">
      <c r="A332" s="150"/>
      <c r="B332" s="140"/>
      <c r="C332" s="140"/>
      <c r="D332" s="140"/>
      <c r="E332" s="140"/>
      <c r="F332" s="140"/>
      <c r="G332" s="140"/>
      <c r="H332" s="140"/>
      <c r="I332" s="140"/>
      <c r="J332" s="140"/>
      <c r="K332" s="140"/>
      <c r="L332" s="140"/>
      <c r="M332" s="140"/>
      <c r="N332" s="140"/>
      <c r="O332" s="140"/>
      <c r="P332" s="140"/>
      <c r="Q332" s="140"/>
      <c r="R332" s="140"/>
      <c r="S332" s="140"/>
      <c r="T332" s="140"/>
      <c r="U332" s="140"/>
      <c r="V332" s="140"/>
      <c r="W332" s="140"/>
      <c r="X332" s="140"/>
      <c r="Y332" s="140"/>
      <c r="Z332" s="140"/>
      <c r="AA332" s="140"/>
      <c r="AB332" s="140"/>
      <c r="AC332" s="140"/>
      <c r="AD332" s="140"/>
      <c r="AE332" s="140"/>
      <c r="AF332" s="140"/>
      <c r="AG332" s="140"/>
      <c r="AH332" s="140"/>
      <c r="AI332" s="140"/>
      <c r="AJ332" s="140"/>
      <c r="AK332" s="140"/>
      <c r="AL332" s="140"/>
      <c r="AM332" s="140"/>
      <c r="AN332" s="140"/>
      <c r="AO332" s="140"/>
      <c r="AP332" s="140"/>
      <c r="AQ332" s="140"/>
      <c r="AR332" s="140"/>
      <c r="AS332" s="140"/>
      <c r="AT332" s="140"/>
      <c r="AU332" s="140"/>
      <c r="AV332" s="140"/>
      <c r="AW332" s="140"/>
      <c r="AX332" s="140"/>
      <c r="AY332" s="140"/>
      <c r="AZ332" s="140"/>
      <c r="BA332" s="140"/>
      <c r="BB332" s="140"/>
      <c r="BC332" s="140"/>
      <c r="BD332" s="140"/>
      <c r="BE332" s="140"/>
      <c r="BF332" s="140"/>
      <c r="BG332" s="140"/>
      <c r="BH332" s="140"/>
      <c r="BI332" s="140"/>
      <c r="BJ332" s="140"/>
      <c r="BK332" s="140"/>
      <c r="BL332" s="140"/>
      <c r="BM332" s="140"/>
      <c r="BN332" s="140"/>
      <c r="BO332" s="140"/>
      <c r="BP332" s="140"/>
      <c r="BQ332" s="140"/>
      <c r="BR332" s="140"/>
      <c r="BS332" s="140"/>
      <c r="BT332" s="140"/>
      <c r="BU332" s="140"/>
      <c r="BV332" s="140"/>
      <c r="BW332" s="140"/>
      <c r="BX332" s="140"/>
      <c r="BY332" s="140"/>
    </row>
    <row r="333" ht="15.75" customHeight="1">
      <c r="A333" s="150"/>
      <c r="B333" s="140"/>
      <c r="C333" s="140"/>
      <c r="D333" s="140"/>
      <c r="E333" s="140"/>
      <c r="F333" s="140"/>
      <c r="G333" s="140"/>
      <c r="H333" s="140"/>
      <c r="I333" s="140"/>
      <c r="J333" s="140"/>
      <c r="K333" s="140"/>
      <c r="L333" s="140"/>
      <c r="M333" s="140"/>
      <c r="N333" s="140"/>
      <c r="O333" s="140"/>
      <c r="P333" s="140"/>
      <c r="Q333" s="140"/>
      <c r="R333" s="140"/>
      <c r="S333" s="140"/>
      <c r="T333" s="140"/>
      <c r="U333" s="140"/>
      <c r="V333" s="140"/>
      <c r="W333" s="140"/>
      <c r="X333" s="140"/>
      <c r="Y333" s="140"/>
      <c r="Z333" s="140"/>
      <c r="AA333" s="140"/>
      <c r="AB333" s="140"/>
      <c r="AC333" s="140"/>
      <c r="AD333" s="140"/>
      <c r="AE333" s="140"/>
      <c r="AF333" s="140"/>
      <c r="AG333" s="140"/>
      <c r="AH333" s="140"/>
      <c r="AI333" s="140"/>
      <c r="AJ333" s="140"/>
      <c r="AK333" s="140"/>
      <c r="AL333" s="140"/>
      <c r="AM333" s="140"/>
      <c r="AN333" s="140"/>
      <c r="AO333" s="140"/>
      <c r="AP333" s="140"/>
      <c r="AQ333" s="140"/>
      <c r="AR333" s="140"/>
      <c r="AS333" s="140"/>
      <c r="AT333" s="140"/>
      <c r="AU333" s="140"/>
      <c r="AV333" s="140"/>
      <c r="AW333" s="140"/>
      <c r="AX333" s="140"/>
      <c r="AY333" s="140"/>
      <c r="AZ333" s="140"/>
      <c r="BA333" s="140"/>
      <c r="BB333" s="140"/>
      <c r="BC333" s="140"/>
      <c r="BD333" s="140"/>
      <c r="BE333" s="140"/>
      <c r="BF333" s="140"/>
      <c r="BG333" s="140"/>
      <c r="BH333" s="140"/>
      <c r="BI333" s="140"/>
      <c r="BJ333" s="140"/>
      <c r="BK333" s="140"/>
      <c r="BL333" s="140"/>
      <c r="BM333" s="140"/>
      <c r="BN333" s="140"/>
      <c r="BO333" s="140"/>
      <c r="BP333" s="140"/>
      <c r="BQ333" s="140"/>
      <c r="BR333" s="140"/>
      <c r="BS333" s="140"/>
      <c r="BT333" s="140"/>
      <c r="BU333" s="140"/>
      <c r="BV333" s="140"/>
      <c r="BW333" s="140"/>
      <c r="BX333" s="140"/>
      <c r="BY333" s="140"/>
    </row>
    <row r="334" ht="15.75" customHeight="1">
      <c r="A334" s="150"/>
      <c r="B334" s="140"/>
      <c r="C334" s="140"/>
      <c r="D334" s="140"/>
      <c r="E334" s="140"/>
      <c r="F334" s="140"/>
      <c r="G334" s="140"/>
      <c r="H334" s="140"/>
      <c r="I334" s="140"/>
      <c r="J334" s="140"/>
      <c r="K334" s="140"/>
      <c r="L334" s="140"/>
      <c r="M334" s="140"/>
      <c r="N334" s="140"/>
      <c r="O334" s="140"/>
      <c r="P334" s="140"/>
      <c r="Q334" s="140"/>
      <c r="R334" s="140"/>
      <c r="S334" s="140"/>
      <c r="T334" s="140"/>
      <c r="U334" s="140"/>
      <c r="V334" s="140"/>
      <c r="W334" s="140"/>
      <c r="X334" s="140"/>
      <c r="Y334" s="140"/>
      <c r="Z334" s="140"/>
      <c r="AA334" s="140"/>
      <c r="AB334" s="140"/>
      <c r="AC334" s="140"/>
      <c r="AD334" s="140"/>
      <c r="AE334" s="140"/>
      <c r="AF334" s="140"/>
      <c r="AG334" s="140"/>
      <c r="AH334" s="140"/>
      <c r="AI334" s="140"/>
      <c r="AJ334" s="140"/>
      <c r="AK334" s="140"/>
      <c r="AL334" s="140"/>
      <c r="AM334" s="140"/>
      <c r="AN334" s="140"/>
      <c r="AO334" s="140"/>
      <c r="AP334" s="140"/>
      <c r="AQ334" s="140"/>
      <c r="AR334" s="140"/>
      <c r="AS334" s="140"/>
      <c r="AT334" s="140"/>
      <c r="AU334" s="140"/>
      <c r="AV334" s="140"/>
      <c r="AW334" s="140"/>
      <c r="AX334" s="140"/>
      <c r="AY334" s="140"/>
      <c r="AZ334" s="140"/>
      <c r="BA334" s="140"/>
      <c r="BB334" s="140"/>
      <c r="BC334" s="140"/>
      <c r="BD334" s="140"/>
      <c r="BE334" s="140"/>
      <c r="BF334" s="140"/>
      <c r="BG334" s="140"/>
      <c r="BH334" s="140"/>
      <c r="BI334" s="140"/>
      <c r="BJ334" s="140"/>
      <c r="BK334" s="140"/>
      <c r="BL334" s="140"/>
      <c r="BM334" s="140"/>
      <c r="BN334" s="140"/>
      <c r="BO334" s="140"/>
      <c r="BP334" s="140"/>
      <c r="BQ334" s="140"/>
      <c r="BR334" s="140"/>
      <c r="BS334" s="140"/>
      <c r="BT334" s="140"/>
      <c r="BU334" s="140"/>
      <c r="BV334" s="140"/>
      <c r="BW334" s="140"/>
      <c r="BX334" s="140"/>
      <c r="BY334" s="140"/>
    </row>
    <row r="335" ht="15.75" customHeight="1">
      <c r="A335" s="150"/>
      <c r="B335" s="140"/>
      <c r="C335" s="140"/>
      <c r="D335" s="140"/>
      <c r="E335" s="140"/>
      <c r="F335" s="140"/>
      <c r="G335" s="140"/>
      <c r="H335" s="140"/>
      <c r="I335" s="140"/>
      <c r="J335" s="140"/>
      <c r="K335" s="140"/>
      <c r="L335" s="140"/>
      <c r="M335" s="140"/>
      <c r="N335" s="140"/>
      <c r="O335" s="140"/>
      <c r="P335" s="140"/>
      <c r="Q335" s="140"/>
      <c r="R335" s="140"/>
      <c r="S335" s="140"/>
      <c r="T335" s="140"/>
      <c r="U335" s="140"/>
      <c r="V335" s="140"/>
      <c r="W335" s="140"/>
      <c r="X335" s="140"/>
      <c r="Y335" s="140"/>
      <c r="Z335" s="140"/>
      <c r="AA335" s="140"/>
      <c r="AB335" s="140"/>
      <c r="AC335" s="140"/>
      <c r="AD335" s="140"/>
      <c r="AE335" s="140"/>
      <c r="AF335" s="140"/>
      <c r="AG335" s="140"/>
      <c r="AH335" s="140"/>
      <c r="AI335" s="140"/>
      <c r="AJ335" s="140"/>
      <c r="AK335" s="140"/>
      <c r="AL335" s="140"/>
      <c r="AM335" s="140"/>
      <c r="AN335" s="140"/>
      <c r="AO335" s="140"/>
      <c r="AP335" s="140"/>
      <c r="AQ335" s="140"/>
      <c r="AR335" s="140"/>
      <c r="AS335" s="140"/>
      <c r="AT335" s="140"/>
      <c r="AU335" s="140"/>
      <c r="AV335" s="140"/>
      <c r="AW335" s="140"/>
      <c r="AX335" s="140"/>
      <c r="AY335" s="140"/>
      <c r="AZ335" s="140"/>
      <c r="BA335" s="140"/>
      <c r="BB335" s="140"/>
      <c r="BC335" s="140"/>
      <c r="BD335" s="140"/>
      <c r="BE335" s="140"/>
      <c r="BF335" s="140"/>
      <c r="BG335" s="140"/>
      <c r="BH335" s="140"/>
      <c r="BI335" s="140"/>
      <c r="BJ335" s="140"/>
      <c r="BK335" s="140"/>
      <c r="BL335" s="140"/>
      <c r="BM335" s="140"/>
      <c r="BN335" s="140"/>
      <c r="BO335" s="140"/>
      <c r="BP335" s="140"/>
      <c r="BQ335" s="140"/>
      <c r="BR335" s="140"/>
      <c r="BS335" s="140"/>
      <c r="BT335" s="140"/>
      <c r="BU335" s="140"/>
      <c r="BV335" s="140"/>
      <c r="BW335" s="140"/>
      <c r="BX335" s="140"/>
      <c r="BY335" s="140"/>
    </row>
    <row r="336" ht="15.75" customHeight="1">
      <c r="A336" s="150"/>
      <c r="B336" s="140"/>
      <c r="C336" s="140"/>
      <c r="D336" s="140"/>
      <c r="E336" s="140"/>
      <c r="F336" s="140"/>
      <c r="G336" s="140"/>
      <c r="H336" s="140"/>
      <c r="I336" s="140"/>
      <c r="J336" s="140"/>
      <c r="K336" s="140"/>
      <c r="L336" s="140"/>
      <c r="M336" s="140"/>
      <c r="N336" s="140"/>
      <c r="O336" s="140"/>
      <c r="P336" s="140"/>
      <c r="Q336" s="140"/>
      <c r="R336" s="140"/>
      <c r="S336" s="140"/>
      <c r="T336" s="140"/>
      <c r="U336" s="140"/>
      <c r="V336" s="140"/>
      <c r="W336" s="140"/>
      <c r="X336" s="140"/>
      <c r="Y336" s="140"/>
      <c r="Z336" s="140"/>
      <c r="AA336" s="140"/>
      <c r="AB336" s="140"/>
      <c r="AC336" s="140"/>
      <c r="AD336" s="140"/>
      <c r="AE336" s="140"/>
      <c r="AF336" s="140"/>
      <c r="AG336" s="140"/>
      <c r="AH336" s="140"/>
      <c r="AI336" s="140"/>
      <c r="AJ336" s="140"/>
      <c r="AK336" s="140"/>
      <c r="AL336" s="140"/>
      <c r="AM336" s="140"/>
      <c r="AN336" s="140"/>
      <c r="AO336" s="140"/>
      <c r="AP336" s="140"/>
      <c r="AQ336" s="140"/>
      <c r="AR336" s="140"/>
      <c r="AS336" s="140"/>
      <c r="AT336" s="140"/>
      <c r="AU336" s="140"/>
      <c r="AV336" s="140"/>
      <c r="AW336" s="140"/>
      <c r="AX336" s="140"/>
      <c r="AY336" s="140"/>
      <c r="AZ336" s="140"/>
      <c r="BA336" s="140"/>
      <c r="BB336" s="140"/>
      <c r="BC336" s="140"/>
      <c r="BD336" s="140"/>
      <c r="BE336" s="140"/>
      <c r="BF336" s="140"/>
      <c r="BG336" s="140"/>
      <c r="BH336" s="140"/>
      <c r="BI336" s="140"/>
      <c r="BJ336" s="140"/>
      <c r="BK336" s="140"/>
      <c r="BL336" s="140"/>
      <c r="BM336" s="140"/>
      <c r="BN336" s="140"/>
      <c r="BO336" s="140"/>
      <c r="BP336" s="140"/>
      <c r="BQ336" s="140"/>
      <c r="BR336" s="140"/>
      <c r="BS336" s="140"/>
      <c r="BT336" s="140"/>
      <c r="BU336" s="140"/>
      <c r="BV336" s="140"/>
      <c r="BW336" s="140"/>
      <c r="BX336" s="140"/>
      <c r="BY336" s="140"/>
    </row>
    <row r="337" ht="15.75" customHeight="1">
      <c r="A337" s="150"/>
      <c r="B337" s="140"/>
      <c r="C337" s="140"/>
      <c r="D337" s="140"/>
      <c r="E337" s="140"/>
      <c r="F337" s="140"/>
      <c r="G337" s="140"/>
      <c r="H337" s="140"/>
      <c r="I337" s="140"/>
      <c r="J337" s="140"/>
      <c r="K337" s="140"/>
      <c r="L337" s="140"/>
      <c r="M337" s="140"/>
      <c r="N337" s="140"/>
      <c r="O337" s="140"/>
      <c r="P337" s="140"/>
      <c r="Q337" s="140"/>
      <c r="R337" s="140"/>
      <c r="S337" s="140"/>
      <c r="T337" s="140"/>
      <c r="U337" s="140"/>
      <c r="V337" s="140"/>
      <c r="W337" s="140"/>
      <c r="X337" s="140"/>
      <c r="Y337" s="140"/>
      <c r="Z337" s="140"/>
      <c r="AA337" s="140"/>
      <c r="AB337" s="140"/>
      <c r="AC337" s="140"/>
      <c r="AD337" s="140"/>
      <c r="AE337" s="140"/>
      <c r="AF337" s="140"/>
      <c r="AG337" s="140"/>
      <c r="AH337" s="140"/>
      <c r="AI337" s="140"/>
      <c r="AJ337" s="140"/>
      <c r="AK337" s="140"/>
      <c r="AL337" s="140"/>
      <c r="AM337" s="140"/>
      <c r="AN337" s="140"/>
      <c r="AO337" s="140"/>
      <c r="AP337" s="140"/>
      <c r="AQ337" s="140"/>
      <c r="AR337" s="140"/>
      <c r="AS337" s="140"/>
      <c r="AT337" s="140"/>
      <c r="AU337" s="140"/>
      <c r="AV337" s="140"/>
      <c r="AW337" s="140"/>
      <c r="AX337" s="140"/>
      <c r="AY337" s="140"/>
      <c r="AZ337" s="140"/>
      <c r="BA337" s="140"/>
      <c r="BB337" s="140"/>
      <c r="BC337" s="140"/>
      <c r="BD337" s="140"/>
      <c r="BE337" s="140"/>
      <c r="BF337" s="140"/>
      <c r="BG337" s="140"/>
      <c r="BH337" s="140"/>
      <c r="BI337" s="140"/>
      <c r="BJ337" s="140"/>
      <c r="BK337" s="140"/>
      <c r="BL337" s="140"/>
      <c r="BM337" s="140"/>
      <c r="BN337" s="140"/>
      <c r="BO337" s="140"/>
      <c r="BP337" s="140"/>
      <c r="BQ337" s="140"/>
      <c r="BR337" s="140"/>
      <c r="BS337" s="140"/>
      <c r="BT337" s="140"/>
      <c r="BU337" s="140"/>
      <c r="BV337" s="140"/>
      <c r="BW337" s="140"/>
      <c r="BX337" s="140"/>
      <c r="BY337" s="140"/>
    </row>
    <row r="338" ht="15.75" customHeight="1">
      <c r="A338" s="150"/>
      <c r="B338" s="140"/>
      <c r="C338" s="140"/>
      <c r="D338" s="140"/>
      <c r="E338" s="140"/>
      <c r="F338" s="140"/>
      <c r="G338" s="140"/>
      <c r="H338" s="140"/>
      <c r="I338" s="140"/>
      <c r="J338" s="140"/>
      <c r="K338" s="140"/>
      <c r="L338" s="140"/>
      <c r="M338" s="140"/>
      <c r="N338" s="140"/>
      <c r="O338" s="140"/>
      <c r="P338" s="140"/>
      <c r="Q338" s="140"/>
      <c r="R338" s="140"/>
      <c r="S338" s="140"/>
      <c r="T338" s="140"/>
      <c r="U338" s="140"/>
      <c r="V338" s="140"/>
      <c r="W338" s="140"/>
      <c r="X338" s="140"/>
      <c r="Y338" s="140"/>
      <c r="Z338" s="140"/>
      <c r="AA338" s="140"/>
      <c r="AB338" s="140"/>
      <c r="AC338" s="140"/>
      <c r="AD338" s="140"/>
      <c r="AE338" s="140"/>
      <c r="AF338" s="140"/>
      <c r="AG338" s="140"/>
      <c r="AH338" s="140"/>
      <c r="AI338" s="140"/>
      <c r="AJ338" s="140"/>
      <c r="AK338" s="140"/>
      <c r="AL338" s="140"/>
      <c r="AM338" s="140"/>
      <c r="AN338" s="140"/>
      <c r="AO338" s="140"/>
      <c r="AP338" s="140"/>
      <c r="AQ338" s="140"/>
      <c r="AR338" s="140"/>
      <c r="AS338" s="140"/>
      <c r="AT338" s="140"/>
      <c r="AU338" s="140"/>
      <c r="AV338" s="140"/>
      <c r="AW338" s="140"/>
      <c r="AX338" s="140"/>
      <c r="AY338" s="140"/>
      <c r="AZ338" s="140"/>
      <c r="BA338" s="140"/>
      <c r="BB338" s="140"/>
      <c r="BC338" s="140"/>
      <c r="BD338" s="140"/>
      <c r="BE338" s="140"/>
      <c r="BF338" s="140"/>
      <c r="BG338" s="140"/>
      <c r="BH338" s="140"/>
      <c r="BI338" s="140"/>
      <c r="BJ338" s="140"/>
      <c r="BK338" s="140"/>
      <c r="BL338" s="140"/>
      <c r="BM338" s="140"/>
      <c r="BN338" s="140"/>
      <c r="BO338" s="140"/>
      <c r="BP338" s="140"/>
      <c r="BQ338" s="140"/>
      <c r="BR338" s="140"/>
      <c r="BS338" s="140"/>
      <c r="BT338" s="140"/>
      <c r="BU338" s="140"/>
      <c r="BV338" s="140"/>
      <c r="BW338" s="140"/>
      <c r="BX338" s="140"/>
      <c r="BY338" s="140"/>
    </row>
    <row r="339" ht="15.75" customHeight="1">
      <c r="A339" s="150"/>
      <c r="B339" s="140"/>
      <c r="C339" s="140"/>
      <c r="D339" s="140"/>
      <c r="E339" s="140"/>
      <c r="F339" s="140"/>
      <c r="G339" s="140"/>
      <c r="H339" s="140"/>
      <c r="I339" s="140"/>
      <c r="J339" s="140"/>
      <c r="K339" s="140"/>
      <c r="L339" s="140"/>
      <c r="M339" s="140"/>
      <c r="N339" s="140"/>
      <c r="O339" s="140"/>
      <c r="P339" s="140"/>
      <c r="Q339" s="140"/>
      <c r="R339" s="140"/>
      <c r="S339" s="140"/>
      <c r="T339" s="140"/>
      <c r="U339" s="140"/>
      <c r="V339" s="140"/>
      <c r="W339" s="140"/>
      <c r="X339" s="140"/>
      <c r="Y339" s="140"/>
      <c r="Z339" s="140"/>
      <c r="AA339" s="140"/>
      <c r="AB339" s="140"/>
      <c r="AC339" s="140"/>
      <c r="AD339" s="140"/>
      <c r="AE339" s="140"/>
      <c r="AF339" s="140"/>
      <c r="AG339" s="140"/>
      <c r="AH339" s="140"/>
      <c r="AI339" s="140"/>
      <c r="AJ339" s="140"/>
      <c r="AK339" s="140"/>
      <c r="AL339" s="140"/>
      <c r="AM339" s="140"/>
      <c r="AN339" s="140"/>
      <c r="AO339" s="140"/>
      <c r="AP339" s="140"/>
      <c r="AQ339" s="140"/>
      <c r="AR339" s="140"/>
      <c r="AS339" s="140"/>
      <c r="AT339" s="140"/>
      <c r="AU339" s="140"/>
      <c r="AV339" s="140"/>
      <c r="AW339" s="140"/>
      <c r="AX339" s="140"/>
      <c r="AY339" s="140"/>
      <c r="AZ339" s="140"/>
      <c r="BA339" s="140"/>
      <c r="BB339" s="140"/>
      <c r="BC339" s="140"/>
      <c r="BD339" s="140"/>
      <c r="BE339" s="140"/>
      <c r="BF339" s="140"/>
      <c r="BG339" s="140"/>
      <c r="BH339" s="140"/>
      <c r="BI339" s="140"/>
      <c r="BJ339" s="140"/>
      <c r="BK339" s="140"/>
      <c r="BL339" s="140"/>
      <c r="BM339" s="140"/>
      <c r="BN339" s="140"/>
      <c r="BO339" s="140"/>
      <c r="BP339" s="140"/>
      <c r="BQ339" s="140"/>
      <c r="BR339" s="140"/>
      <c r="BS339" s="140"/>
      <c r="BT339" s="140"/>
      <c r="BU339" s="140"/>
      <c r="BV339" s="140"/>
      <c r="BW339" s="140"/>
      <c r="BX339" s="140"/>
      <c r="BY339" s="140"/>
    </row>
    <row r="340" ht="15.75" customHeight="1">
      <c r="A340" s="150"/>
      <c r="B340" s="140"/>
      <c r="C340" s="140"/>
      <c r="D340" s="140"/>
      <c r="E340" s="140"/>
      <c r="F340" s="140"/>
      <c r="G340" s="140"/>
      <c r="H340" s="140"/>
      <c r="I340" s="140"/>
      <c r="J340" s="140"/>
      <c r="K340" s="140"/>
      <c r="L340" s="140"/>
      <c r="M340" s="140"/>
      <c r="N340" s="140"/>
      <c r="O340" s="140"/>
      <c r="P340" s="140"/>
      <c r="Q340" s="140"/>
      <c r="R340" s="140"/>
      <c r="S340" s="140"/>
      <c r="T340" s="140"/>
      <c r="U340" s="140"/>
      <c r="V340" s="140"/>
      <c r="W340" s="140"/>
      <c r="X340" s="140"/>
      <c r="Y340" s="140"/>
      <c r="Z340" s="140"/>
      <c r="AA340" s="140"/>
      <c r="AB340" s="140"/>
      <c r="AC340" s="140"/>
      <c r="AD340" s="140"/>
      <c r="AE340" s="140"/>
      <c r="AF340" s="140"/>
      <c r="AG340" s="140"/>
      <c r="AH340" s="140"/>
      <c r="AI340" s="140"/>
      <c r="AJ340" s="140"/>
      <c r="AK340" s="140"/>
      <c r="AL340" s="140"/>
      <c r="AM340" s="140"/>
      <c r="AN340" s="140"/>
      <c r="AO340" s="140"/>
      <c r="AP340" s="140"/>
      <c r="AQ340" s="140"/>
      <c r="AR340" s="140"/>
      <c r="AS340" s="140"/>
      <c r="AT340" s="140"/>
      <c r="AU340" s="140"/>
      <c r="AV340" s="140"/>
      <c r="AW340" s="140"/>
      <c r="AX340" s="140"/>
      <c r="AY340" s="140"/>
      <c r="AZ340" s="140"/>
      <c r="BA340" s="140"/>
      <c r="BB340" s="140"/>
      <c r="BC340" s="140"/>
      <c r="BD340" s="140"/>
      <c r="BE340" s="140"/>
      <c r="BF340" s="140"/>
      <c r="BG340" s="140"/>
      <c r="BH340" s="140"/>
      <c r="BI340" s="140"/>
      <c r="BJ340" s="140"/>
      <c r="BK340" s="140"/>
      <c r="BL340" s="140"/>
      <c r="BM340" s="140"/>
      <c r="BN340" s="140"/>
      <c r="BO340" s="140"/>
      <c r="BP340" s="140"/>
      <c r="BQ340" s="140"/>
      <c r="BR340" s="140"/>
      <c r="BS340" s="140"/>
      <c r="BT340" s="140"/>
      <c r="BU340" s="140"/>
      <c r="BV340" s="140"/>
      <c r="BW340" s="140"/>
      <c r="BX340" s="140"/>
      <c r="BY340" s="140"/>
    </row>
    <row r="341" ht="15.75" customHeight="1">
      <c r="A341" s="150"/>
      <c r="B341" s="140"/>
      <c r="C341" s="140"/>
      <c r="D341" s="140"/>
      <c r="E341" s="140"/>
      <c r="F341" s="140"/>
      <c r="G341" s="140"/>
      <c r="H341" s="140"/>
      <c r="I341" s="140"/>
      <c r="J341" s="140"/>
      <c r="K341" s="140"/>
      <c r="L341" s="140"/>
      <c r="M341" s="140"/>
      <c r="N341" s="140"/>
      <c r="O341" s="140"/>
      <c r="P341" s="140"/>
      <c r="Q341" s="140"/>
      <c r="R341" s="140"/>
      <c r="S341" s="140"/>
      <c r="T341" s="140"/>
      <c r="U341" s="140"/>
      <c r="V341" s="140"/>
      <c r="W341" s="140"/>
      <c r="X341" s="140"/>
      <c r="Y341" s="140"/>
      <c r="Z341" s="140"/>
      <c r="AA341" s="140"/>
      <c r="AB341" s="140"/>
      <c r="AC341" s="140"/>
      <c r="AD341" s="140"/>
      <c r="AE341" s="140"/>
      <c r="AF341" s="140"/>
      <c r="AG341" s="140"/>
      <c r="AH341" s="140"/>
      <c r="AI341" s="140"/>
      <c r="AJ341" s="140"/>
      <c r="AK341" s="140"/>
      <c r="AL341" s="140"/>
      <c r="AM341" s="140"/>
      <c r="AN341" s="140"/>
      <c r="AO341" s="140"/>
      <c r="AP341" s="140"/>
      <c r="AQ341" s="140"/>
      <c r="AR341" s="140"/>
      <c r="AS341" s="140"/>
      <c r="AT341" s="140"/>
      <c r="AU341" s="140"/>
      <c r="AV341" s="140"/>
      <c r="AW341" s="140"/>
      <c r="AX341" s="140"/>
      <c r="AY341" s="140"/>
      <c r="AZ341" s="140"/>
      <c r="BA341" s="140"/>
      <c r="BB341" s="140"/>
      <c r="BC341" s="140"/>
      <c r="BD341" s="140"/>
      <c r="BE341" s="140"/>
      <c r="BF341" s="140"/>
      <c r="BG341" s="140"/>
      <c r="BH341" s="140"/>
      <c r="BI341" s="140"/>
      <c r="BJ341" s="140"/>
      <c r="BK341" s="140"/>
      <c r="BL341" s="140"/>
      <c r="BM341" s="140"/>
      <c r="BN341" s="140"/>
      <c r="BO341" s="140"/>
      <c r="BP341" s="140"/>
      <c r="BQ341" s="140"/>
      <c r="BR341" s="140"/>
      <c r="BS341" s="140"/>
      <c r="BT341" s="140"/>
      <c r="BU341" s="140"/>
      <c r="BV341" s="140"/>
      <c r="BW341" s="140"/>
      <c r="BX341" s="140"/>
      <c r="BY341" s="140"/>
    </row>
    <row r="342" ht="15.75" customHeight="1">
      <c r="A342" s="150"/>
      <c r="B342" s="140"/>
      <c r="C342" s="140"/>
      <c r="D342" s="140"/>
      <c r="E342" s="140"/>
      <c r="F342" s="140"/>
      <c r="G342" s="140"/>
      <c r="H342" s="140"/>
      <c r="I342" s="140"/>
      <c r="J342" s="140"/>
      <c r="K342" s="140"/>
      <c r="L342" s="140"/>
      <c r="M342" s="140"/>
      <c r="N342" s="140"/>
      <c r="O342" s="140"/>
      <c r="P342" s="140"/>
      <c r="Q342" s="140"/>
      <c r="R342" s="140"/>
      <c r="S342" s="140"/>
      <c r="T342" s="140"/>
      <c r="U342" s="140"/>
      <c r="V342" s="140"/>
      <c r="W342" s="140"/>
      <c r="X342" s="140"/>
      <c r="Y342" s="140"/>
      <c r="Z342" s="140"/>
      <c r="AA342" s="140"/>
      <c r="AB342" s="140"/>
      <c r="AC342" s="140"/>
      <c r="AD342" s="140"/>
      <c r="AE342" s="140"/>
      <c r="AF342" s="140"/>
      <c r="AG342" s="140"/>
      <c r="AH342" s="140"/>
      <c r="AI342" s="140"/>
      <c r="AJ342" s="140"/>
      <c r="AK342" s="140"/>
      <c r="AL342" s="140"/>
      <c r="AM342" s="140"/>
      <c r="AN342" s="140"/>
      <c r="AO342" s="140"/>
      <c r="AP342" s="140"/>
      <c r="AQ342" s="140"/>
      <c r="AR342" s="140"/>
      <c r="AS342" s="140"/>
      <c r="AT342" s="140"/>
      <c r="AU342" s="140"/>
      <c r="AV342" s="140"/>
      <c r="AW342" s="140"/>
      <c r="AX342" s="140"/>
      <c r="AY342" s="140"/>
      <c r="AZ342" s="140"/>
      <c r="BA342" s="140"/>
      <c r="BB342" s="140"/>
      <c r="BC342" s="140"/>
      <c r="BD342" s="140"/>
      <c r="BE342" s="140"/>
      <c r="BF342" s="140"/>
      <c r="BG342" s="140"/>
      <c r="BH342" s="140"/>
      <c r="BI342" s="140"/>
      <c r="BJ342" s="140"/>
      <c r="BK342" s="140"/>
      <c r="BL342" s="140"/>
      <c r="BM342" s="140"/>
      <c r="BN342" s="140"/>
      <c r="BO342" s="140"/>
      <c r="BP342" s="140"/>
      <c r="BQ342" s="140"/>
      <c r="BR342" s="140"/>
      <c r="BS342" s="140"/>
      <c r="BT342" s="140"/>
      <c r="BU342" s="140"/>
      <c r="BV342" s="140"/>
      <c r="BW342" s="140"/>
      <c r="BX342" s="140"/>
      <c r="BY342" s="140"/>
    </row>
    <row r="343" ht="15.75" customHeight="1">
      <c r="A343" s="150"/>
      <c r="B343" s="140"/>
      <c r="C343" s="140"/>
      <c r="D343" s="140"/>
      <c r="E343" s="140"/>
      <c r="F343" s="140"/>
      <c r="G343" s="140"/>
      <c r="H343" s="140"/>
      <c r="I343" s="140"/>
      <c r="J343" s="140"/>
      <c r="K343" s="140"/>
      <c r="L343" s="140"/>
      <c r="M343" s="140"/>
      <c r="N343" s="140"/>
      <c r="O343" s="140"/>
      <c r="P343" s="140"/>
      <c r="Q343" s="140"/>
      <c r="R343" s="140"/>
      <c r="S343" s="140"/>
      <c r="T343" s="140"/>
      <c r="U343" s="140"/>
      <c r="V343" s="140"/>
      <c r="W343" s="140"/>
      <c r="X343" s="140"/>
      <c r="Y343" s="140"/>
      <c r="Z343" s="140"/>
      <c r="AA343" s="140"/>
      <c r="AB343" s="140"/>
      <c r="AC343" s="140"/>
      <c r="AD343" s="140"/>
      <c r="AE343" s="140"/>
      <c r="AF343" s="140"/>
      <c r="AG343" s="140"/>
      <c r="AH343" s="140"/>
      <c r="AI343" s="140"/>
      <c r="AJ343" s="140"/>
      <c r="AK343" s="140"/>
      <c r="AL343" s="140"/>
      <c r="AM343" s="140"/>
      <c r="AN343" s="140"/>
      <c r="AO343" s="140"/>
      <c r="AP343" s="140"/>
      <c r="AQ343" s="140"/>
      <c r="AR343" s="140"/>
      <c r="AS343" s="140"/>
      <c r="AT343" s="140"/>
      <c r="AU343" s="140"/>
      <c r="AV343" s="140"/>
      <c r="AW343" s="140"/>
      <c r="AX343" s="140"/>
      <c r="AY343" s="140"/>
      <c r="AZ343" s="140"/>
      <c r="BA343" s="140"/>
      <c r="BB343" s="140"/>
      <c r="BC343" s="140"/>
      <c r="BD343" s="140"/>
      <c r="BE343" s="140"/>
      <c r="BF343" s="140"/>
      <c r="BG343" s="140"/>
      <c r="BH343" s="140"/>
      <c r="BI343" s="140"/>
      <c r="BJ343" s="140"/>
      <c r="BK343" s="140"/>
      <c r="BL343" s="140"/>
      <c r="BM343" s="140"/>
      <c r="BN343" s="140"/>
      <c r="BO343" s="140"/>
      <c r="BP343" s="140"/>
      <c r="BQ343" s="140"/>
      <c r="BR343" s="140"/>
      <c r="BS343" s="140"/>
      <c r="BT343" s="140"/>
      <c r="BU343" s="140"/>
      <c r="BV343" s="140"/>
      <c r="BW343" s="140"/>
      <c r="BX343" s="140"/>
      <c r="BY343" s="140"/>
    </row>
    <row r="344" ht="15.75" customHeight="1">
      <c r="A344" s="150"/>
      <c r="B344" s="140"/>
      <c r="C344" s="140"/>
      <c r="D344" s="140"/>
      <c r="E344" s="140"/>
      <c r="F344" s="140"/>
      <c r="G344" s="140"/>
      <c r="H344" s="140"/>
      <c r="I344" s="140"/>
      <c r="J344" s="140"/>
      <c r="K344" s="140"/>
      <c r="L344" s="140"/>
      <c r="M344" s="140"/>
      <c r="N344" s="140"/>
      <c r="O344" s="140"/>
      <c r="P344" s="140"/>
      <c r="Q344" s="140"/>
      <c r="R344" s="140"/>
      <c r="S344" s="140"/>
      <c r="T344" s="140"/>
      <c r="U344" s="140"/>
      <c r="V344" s="140"/>
      <c r="W344" s="140"/>
      <c r="X344" s="140"/>
      <c r="Y344" s="140"/>
      <c r="Z344" s="140"/>
      <c r="AA344" s="140"/>
      <c r="AB344" s="140"/>
      <c r="AC344" s="140"/>
      <c r="AD344" s="140"/>
      <c r="AE344" s="140"/>
      <c r="AF344" s="140"/>
      <c r="AG344" s="140"/>
      <c r="AH344" s="140"/>
      <c r="AI344" s="140"/>
      <c r="AJ344" s="140"/>
      <c r="AK344" s="140"/>
      <c r="AL344" s="140"/>
      <c r="AM344" s="140"/>
      <c r="AN344" s="140"/>
      <c r="AO344" s="140"/>
      <c r="AP344" s="140"/>
      <c r="AQ344" s="140"/>
      <c r="AR344" s="140"/>
      <c r="AS344" s="140"/>
      <c r="AT344" s="140"/>
      <c r="AU344" s="140"/>
      <c r="AV344" s="140"/>
      <c r="AW344" s="140"/>
      <c r="AX344" s="140"/>
      <c r="AY344" s="140"/>
      <c r="AZ344" s="140"/>
      <c r="BA344" s="140"/>
      <c r="BB344" s="140"/>
      <c r="BC344" s="140"/>
      <c r="BD344" s="140"/>
      <c r="BE344" s="140"/>
      <c r="BF344" s="140"/>
      <c r="BG344" s="140"/>
      <c r="BH344" s="140"/>
      <c r="BI344" s="140"/>
      <c r="BJ344" s="140"/>
      <c r="BK344" s="140"/>
      <c r="BL344" s="140"/>
      <c r="BM344" s="140"/>
      <c r="BN344" s="140"/>
      <c r="BO344" s="140"/>
      <c r="BP344" s="140"/>
      <c r="BQ344" s="140"/>
      <c r="BR344" s="140"/>
      <c r="BS344" s="140"/>
      <c r="BT344" s="140"/>
      <c r="BU344" s="140"/>
      <c r="BV344" s="140"/>
      <c r="BW344" s="140"/>
      <c r="BX344" s="140"/>
      <c r="BY344" s="140"/>
    </row>
    <row r="345" ht="15.75" customHeight="1">
      <c r="A345" s="150"/>
      <c r="B345" s="140"/>
      <c r="C345" s="140"/>
      <c r="D345" s="140"/>
      <c r="E345" s="140"/>
      <c r="F345" s="140"/>
      <c r="G345" s="140"/>
      <c r="H345" s="140"/>
      <c r="I345" s="140"/>
      <c r="J345" s="140"/>
      <c r="K345" s="140"/>
      <c r="L345" s="140"/>
      <c r="M345" s="140"/>
      <c r="N345" s="140"/>
      <c r="O345" s="140"/>
      <c r="P345" s="140"/>
      <c r="Q345" s="140"/>
      <c r="R345" s="140"/>
      <c r="S345" s="140"/>
      <c r="T345" s="140"/>
      <c r="U345" s="140"/>
      <c r="V345" s="140"/>
      <c r="W345" s="140"/>
      <c r="X345" s="140"/>
      <c r="Y345" s="140"/>
      <c r="Z345" s="140"/>
      <c r="AA345" s="140"/>
      <c r="AB345" s="140"/>
      <c r="AC345" s="140"/>
      <c r="AD345" s="140"/>
      <c r="AE345" s="140"/>
      <c r="AF345" s="140"/>
      <c r="AG345" s="140"/>
      <c r="AH345" s="140"/>
      <c r="AI345" s="140"/>
      <c r="AJ345" s="140"/>
      <c r="AK345" s="140"/>
      <c r="AL345" s="140"/>
      <c r="AM345" s="140"/>
      <c r="AN345" s="140"/>
      <c r="AO345" s="140"/>
      <c r="AP345" s="140"/>
      <c r="AQ345" s="140"/>
      <c r="AR345" s="140"/>
      <c r="AS345" s="140"/>
      <c r="AT345" s="140"/>
      <c r="AU345" s="140"/>
      <c r="AV345" s="140"/>
      <c r="AW345" s="140"/>
      <c r="AX345" s="140"/>
      <c r="AY345" s="140"/>
      <c r="AZ345" s="140"/>
      <c r="BA345" s="140"/>
      <c r="BB345" s="140"/>
      <c r="BC345" s="140"/>
      <c r="BD345" s="140"/>
      <c r="BE345" s="140"/>
      <c r="BF345" s="140"/>
      <c r="BG345" s="140"/>
      <c r="BH345" s="140"/>
      <c r="BI345" s="140"/>
      <c r="BJ345" s="140"/>
      <c r="BK345" s="140"/>
      <c r="BL345" s="140"/>
      <c r="BM345" s="140"/>
      <c r="BN345" s="140"/>
      <c r="BO345" s="140"/>
      <c r="BP345" s="140"/>
      <c r="BQ345" s="140"/>
      <c r="BR345" s="140"/>
      <c r="BS345" s="140"/>
      <c r="BT345" s="140"/>
      <c r="BU345" s="140"/>
      <c r="BV345" s="140"/>
      <c r="BW345" s="140"/>
      <c r="BX345" s="140"/>
      <c r="BY345" s="140"/>
    </row>
    <row r="346" ht="15.75" customHeight="1">
      <c r="A346" s="150"/>
      <c r="B346" s="140"/>
      <c r="C346" s="140"/>
      <c r="D346" s="140"/>
      <c r="E346" s="140"/>
      <c r="F346" s="140"/>
      <c r="G346" s="140"/>
      <c r="H346" s="140"/>
      <c r="I346" s="140"/>
      <c r="J346" s="140"/>
      <c r="K346" s="140"/>
      <c r="L346" s="140"/>
      <c r="M346" s="140"/>
      <c r="N346" s="140"/>
      <c r="O346" s="140"/>
      <c r="P346" s="140"/>
      <c r="Q346" s="140"/>
      <c r="R346" s="140"/>
      <c r="S346" s="140"/>
      <c r="T346" s="140"/>
      <c r="U346" s="140"/>
      <c r="V346" s="140"/>
      <c r="W346" s="140"/>
      <c r="X346" s="140"/>
      <c r="Y346" s="140"/>
      <c r="Z346" s="140"/>
      <c r="AA346" s="140"/>
      <c r="AB346" s="140"/>
      <c r="AC346" s="140"/>
      <c r="AD346" s="140"/>
      <c r="AE346" s="140"/>
      <c r="AF346" s="140"/>
      <c r="AG346" s="140"/>
      <c r="AH346" s="140"/>
      <c r="AI346" s="140"/>
      <c r="AJ346" s="140"/>
      <c r="AK346" s="140"/>
      <c r="AL346" s="140"/>
      <c r="AM346" s="140"/>
      <c r="AN346" s="140"/>
      <c r="AO346" s="140"/>
      <c r="AP346" s="140"/>
      <c r="AQ346" s="140"/>
      <c r="AR346" s="140"/>
      <c r="AS346" s="140"/>
      <c r="AT346" s="140"/>
      <c r="AU346" s="140"/>
      <c r="AV346" s="140"/>
      <c r="AW346" s="140"/>
      <c r="AX346" s="140"/>
      <c r="AY346" s="140"/>
      <c r="AZ346" s="140"/>
      <c r="BA346" s="140"/>
      <c r="BB346" s="140"/>
      <c r="BC346" s="140"/>
      <c r="BD346" s="140"/>
      <c r="BE346" s="140"/>
      <c r="BF346" s="140"/>
      <c r="BG346" s="140"/>
      <c r="BH346" s="140"/>
      <c r="BI346" s="140"/>
      <c r="BJ346" s="140"/>
      <c r="BK346" s="140"/>
      <c r="BL346" s="140"/>
      <c r="BM346" s="140"/>
      <c r="BN346" s="140"/>
      <c r="BO346" s="140"/>
      <c r="BP346" s="140"/>
      <c r="BQ346" s="140"/>
      <c r="BR346" s="140"/>
      <c r="BS346" s="140"/>
      <c r="BT346" s="140"/>
      <c r="BU346" s="140"/>
      <c r="BV346" s="140"/>
      <c r="BW346" s="140"/>
      <c r="BX346" s="140"/>
      <c r="BY346" s="140"/>
    </row>
    <row r="347" ht="15.75" customHeight="1">
      <c r="A347" s="150"/>
      <c r="B347" s="140"/>
      <c r="C347" s="140"/>
      <c r="D347" s="140"/>
      <c r="E347" s="140"/>
      <c r="F347" s="140"/>
      <c r="G347" s="140"/>
      <c r="H347" s="140"/>
      <c r="I347" s="140"/>
      <c r="J347" s="140"/>
      <c r="K347" s="140"/>
      <c r="L347" s="140"/>
      <c r="M347" s="140"/>
      <c r="N347" s="140"/>
      <c r="O347" s="140"/>
      <c r="P347" s="140"/>
      <c r="Q347" s="140"/>
      <c r="R347" s="140"/>
      <c r="S347" s="140"/>
      <c r="T347" s="140"/>
      <c r="U347" s="140"/>
      <c r="V347" s="140"/>
      <c r="W347" s="140"/>
      <c r="X347" s="140"/>
      <c r="Y347" s="140"/>
      <c r="Z347" s="140"/>
      <c r="AA347" s="140"/>
      <c r="AB347" s="140"/>
      <c r="AC347" s="140"/>
      <c r="AD347" s="140"/>
      <c r="AE347" s="140"/>
      <c r="AF347" s="140"/>
      <c r="AG347" s="140"/>
      <c r="AH347" s="140"/>
      <c r="AI347" s="140"/>
      <c r="AJ347" s="140"/>
      <c r="AK347" s="140"/>
      <c r="AL347" s="140"/>
      <c r="AM347" s="140"/>
      <c r="AN347" s="140"/>
      <c r="AO347" s="140"/>
      <c r="AP347" s="140"/>
      <c r="AQ347" s="140"/>
      <c r="AR347" s="140"/>
      <c r="AS347" s="140"/>
      <c r="AT347" s="140"/>
      <c r="AU347" s="140"/>
      <c r="AV347" s="140"/>
      <c r="AW347" s="140"/>
      <c r="AX347" s="140"/>
      <c r="AY347" s="140"/>
      <c r="AZ347" s="140"/>
      <c r="BA347" s="140"/>
      <c r="BB347" s="140"/>
      <c r="BC347" s="140"/>
      <c r="BD347" s="140"/>
      <c r="BE347" s="140"/>
      <c r="BF347" s="140"/>
      <c r="BG347" s="140"/>
      <c r="BH347" s="140"/>
      <c r="BI347" s="140"/>
      <c r="BJ347" s="140"/>
      <c r="BK347" s="140"/>
      <c r="BL347" s="140"/>
      <c r="BM347" s="140"/>
      <c r="BN347" s="140"/>
      <c r="BO347" s="140"/>
      <c r="BP347" s="140"/>
      <c r="BQ347" s="140"/>
      <c r="BR347" s="140"/>
      <c r="BS347" s="140"/>
      <c r="BT347" s="140"/>
      <c r="BU347" s="140"/>
      <c r="BV347" s="140"/>
      <c r="BW347" s="140"/>
      <c r="BX347" s="140"/>
      <c r="BY347" s="140"/>
    </row>
    <row r="348" ht="15.75" customHeight="1">
      <c r="A348" s="150"/>
      <c r="B348" s="140"/>
      <c r="C348" s="140"/>
      <c r="D348" s="140"/>
      <c r="E348" s="140"/>
      <c r="F348" s="140"/>
      <c r="G348" s="140"/>
      <c r="H348" s="140"/>
      <c r="I348" s="140"/>
      <c r="J348" s="140"/>
      <c r="K348" s="140"/>
      <c r="L348" s="140"/>
      <c r="M348" s="140"/>
      <c r="N348" s="140"/>
      <c r="O348" s="140"/>
      <c r="P348" s="140"/>
      <c r="Q348" s="140"/>
      <c r="R348" s="140"/>
      <c r="S348" s="140"/>
      <c r="T348" s="140"/>
      <c r="U348" s="140"/>
      <c r="V348" s="140"/>
      <c r="W348" s="140"/>
      <c r="X348" s="140"/>
      <c r="Y348" s="140"/>
      <c r="Z348" s="140"/>
      <c r="AA348" s="140"/>
      <c r="AB348" s="140"/>
      <c r="AC348" s="140"/>
      <c r="AD348" s="140"/>
      <c r="AE348" s="140"/>
      <c r="AF348" s="140"/>
      <c r="AG348" s="140"/>
      <c r="AH348" s="140"/>
      <c r="AI348" s="140"/>
      <c r="AJ348" s="140"/>
      <c r="AK348" s="140"/>
      <c r="AL348" s="140"/>
      <c r="AM348" s="140"/>
      <c r="AN348" s="140"/>
      <c r="AO348" s="140"/>
      <c r="AP348" s="140"/>
      <c r="AQ348" s="140"/>
      <c r="AR348" s="140"/>
      <c r="AS348" s="140"/>
      <c r="AT348" s="140"/>
      <c r="AU348" s="140"/>
      <c r="AV348" s="140"/>
      <c r="AW348" s="140"/>
      <c r="AX348" s="140"/>
      <c r="AY348" s="140"/>
      <c r="AZ348" s="140"/>
      <c r="BA348" s="140"/>
      <c r="BB348" s="140"/>
      <c r="BC348" s="140"/>
      <c r="BD348" s="140"/>
      <c r="BE348" s="140"/>
      <c r="BF348" s="140"/>
      <c r="BG348" s="140"/>
      <c r="BH348" s="140"/>
      <c r="BI348" s="140"/>
      <c r="BJ348" s="140"/>
      <c r="BK348" s="140"/>
      <c r="BL348" s="140"/>
      <c r="BM348" s="140"/>
      <c r="BN348" s="140"/>
      <c r="BO348" s="140"/>
      <c r="BP348" s="140"/>
      <c r="BQ348" s="140"/>
      <c r="BR348" s="140"/>
      <c r="BS348" s="140"/>
      <c r="BT348" s="140"/>
      <c r="BU348" s="140"/>
      <c r="BV348" s="140"/>
      <c r="BW348" s="140"/>
      <c r="BX348" s="140"/>
      <c r="BY348" s="140"/>
    </row>
    <row r="349" ht="15.75" customHeight="1">
      <c r="A349" s="150"/>
      <c r="B349" s="140"/>
      <c r="C349" s="140"/>
      <c r="D349" s="140"/>
      <c r="E349" s="140"/>
      <c r="F349" s="140"/>
      <c r="G349" s="140"/>
      <c r="H349" s="140"/>
      <c r="I349" s="140"/>
      <c r="J349" s="140"/>
      <c r="K349" s="140"/>
      <c r="L349" s="140"/>
      <c r="M349" s="140"/>
      <c r="N349" s="140"/>
      <c r="O349" s="140"/>
      <c r="P349" s="140"/>
      <c r="Q349" s="140"/>
      <c r="R349" s="140"/>
      <c r="S349" s="140"/>
      <c r="T349" s="140"/>
      <c r="U349" s="140"/>
      <c r="V349" s="140"/>
      <c r="W349" s="140"/>
      <c r="X349" s="140"/>
      <c r="Y349" s="140"/>
      <c r="Z349" s="140"/>
      <c r="AA349" s="140"/>
      <c r="AB349" s="140"/>
      <c r="AC349" s="140"/>
      <c r="AD349" s="140"/>
      <c r="AE349" s="140"/>
      <c r="AF349" s="140"/>
      <c r="AG349" s="140"/>
      <c r="AH349" s="140"/>
      <c r="AI349" s="140"/>
      <c r="AJ349" s="140"/>
      <c r="AK349" s="140"/>
      <c r="AL349" s="140"/>
      <c r="AM349" s="140"/>
      <c r="AN349" s="140"/>
      <c r="AO349" s="140"/>
      <c r="AP349" s="140"/>
      <c r="AQ349" s="140"/>
      <c r="AR349" s="140"/>
      <c r="AS349" s="140"/>
      <c r="AT349" s="140"/>
      <c r="AU349" s="140"/>
      <c r="AV349" s="140"/>
      <c r="AW349" s="140"/>
      <c r="AX349" s="140"/>
      <c r="AY349" s="140"/>
      <c r="AZ349" s="140"/>
      <c r="BA349" s="140"/>
      <c r="BB349" s="140"/>
      <c r="BC349" s="140"/>
      <c r="BD349" s="140"/>
      <c r="BE349" s="140"/>
      <c r="BF349" s="140"/>
      <c r="BG349" s="140"/>
      <c r="BH349" s="140"/>
      <c r="BI349" s="140"/>
      <c r="BJ349" s="140"/>
      <c r="BK349" s="140"/>
      <c r="BL349" s="140"/>
      <c r="BM349" s="140"/>
      <c r="BN349" s="140"/>
      <c r="BO349" s="140"/>
      <c r="BP349" s="140"/>
      <c r="BQ349" s="140"/>
      <c r="BR349" s="140"/>
      <c r="BS349" s="140"/>
      <c r="BT349" s="140"/>
      <c r="BU349" s="140"/>
      <c r="BV349" s="140"/>
      <c r="BW349" s="140"/>
      <c r="BX349" s="140"/>
      <c r="BY349" s="140"/>
    </row>
    <row r="350" ht="15.75" customHeight="1">
      <c r="A350" s="150"/>
      <c r="B350" s="140"/>
      <c r="C350" s="140"/>
      <c r="D350" s="140"/>
      <c r="E350" s="140"/>
      <c r="F350" s="140"/>
      <c r="G350" s="140"/>
      <c r="H350" s="140"/>
      <c r="I350" s="140"/>
      <c r="J350" s="140"/>
      <c r="K350" s="140"/>
      <c r="L350" s="140"/>
      <c r="M350" s="140"/>
      <c r="N350" s="140"/>
      <c r="O350" s="140"/>
      <c r="P350" s="140"/>
      <c r="Q350" s="140"/>
      <c r="R350" s="140"/>
      <c r="S350" s="140"/>
      <c r="T350" s="140"/>
      <c r="U350" s="140"/>
      <c r="V350" s="140"/>
      <c r="W350" s="140"/>
      <c r="X350" s="140"/>
      <c r="Y350" s="140"/>
      <c r="Z350" s="140"/>
      <c r="AA350" s="140"/>
      <c r="AB350" s="140"/>
      <c r="AC350" s="140"/>
      <c r="AD350" s="140"/>
      <c r="AE350" s="140"/>
      <c r="AF350" s="140"/>
      <c r="AG350" s="140"/>
      <c r="AH350" s="140"/>
      <c r="AI350" s="140"/>
      <c r="AJ350" s="140"/>
      <c r="AK350" s="140"/>
      <c r="AL350" s="140"/>
      <c r="AM350" s="140"/>
      <c r="AN350" s="140"/>
      <c r="AO350" s="140"/>
      <c r="AP350" s="140"/>
      <c r="AQ350" s="140"/>
      <c r="AR350" s="140"/>
      <c r="AS350" s="140"/>
      <c r="AT350" s="140"/>
      <c r="AU350" s="140"/>
      <c r="AV350" s="140"/>
      <c r="AW350" s="140"/>
      <c r="AX350" s="140"/>
      <c r="AY350" s="140"/>
      <c r="AZ350" s="140"/>
      <c r="BA350" s="140"/>
      <c r="BB350" s="140"/>
      <c r="BC350" s="140"/>
      <c r="BD350" s="140"/>
      <c r="BE350" s="140"/>
      <c r="BF350" s="140"/>
      <c r="BG350" s="140"/>
      <c r="BH350" s="140"/>
      <c r="BI350" s="140"/>
      <c r="BJ350" s="140"/>
      <c r="BK350" s="140"/>
      <c r="BL350" s="140"/>
      <c r="BM350" s="140"/>
      <c r="BN350" s="140"/>
      <c r="BO350" s="140"/>
      <c r="BP350" s="140"/>
      <c r="BQ350" s="140"/>
      <c r="BR350" s="140"/>
      <c r="BS350" s="140"/>
      <c r="BT350" s="140"/>
      <c r="BU350" s="140"/>
      <c r="BV350" s="140"/>
      <c r="BW350" s="140"/>
      <c r="BX350" s="140"/>
      <c r="BY350" s="140"/>
    </row>
    <row r="351" ht="15.75" customHeight="1">
      <c r="A351" s="150"/>
      <c r="B351" s="140"/>
      <c r="C351" s="140"/>
      <c r="D351" s="140"/>
      <c r="E351" s="140"/>
      <c r="F351" s="140"/>
      <c r="G351" s="140"/>
      <c r="H351" s="140"/>
      <c r="I351" s="140"/>
      <c r="J351" s="140"/>
      <c r="K351" s="140"/>
      <c r="L351" s="140"/>
      <c r="M351" s="140"/>
      <c r="N351" s="140"/>
      <c r="O351" s="140"/>
      <c r="P351" s="140"/>
      <c r="Q351" s="140"/>
      <c r="R351" s="140"/>
      <c r="S351" s="140"/>
      <c r="T351" s="140"/>
      <c r="U351" s="140"/>
      <c r="V351" s="140"/>
      <c r="W351" s="140"/>
      <c r="X351" s="140"/>
      <c r="Y351" s="140"/>
      <c r="Z351" s="140"/>
      <c r="AA351" s="140"/>
      <c r="AB351" s="140"/>
      <c r="AC351" s="140"/>
      <c r="AD351" s="140"/>
      <c r="AE351" s="140"/>
      <c r="AF351" s="140"/>
      <c r="AG351" s="140"/>
      <c r="AH351" s="140"/>
      <c r="AI351" s="140"/>
      <c r="AJ351" s="140"/>
      <c r="AK351" s="140"/>
      <c r="AL351" s="140"/>
      <c r="AM351" s="140"/>
      <c r="AN351" s="140"/>
      <c r="AO351" s="140"/>
      <c r="AP351" s="140"/>
      <c r="AQ351" s="140"/>
      <c r="AR351" s="140"/>
      <c r="AS351" s="140"/>
      <c r="AT351" s="140"/>
      <c r="AU351" s="140"/>
      <c r="AV351" s="140"/>
      <c r="AW351" s="140"/>
      <c r="AX351" s="140"/>
      <c r="AY351" s="140"/>
      <c r="AZ351" s="140"/>
      <c r="BA351" s="140"/>
      <c r="BB351" s="140"/>
      <c r="BC351" s="140"/>
      <c r="BD351" s="140"/>
      <c r="BE351" s="140"/>
      <c r="BF351" s="140"/>
      <c r="BG351" s="140"/>
      <c r="BH351" s="140"/>
      <c r="BI351" s="140"/>
      <c r="BJ351" s="140"/>
      <c r="BK351" s="140"/>
      <c r="BL351" s="140"/>
      <c r="BM351" s="140"/>
      <c r="BN351" s="140"/>
      <c r="BO351" s="140"/>
      <c r="BP351" s="140"/>
      <c r="BQ351" s="140"/>
      <c r="BR351" s="140"/>
      <c r="BS351" s="140"/>
      <c r="BT351" s="140"/>
      <c r="BU351" s="140"/>
      <c r="BV351" s="140"/>
      <c r="BW351" s="140"/>
      <c r="BX351" s="140"/>
      <c r="BY351" s="140"/>
    </row>
    <row r="352" ht="15.75" customHeight="1">
      <c r="A352" s="150"/>
      <c r="B352" s="140"/>
      <c r="C352" s="140"/>
      <c r="D352" s="140"/>
      <c r="E352" s="140"/>
      <c r="F352" s="140"/>
      <c r="G352" s="140"/>
      <c r="H352" s="140"/>
      <c r="I352" s="140"/>
      <c r="J352" s="140"/>
      <c r="K352" s="140"/>
      <c r="L352" s="140"/>
      <c r="M352" s="140"/>
      <c r="N352" s="140"/>
      <c r="O352" s="140"/>
      <c r="P352" s="140"/>
      <c r="Q352" s="140"/>
      <c r="R352" s="140"/>
      <c r="S352" s="140"/>
      <c r="T352" s="140"/>
      <c r="U352" s="140"/>
      <c r="V352" s="140"/>
      <c r="W352" s="140"/>
      <c r="X352" s="140"/>
      <c r="Y352" s="140"/>
      <c r="Z352" s="140"/>
      <c r="AA352" s="140"/>
      <c r="AB352" s="140"/>
      <c r="AC352" s="140"/>
      <c r="AD352" s="140"/>
      <c r="AE352" s="140"/>
      <c r="AF352" s="140"/>
      <c r="AG352" s="140"/>
      <c r="AH352" s="140"/>
      <c r="AI352" s="140"/>
      <c r="AJ352" s="140"/>
      <c r="AK352" s="140"/>
      <c r="AL352" s="140"/>
      <c r="AM352" s="140"/>
      <c r="AN352" s="140"/>
      <c r="AO352" s="140"/>
      <c r="AP352" s="140"/>
      <c r="AQ352" s="140"/>
      <c r="AR352" s="140"/>
      <c r="AS352" s="140"/>
      <c r="AT352" s="140"/>
      <c r="AU352" s="140"/>
      <c r="AV352" s="140"/>
      <c r="AW352" s="140"/>
      <c r="AX352" s="140"/>
      <c r="AY352" s="140"/>
      <c r="AZ352" s="140"/>
      <c r="BA352" s="140"/>
      <c r="BB352" s="140"/>
      <c r="BC352" s="140"/>
      <c r="BD352" s="140"/>
      <c r="BE352" s="140"/>
      <c r="BF352" s="140"/>
      <c r="BG352" s="140"/>
      <c r="BH352" s="140"/>
      <c r="BI352" s="140"/>
      <c r="BJ352" s="140"/>
      <c r="BK352" s="140"/>
      <c r="BL352" s="140"/>
      <c r="BM352" s="140"/>
      <c r="BN352" s="140"/>
      <c r="BO352" s="140"/>
      <c r="BP352" s="140"/>
      <c r="BQ352" s="140"/>
      <c r="BR352" s="140"/>
      <c r="BS352" s="140"/>
      <c r="BT352" s="140"/>
      <c r="BU352" s="140"/>
      <c r="BV352" s="140"/>
      <c r="BW352" s="140"/>
      <c r="BX352" s="140"/>
      <c r="BY352" s="140"/>
    </row>
    <row r="353" ht="15.75" customHeight="1">
      <c r="A353" s="150"/>
      <c r="B353" s="140"/>
      <c r="C353" s="140"/>
      <c r="D353" s="140"/>
      <c r="E353" s="140"/>
      <c r="F353" s="140"/>
      <c r="G353" s="140"/>
      <c r="H353" s="140"/>
      <c r="I353" s="140"/>
      <c r="J353" s="140"/>
      <c r="K353" s="140"/>
      <c r="L353" s="140"/>
      <c r="M353" s="140"/>
      <c r="N353" s="140"/>
      <c r="O353" s="140"/>
      <c r="P353" s="140"/>
      <c r="Q353" s="140"/>
      <c r="R353" s="140"/>
      <c r="S353" s="140"/>
      <c r="T353" s="140"/>
      <c r="U353" s="140"/>
      <c r="V353" s="140"/>
      <c r="W353" s="140"/>
      <c r="X353" s="140"/>
      <c r="Y353" s="140"/>
      <c r="Z353" s="140"/>
      <c r="AA353" s="140"/>
      <c r="AB353" s="140"/>
      <c r="AC353" s="140"/>
      <c r="AD353" s="140"/>
      <c r="AE353" s="140"/>
      <c r="AF353" s="140"/>
      <c r="AG353" s="140"/>
      <c r="AH353" s="140"/>
      <c r="AI353" s="140"/>
      <c r="AJ353" s="140"/>
      <c r="AK353" s="140"/>
      <c r="AL353" s="140"/>
      <c r="AM353" s="140"/>
      <c r="AN353" s="140"/>
      <c r="AO353" s="140"/>
      <c r="AP353" s="140"/>
      <c r="AQ353" s="140"/>
      <c r="AR353" s="140"/>
      <c r="AS353" s="140"/>
      <c r="AT353" s="140"/>
      <c r="AU353" s="140"/>
      <c r="AV353" s="140"/>
      <c r="AW353" s="140"/>
      <c r="AX353" s="140"/>
      <c r="AY353" s="140"/>
      <c r="AZ353" s="140"/>
      <c r="BA353" s="140"/>
      <c r="BB353" s="140"/>
      <c r="BC353" s="140"/>
      <c r="BD353" s="140"/>
      <c r="BE353" s="140"/>
      <c r="BF353" s="140"/>
      <c r="BG353" s="140"/>
      <c r="BH353" s="140"/>
      <c r="BI353" s="140"/>
      <c r="BJ353" s="140"/>
      <c r="BK353" s="140"/>
      <c r="BL353" s="140"/>
      <c r="BM353" s="140"/>
      <c r="BN353" s="140"/>
      <c r="BO353" s="140"/>
      <c r="BP353" s="140"/>
      <c r="BQ353" s="140"/>
      <c r="BR353" s="140"/>
      <c r="BS353" s="140"/>
      <c r="BT353" s="140"/>
      <c r="BU353" s="140"/>
      <c r="BV353" s="140"/>
      <c r="BW353" s="140"/>
      <c r="BX353" s="140"/>
      <c r="BY353" s="140"/>
    </row>
    <row r="354" ht="15.75" customHeight="1">
      <c r="A354" s="150"/>
      <c r="B354" s="140"/>
      <c r="C354" s="140"/>
      <c r="D354" s="140"/>
      <c r="E354" s="140"/>
      <c r="F354" s="140"/>
      <c r="G354" s="140"/>
      <c r="H354" s="140"/>
      <c r="I354" s="140"/>
      <c r="J354" s="140"/>
      <c r="K354" s="140"/>
      <c r="L354" s="140"/>
      <c r="M354" s="140"/>
      <c r="N354" s="140"/>
      <c r="O354" s="140"/>
      <c r="P354" s="140"/>
      <c r="Q354" s="140"/>
      <c r="R354" s="140"/>
      <c r="S354" s="140"/>
      <c r="T354" s="140"/>
      <c r="U354" s="140"/>
      <c r="V354" s="140"/>
      <c r="W354" s="140"/>
      <c r="X354" s="140"/>
      <c r="Y354" s="140"/>
      <c r="Z354" s="140"/>
      <c r="AA354" s="140"/>
      <c r="AB354" s="140"/>
      <c r="AC354" s="140"/>
      <c r="AD354" s="140"/>
      <c r="AE354" s="140"/>
      <c r="AF354" s="140"/>
      <c r="AG354" s="140"/>
      <c r="AH354" s="140"/>
      <c r="AI354" s="140"/>
      <c r="AJ354" s="140"/>
      <c r="AK354" s="140"/>
      <c r="AL354" s="140"/>
      <c r="AM354" s="140"/>
      <c r="AN354" s="140"/>
      <c r="AO354" s="140"/>
      <c r="AP354" s="140"/>
      <c r="AQ354" s="140"/>
      <c r="AR354" s="140"/>
      <c r="AS354" s="140"/>
      <c r="AT354" s="140"/>
      <c r="AU354" s="140"/>
      <c r="AV354" s="140"/>
      <c r="AW354" s="140"/>
      <c r="AX354" s="140"/>
      <c r="AY354" s="140"/>
      <c r="AZ354" s="140"/>
      <c r="BA354" s="140"/>
      <c r="BB354" s="140"/>
      <c r="BC354" s="140"/>
      <c r="BD354" s="140"/>
      <c r="BE354" s="140"/>
      <c r="BF354" s="140"/>
      <c r="BG354" s="140"/>
      <c r="BH354" s="140"/>
      <c r="BI354" s="140"/>
      <c r="BJ354" s="140"/>
      <c r="BK354" s="140"/>
      <c r="BL354" s="140"/>
      <c r="BM354" s="140"/>
      <c r="BN354" s="140"/>
      <c r="BO354" s="140"/>
      <c r="BP354" s="140"/>
      <c r="BQ354" s="140"/>
      <c r="BR354" s="140"/>
      <c r="BS354" s="140"/>
      <c r="BT354" s="140"/>
      <c r="BU354" s="140"/>
      <c r="BV354" s="140"/>
      <c r="BW354" s="140"/>
      <c r="BX354" s="140"/>
      <c r="BY354" s="140"/>
    </row>
    <row r="355" ht="15.75" customHeight="1">
      <c r="A355" s="150"/>
      <c r="B355" s="140"/>
      <c r="C355" s="140"/>
      <c r="D355" s="140"/>
      <c r="E355" s="140"/>
      <c r="F355" s="140"/>
      <c r="G355" s="140"/>
      <c r="H355" s="140"/>
      <c r="I355" s="140"/>
      <c r="J355" s="140"/>
      <c r="K355" s="140"/>
      <c r="L355" s="140"/>
      <c r="M355" s="140"/>
      <c r="N355" s="140"/>
      <c r="O355" s="140"/>
      <c r="P355" s="140"/>
      <c r="Q355" s="140"/>
      <c r="R355" s="140"/>
      <c r="S355" s="140"/>
      <c r="T355" s="140"/>
      <c r="U355" s="140"/>
      <c r="V355" s="140"/>
      <c r="W355" s="140"/>
      <c r="X355" s="140"/>
      <c r="Y355" s="140"/>
      <c r="Z355" s="140"/>
      <c r="AA355" s="140"/>
      <c r="AB355" s="140"/>
      <c r="AC355" s="140"/>
      <c r="AD355" s="140"/>
      <c r="AE355" s="140"/>
      <c r="AF355" s="140"/>
      <c r="AG355" s="140"/>
      <c r="AH355" s="140"/>
      <c r="AI355" s="140"/>
      <c r="AJ355" s="140"/>
      <c r="AK355" s="140"/>
      <c r="AL355" s="140"/>
      <c r="AM355" s="140"/>
      <c r="AN355" s="140"/>
      <c r="AO355" s="140"/>
      <c r="AP355" s="140"/>
      <c r="AQ355" s="140"/>
      <c r="AR355" s="140"/>
      <c r="AS355" s="140"/>
      <c r="AT355" s="140"/>
      <c r="AU355" s="140"/>
      <c r="AV355" s="140"/>
      <c r="AW355" s="140"/>
      <c r="AX355" s="140"/>
      <c r="AY355" s="140"/>
      <c r="AZ355" s="140"/>
      <c r="BA355" s="140"/>
      <c r="BB355" s="140"/>
      <c r="BC355" s="140"/>
      <c r="BD355" s="140"/>
      <c r="BE355" s="140"/>
      <c r="BF355" s="140"/>
      <c r="BG355" s="140"/>
      <c r="BH355" s="140"/>
      <c r="BI355" s="140"/>
      <c r="BJ355" s="140"/>
      <c r="BK355" s="140"/>
      <c r="BL355" s="140"/>
      <c r="BM355" s="140"/>
      <c r="BN355" s="140"/>
      <c r="BO355" s="140"/>
      <c r="BP355" s="140"/>
      <c r="BQ355" s="140"/>
      <c r="BR355" s="140"/>
      <c r="BS355" s="140"/>
      <c r="BT355" s="140"/>
      <c r="BU355" s="140"/>
      <c r="BV355" s="140"/>
      <c r="BW355" s="140"/>
      <c r="BX355" s="140"/>
      <c r="BY355" s="140"/>
    </row>
    <row r="356" ht="15.75" customHeight="1">
      <c r="A356" s="150"/>
      <c r="B356" s="140"/>
      <c r="C356" s="140"/>
      <c r="D356" s="140"/>
      <c r="E356" s="140"/>
      <c r="F356" s="140"/>
      <c r="G356" s="140"/>
      <c r="H356" s="140"/>
      <c r="I356" s="140"/>
      <c r="J356" s="140"/>
      <c r="K356" s="140"/>
      <c r="L356" s="140"/>
      <c r="M356" s="140"/>
      <c r="N356" s="140"/>
      <c r="O356" s="140"/>
      <c r="P356" s="140"/>
      <c r="Q356" s="140"/>
      <c r="R356" s="140"/>
      <c r="S356" s="140"/>
      <c r="T356" s="140"/>
      <c r="U356" s="140"/>
      <c r="V356" s="140"/>
      <c r="W356" s="140"/>
      <c r="X356" s="140"/>
      <c r="Y356" s="140"/>
      <c r="Z356" s="140"/>
      <c r="AA356" s="140"/>
      <c r="AB356" s="140"/>
      <c r="AC356" s="140"/>
      <c r="AD356" s="140"/>
      <c r="AE356" s="140"/>
      <c r="AF356" s="140"/>
      <c r="AG356" s="140"/>
      <c r="AH356" s="140"/>
      <c r="AI356" s="140"/>
      <c r="AJ356" s="140"/>
      <c r="AK356" s="140"/>
      <c r="AL356" s="140"/>
      <c r="AM356" s="140"/>
      <c r="AN356" s="140"/>
      <c r="AO356" s="140"/>
      <c r="AP356" s="140"/>
      <c r="AQ356" s="140"/>
      <c r="AR356" s="140"/>
      <c r="AS356" s="140"/>
      <c r="AT356" s="140"/>
      <c r="AU356" s="140"/>
      <c r="AV356" s="140"/>
      <c r="AW356" s="140"/>
      <c r="AX356" s="140"/>
      <c r="AY356" s="140"/>
      <c r="AZ356" s="140"/>
      <c r="BA356" s="140"/>
      <c r="BB356" s="140"/>
      <c r="BC356" s="140"/>
      <c r="BD356" s="140"/>
      <c r="BE356" s="140"/>
      <c r="BF356" s="140"/>
      <c r="BG356" s="140"/>
      <c r="BH356" s="140"/>
      <c r="BI356" s="140"/>
      <c r="BJ356" s="140"/>
      <c r="BK356" s="140"/>
      <c r="BL356" s="140"/>
      <c r="BM356" s="140"/>
      <c r="BN356" s="140"/>
      <c r="BO356" s="140"/>
      <c r="BP356" s="140"/>
      <c r="BQ356" s="140"/>
      <c r="BR356" s="140"/>
      <c r="BS356" s="140"/>
      <c r="BT356" s="140"/>
      <c r="BU356" s="140"/>
      <c r="BV356" s="140"/>
      <c r="BW356" s="140"/>
      <c r="BX356" s="140"/>
      <c r="BY356" s="140"/>
    </row>
    <row r="357" ht="15.75" customHeight="1">
      <c r="A357" s="150"/>
      <c r="B357" s="140"/>
      <c r="C357" s="140"/>
      <c r="D357" s="140"/>
      <c r="E357" s="140"/>
      <c r="F357" s="140"/>
      <c r="G357" s="140"/>
      <c r="H357" s="140"/>
      <c r="I357" s="140"/>
      <c r="J357" s="140"/>
      <c r="K357" s="140"/>
      <c r="L357" s="140"/>
      <c r="M357" s="140"/>
      <c r="N357" s="140"/>
      <c r="O357" s="140"/>
      <c r="P357" s="140"/>
      <c r="Q357" s="140"/>
      <c r="R357" s="140"/>
      <c r="S357" s="140"/>
      <c r="T357" s="140"/>
      <c r="U357" s="140"/>
      <c r="V357" s="140"/>
      <c r="W357" s="140"/>
      <c r="X357" s="140"/>
      <c r="Y357" s="140"/>
      <c r="Z357" s="140"/>
      <c r="AA357" s="140"/>
      <c r="AB357" s="140"/>
      <c r="AC357" s="140"/>
      <c r="AD357" s="140"/>
      <c r="AE357" s="140"/>
      <c r="AF357" s="140"/>
      <c r="AG357" s="140"/>
      <c r="AH357" s="140"/>
      <c r="AI357" s="140"/>
      <c r="AJ357" s="140"/>
      <c r="AK357" s="140"/>
      <c r="AL357" s="140"/>
      <c r="AM357" s="140"/>
      <c r="AN357" s="140"/>
      <c r="AO357" s="140"/>
      <c r="AP357" s="140"/>
      <c r="AQ357" s="140"/>
      <c r="AR357" s="140"/>
      <c r="AS357" s="140"/>
      <c r="AT357" s="140"/>
      <c r="AU357" s="140"/>
      <c r="AV357" s="140"/>
      <c r="AW357" s="140"/>
      <c r="AX357" s="140"/>
      <c r="AY357" s="140"/>
      <c r="AZ357" s="140"/>
      <c r="BA357" s="140"/>
      <c r="BB357" s="140"/>
      <c r="BC357" s="140"/>
      <c r="BD357" s="140"/>
      <c r="BE357" s="140"/>
      <c r="BF357" s="140"/>
      <c r="BG357" s="140"/>
      <c r="BH357" s="140"/>
      <c r="BI357" s="140"/>
      <c r="BJ357" s="140"/>
      <c r="BK357" s="140"/>
      <c r="BL357" s="140"/>
      <c r="BM357" s="140"/>
      <c r="BN357" s="140"/>
      <c r="BO357" s="140"/>
      <c r="BP357" s="140"/>
      <c r="BQ357" s="140"/>
      <c r="BR357" s="140"/>
      <c r="BS357" s="140"/>
      <c r="BT357" s="140"/>
      <c r="BU357" s="140"/>
      <c r="BV357" s="140"/>
      <c r="BW357" s="140"/>
      <c r="BX357" s="140"/>
      <c r="BY357" s="140"/>
    </row>
    <row r="358" ht="15.75" customHeight="1">
      <c r="A358" s="150"/>
      <c r="B358" s="140"/>
      <c r="C358" s="140"/>
      <c r="D358" s="140"/>
      <c r="E358" s="140"/>
      <c r="F358" s="140"/>
      <c r="G358" s="140"/>
      <c r="H358" s="140"/>
      <c r="I358" s="140"/>
      <c r="J358" s="140"/>
      <c r="K358" s="140"/>
      <c r="L358" s="140"/>
      <c r="M358" s="140"/>
      <c r="N358" s="140"/>
      <c r="O358" s="140"/>
      <c r="P358" s="140"/>
      <c r="Q358" s="140"/>
      <c r="R358" s="140"/>
      <c r="S358" s="140"/>
      <c r="T358" s="140"/>
      <c r="U358" s="140"/>
      <c r="V358" s="140"/>
      <c r="W358" s="140"/>
      <c r="X358" s="140"/>
      <c r="Y358" s="140"/>
      <c r="Z358" s="140"/>
      <c r="AA358" s="140"/>
      <c r="AB358" s="140"/>
      <c r="AC358" s="140"/>
      <c r="AD358" s="140"/>
      <c r="AE358" s="140"/>
      <c r="AF358" s="140"/>
      <c r="AG358" s="140"/>
      <c r="AH358" s="140"/>
      <c r="AI358" s="140"/>
      <c r="AJ358" s="140"/>
      <c r="AK358" s="140"/>
      <c r="AL358" s="140"/>
      <c r="AM358" s="140"/>
      <c r="AN358" s="140"/>
      <c r="AO358" s="140"/>
      <c r="AP358" s="140"/>
      <c r="AQ358" s="140"/>
      <c r="AR358" s="140"/>
      <c r="AS358" s="140"/>
      <c r="AT358" s="140"/>
      <c r="AU358" s="140"/>
      <c r="AV358" s="140"/>
      <c r="AW358" s="140"/>
      <c r="AX358" s="140"/>
      <c r="AY358" s="140"/>
      <c r="AZ358" s="140"/>
      <c r="BA358" s="140"/>
      <c r="BB358" s="140"/>
      <c r="BC358" s="140"/>
      <c r="BD358" s="140"/>
      <c r="BE358" s="140"/>
      <c r="BF358" s="140"/>
      <c r="BG358" s="140"/>
      <c r="BH358" s="140"/>
      <c r="BI358" s="140"/>
      <c r="BJ358" s="140"/>
      <c r="BK358" s="140"/>
      <c r="BL358" s="140"/>
      <c r="BM358" s="140"/>
      <c r="BN358" s="140"/>
      <c r="BO358" s="140"/>
      <c r="BP358" s="140"/>
      <c r="BQ358" s="140"/>
      <c r="BR358" s="140"/>
      <c r="BS358" s="140"/>
      <c r="BT358" s="140"/>
      <c r="BU358" s="140"/>
      <c r="BV358" s="140"/>
      <c r="BW358" s="140"/>
      <c r="BX358" s="140"/>
      <c r="BY358" s="140"/>
    </row>
    <row r="359" ht="15.75" customHeight="1">
      <c r="A359" s="150"/>
      <c r="B359" s="140"/>
      <c r="C359" s="140"/>
      <c r="D359" s="140"/>
      <c r="E359" s="140"/>
      <c r="F359" s="140"/>
      <c r="G359" s="140"/>
      <c r="H359" s="140"/>
      <c r="I359" s="140"/>
      <c r="J359" s="140"/>
      <c r="K359" s="140"/>
      <c r="L359" s="140"/>
      <c r="M359" s="140"/>
      <c r="N359" s="140"/>
      <c r="O359" s="140"/>
      <c r="P359" s="140"/>
      <c r="Q359" s="140"/>
      <c r="R359" s="140"/>
      <c r="S359" s="140"/>
      <c r="T359" s="140"/>
      <c r="U359" s="140"/>
      <c r="V359" s="140"/>
      <c r="W359" s="140"/>
      <c r="X359" s="140"/>
      <c r="Y359" s="140"/>
      <c r="Z359" s="140"/>
      <c r="AA359" s="140"/>
      <c r="AB359" s="140"/>
      <c r="AC359" s="140"/>
      <c r="AD359" s="140"/>
      <c r="AE359" s="140"/>
      <c r="AF359" s="140"/>
      <c r="AG359" s="140"/>
      <c r="AH359" s="140"/>
      <c r="AI359" s="140"/>
      <c r="AJ359" s="140"/>
      <c r="AK359" s="140"/>
      <c r="AL359" s="140"/>
      <c r="AM359" s="140"/>
      <c r="AN359" s="140"/>
      <c r="AO359" s="140"/>
      <c r="AP359" s="140"/>
      <c r="AQ359" s="140"/>
      <c r="AR359" s="140"/>
      <c r="AS359" s="140"/>
      <c r="AT359" s="140"/>
      <c r="AU359" s="140"/>
      <c r="AV359" s="140"/>
      <c r="AW359" s="140"/>
      <c r="AX359" s="140"/>
      <c r="AY359" s="140"/>
      <c r="AZ359" s="140"/>
      <c r="BA359" s="140"/>
      <c r="BB359" s="140"/>
      <c r="BC359" s="140"/>
      <c r="BD359" s="140"/>
      <c r="BE359" s="140"/>
      <c r="BF359" s="140"/>
      <c r="BG359" s="140"/>
      <c r="BH359" s="140"/>
      <c r="BI359" s="140"/>
      <c r="BJ359" s="140"/>
      <c r="BK359" s="140"/>
      <c r="BL359" s="140"/>
      <c r="BM359" s="140"/>
      <c r="BN359" s="140"/>
      <c r="BO359" s="140"/>
      <c r="BP359" s="140"/>
      <c r="BQ359" s="140"/>
      <c r="BR359" s="140"/>
      <c r="BS359" s="140"/>
      <c r="BT359" s="140"/>
      <c r="BU359" s="140"/>
      <c r="BV359" s="140"/>
      <c r="BW359" s="140"/>
      <c r="BX359" s="140"/>
      <c r="BY359" s="140"/>
    </row>
    <row r="360" ht="15.75" customHeight="1">
      <c r="A360" s="150"/>
      <c r="B360" s="140"/>
      <c r="C360" s="140"/>
      <c r="D360" s="140"/>
      <c r="E360" s="140"/>
      <c r="F360" s="140"/>
      <c r="G360" s="140"/>
      <c r="H360" s="140"/>
      <c r="I360" s="140"/>
      <c r="J360" s="140"/>
      <c r="K360" s="140"/>
      <c r="L360" s="140"/>
      <c r="M360" s="140"/>
      <c r="N360" s="140"/>
      <c r="O360" s="140"/>
      <c r="P360" s="140"/>
      <c r="Q360" s="140"/>
      <c r="R360" s="140"/>
      <c r="S360" s="140"/>
      <c r="T360" s="140"/>
      <c r="U360" s="140"/>
      <c r="V360" s="140"/>
      <c r="W360" s="140"/>
      <c r="X360" s="140"/>
      <c r="Y360" s="140"/>
      <c r="Z360" s="140"/>
      <c r="AA360" s="140"/>
      <c r="AB360" s="140"/>
      <c r="AC360" s="140"/>
      <c r="AD360" s="140"/>
      <c r="AE360" s="140"/>
      <c r="AF360" s="140"/>
      <c r="AG360" s="140"/>
      <c r="AH360" s="140"/>
      <c r="AI360" s="140"/>
      <c r="AJ360" s="140"/>
      <c r="AK360" s="140"/>
      <c r="AL360" s="140"/>
      <c r="AM360" s="140"/>
      <c r="AN360" s="140"/>
      <c r="AO360" s="140"/>
      <c r="AP360" s="140"/>
      <c r="AQ360" s="140"/>
      <c r="AR360" s="140"/>
      <c r="AS360" s="140"/>
      <c r="AT360" s="140"/>
      <c r="AU360" s="140"/>
      <c r="AV360" s="140"/>
      <c r="AW360" s="140"/>
      <c r="AX360" s="140"/>
      <c r="AY360" s="140"/>
      <c r="AZ360" s="140"/>
      <c r="BA360" s="140"/>
      <c r="BB360" s="140"/>
      <c r="BC360" s="140"/>
      <c r="BD360" s="140"/>
      <c r="BE360" s="140"/>
      <c r="BF360" s="140"/>
      <c r="BG360" s="140"/>
      <c r="BH360" s="140"/>
      <c r="BI360" s="140"/>
      <c r="BJ360" s="140"/>
      <c r="BK360" s="140"/>
      <c r="BL360" s="140"/>
      <c r="BM360" s="140"/>
      <c r="BN360" s="140"/>
      <c r="BO360" s="140"/>
      <c r="BP360" s="140"/>
      <c r="BQ360" s="140"/>
      <c r="BR360" s="140"/>
      <c r="BS360" s="140"/>
      <c r="BT360" s="140"/>
      <c r="BU360" s="140"/>
      <c r="BV360" s="140"/>
      <c r="BW360" s="140"/>
      <c r="BX360" s="140"/>
      <c r="BY360" s="140"/>
    </row>
    <row r="361" ht="15.75" customHeight="1">
      <c r="A361" s="150"/>
      <c r="B361" s="140"/>
      <c r="C361" s="140"/>
      <c r="D361" s="140"/>
      <c r="E361" s="140"/>
      <c r="F361" s="140"/>
      <c r="G361" s="140"/>
      <c r="H361" s="140"/>
      <c r="I361" s="140"/>
      <c r="J361" s="140"/>
      <c r="K361" s="140"/>
      <c r="L361" s="140"/>
      <c r="M361" s="140"/>
      <c r="N361" s="140"/>
      <c r="O361" s="140"/>
      <c r="P361" s="140"/>
      <c r="Q361" s="140"/>
      <c r="R361" s="140"/>
      <c r="S361" s="140"/>
      <c r="T361" s="140"/>
      <c r="U361" s="140"/>
      <c r="V361" s="140"/>
      <c r="W361" s="140"/>
      <c r="X361" s="140"/>
      <c r="Y361" s="140"/>
      <c r="Z361" s="140"/>
      <c r="AA361" s="140"/>
      <c r="AB361" s="140"/>
      <c r="AC361" s="140"/>
      <c r="AD361" s="140"/>
      <c r="AE361" s="140"/>
      <c r="AF361" s="140"/>
      <c r="AG361" s="140"/>
      <c r="AH361" s="140"/>
      <c r="AI361" s="140"/>
      <c r="AJ361" s="140"/>
      <c r="AK361" s="140"/>
      <c r="AL361" s="140"/>
      <c r="AM361" s="140"/>
      <c r="AN361" s="140"/>
      <c r="AO361" s="140"/>
      <c r="AP361" s="140"/>
      <c r="AQ361" s="140"/>
      <c r="AR361" s="140"/>
      <c r="AS361" s="140"/>
      <c r="AT361" s="140"/>
      <c r="AU361" s="140"/>
      <c r="AV361" s="140"/>
      <c r="AW361" s="140"/>
      <c r="AX361" s="140"/>
      <c r="AY361" s="140"/>
      <c r="AZ361" s="140"/>
      <c r="BA361" s="140"/>
      <c r="BB361" s="140"/>
      <c r="BC361" s="140"/>
      <c r="BD361" s="140"/>
      <c r="BE361" s="140"/>
      <c r="BF361" s="140"/>
      <c r="BG361" s="140"/>
      <c r="BH361" s="140"/>
      <c r="BI361" s="140"/>
      <c r="BJ361" s="140"/>
      <c r="BK361" s="140"/>
      <c r="BL361" s="140"/>
      <c r="BM361" s="140"/>
      <c r="BN361" s="140"/>
      <c r="BO361" s="140"/>
      <c r="BP361" s="140"/>
      <c r="BQ361" s="140"/>
      <c r="BR361" s="140"/>
      <c r="BS361" s="140"/>
      <c r="BT361" s="140"/>
      <c r="BU361" s="140"/>
      <c r="BV361" s="140"/>
      <c r="BW361" s="140"/>
      <c r="BX361" s="140"/>
      <c r="BY361" s="140"/>
    </row>
    <row r="362" ht="15.75" customHeight="1">
      <c r="A362" s="150"/>
      <c r="B362" s="140"/>
      <c r="C362" s="140"/>
      <c r="D362" s="140"/>
      <c r="E362" s="140"/>
      <c r="F362" s="140"/>
      <c r="G362" s="140"/>
      <c r="H362" s="140"/>
      <c r="I362" s="140"/>
      <c r="J362" s="140"/>
      <c r="K362" s="140"/>
      <c r="L362" s="140"/>
      <c r="M362" s="140"/>
      <c r="N362" s="140"/>
      <c r="O362" s="140"/>
      <c r="P362" s="140"/>
      <c r="Q362" s="140"/>
      <c r="R362" s="140"/>
      <c r="S362" s="140"/>
      <c r="T362" s="140"/>
      <c r="U362" s="140"/>
      <c r="V362" s="140"/>
      <c r="W362" s="140"/>
      <c r="X362" s="140"/>
      <c r="Y362" s="140"/>
      <c r="Z362" s="140"/>
      <c r="AA362" s="140"/>
      <c r="AB362" s="140"/>
      <c r="AC362" s="140"/>
      <c r="AD362" s="140"/>
      <c r="AE362" s="140"/>
      <c r="AF362" s="140"/>
      <c r="AG362" s="140"/>
      <c r="AH362" s="140"/>
      <c r="AI362" s="140"/>
      <c r="AJ362" s="140"/>
      <c r="AK362" s="140"/>
      <c r="AL362" s="140"/>
      <c r="AM362" s="140"/>
      <c r="AN362" s="140"/>
      <c r="AO362" s="140"/>
      <c r="AP362" s="140"/>
      <c r="AQ362" s="140"/>
      <c r="AR362" s="140"/>
      <c r="AS362" s="140"/>
      <c r="AT362" s="140"/>
      <c r="AU362" s="140"/>
      <c r="AV362" s="140"/>
      <c r="AW362" s="140"/>
      <c r="AX362" s="140"/>
      <c r="AY362" s="140"/>
      <c r="AZ362" s="140"/>
      <c r="BA362" s="140"/>
      <c r="BB362" s="140"/>
      <c r="BC362" s="140"/>
      <c r="BD362" s="140"/>
      <c r="BE362" s="140"/>
      <c r="BF362" s="140"/>
      <c r="BG362" s="140"/>
      <c r="BH362" s="140"/>
      <c r="BI362" s="140"/>
      <c r="BJ362" s="140"/>
      <c r="BK362" s="140"/>
      <c r="BL362" s="140"/>
      <c r="BM362" s="140"/>
      <c r="BN362" s="140"/>
      <c r="BO362" s="140"/>
      <c r="BP362" s="140"/>
      <c r="BQ362" s="140"/>
      <c r="BR362" s="140"/>
      <c r="BS362" s="140"/>
      <c r="BT362" s="140"/>
      <c r="BU362" s="140"/>
      <c r="BV362" s="140"/>
      <c r="BW362" s="140"/>
      <c r="BX362" s="140"/>
      <c r="BY362" s="140"/>
    </row>
    <row r="363" ht="15.75" customHeight="1">
      <c r="A363" s="150"/>
      <c r="B363" s="140"/>
      <c r="C363" s="140"/>
      <c r="D363" s="140"/>
      <c r="E363" s="140"/>
      <c r="F363" s="140"/>
      <c r="G363" s="140"/>
      <c r="H363" s="140"/>
      <c r="I363" s="140"/>
      <c r="J363" s="140"/>
      <c r="K363" s="140"/>
      <c r="L363" s="140"/>
      <c r="M363" s="140"/>
      <c r="N363" s="140"/>
      <c r="O363" s="140"/>
      <c r="P363" s="140"/>
      <c r="Q363" s="140"/>
      <c r="R363" s="140"/>
      <c r="S363" s="140"/>
      <c r="T363" s="140"/>
      <c r="U363" s="140"/>
      <c r="V363" s="140"/>
      <c r="W363" s="140"/>
      <c r="X363" s="140"/>
      <c r="Y363" s="140"/>
      <c r="Z363" s="140"/>
      <c r="AA363" s="140"/>
      <c r="AB363" s="140"/>
      <c r="AC363" s="140"/>
      <c r="AD363" s="140"/>
      <c r="AE363" s="140"/>
      <c r="AF363" s="140"/>
      <c r="AG363" s="140"/>
      <c r="AH363" s="140"/>
      <c r="AI363" s="140"/>
      <c r="AJ363" s="140"/>
      <c r="AK363" s="140"/>
      <c r="AL363" s="140"/>
      <c r="AM363" s="140"/>
      <c r="AN363" s="140"/>
      <c r="AO363" s="140"/>
      <c r="AP363" s="140"/>
      <c r="AQ363" s="140"/>
      <c r="AR363" s="140"/>
      <c r="AS363" s="140"/>
      <c r="AT363" s="140"/>
      <c r="AU363" s="140"/>
      <c r="AV363" s="140"/>
      <c r="AW363" s="140"/>
      <c r="AX363" s="140"/>
      <c r="AY363" s="140"/>
      <c r="AZ363" s="140"/>
      <c r="BA363" s="140"/>
      <c r="BB363" s="140"/>
      <c r="BC363" s="140"/>
      <c r="BD363" s="140"/>
      <c r="BE363" s="140"/>
      <c r="BF363" s="140"/>
      <c r="BG363" s="140"/>
      <c r="BH363" s="140"/>
      <c r="BI363" s="140"/>
      <c r="BJ363" s="140"/>
      <c r="BK363" s="140"/>
      <c r="BL363" s="140"/>
      <c r="BM363" s="140"/>
      <c r="BN363" s="140"/>
      <c r="BO363" s="140"/>
      <c r="BP363" s="140"/>
      <c r="BQ363" s="140"/>
      <c r="BR363" s="140"/>
      <c r="BS363" s="140"/>
      <c r="BT363" s="140"/>
      <c r="BU363" s="140"/>
      <c r="BV363" s="140"/>
      <c r="BW363" s="140"/>
      <c r="BX363" s="140"/>
      <c r="BY363" s="140"/>
    </row>
    <row r="364" ht="15.75" customHeight="1">
      <c r="A364" s="150"/>
      <c r="B364" s="140"/>
      <c r="C364" s="140"/>
      <c r="D364" s="140"/>
      <c r="E364" s="140"/>
      <c r="F364" s="140"/>
      <c r="G364" s="140"/>
      <c r="H364" s="140"/>
      <c r="I364" s="140"/>
      <c r="J364" s="140"/>
      <c r="K364" s="140"/>
      <c r="L364" s="140"/>
      <c r="M364" s="140"/>
      <c r="N364" s="140"/>
      <c r="O364" s="140"/>
      <c r="P364" s="140"/>
      <c r="Q364" s="140"/>
      <c r="R364" s="140"/>
      <c r="S364" s="140"/>
      <c r="T364" s="140"/>
      <c r="U364" s="140"/>
      <c r="V364" s="140"/>
      <c r="W364" s="140"/>
      <c r="X364" s="140"/>
      <c r="Y364" s="140"/>
      <c r="Z364" s="140"/>
      <c r="AA364" s="140"/>
      <c r="AB364" s="140"/>
      <c r="AC364" s="140"/>
      <c r="AD364" s="140"/>
      <c r="AE364" s="140"/>
      <c r="AF364" s="140"/>
      <c r="AG364" s="140"/>
      <c r="AH364" s="140"/>
      <c r="AI364" s="140"/>
      <c r="AJ364" s="140"/>
      <c r="AK364" s="140"/>
      <c r="AL364" s="140"/>
      <c r="AM364" s="140"/>
      <c r="AN364" s="140"/>
      <c r="AO364" s="140"/>
      <c r="AP364" s="140"/>
      <c r="AQ364" s="140"/>
      <c r="AR364" s="140"/>
      <c r="AS364" s="140"/>
      <c r="AT364" s="140"/>
      <c r="AU364" s="140"/>
      <c r="AV364" s="140"/>
      <c r="AW364" s="140"/>
      <c r="AX364" s="140"/>
      <c r="AY364" s="140"/>
      <c r="AZ364" s="140"/>
      <c r="BA364" s="140"/>
      <c r="BB364" s="140"/>
      <c r="BC364" s="140"/>
      <c r="BD364" s="140"/>
      <c r="BE364" s="140"/>
      <c r="BF364" s="140"/>
      <c r="BG364" s="140"/>
      <c r="BH364" s="140"/>
      <c r="BI364" s="140"/>
      <c r="BJ364" s="140"/>
      <c r="BK364" s="140"/>
      <c r="BL364" s="140"/>
      <c r="BM364" s="140"/>
      <c r="BN364" s="140"/>
      <c r="BO364" s="140"/>
      <c r="BP364" s="140"/>
      <c r="BQ364" s="140"/>
      <c r="BR364" s="140"/>
      <c r="BS364" s="140"/>
      <c r="BT364" s="140"/>
      <c r="BU364" s="140"/>
      <c r="BV364" s="140"/>
      <c r="BW364" s="140"/>
      <c r="BX364" s="140"/>
      <c r="BY364" s="140"/>
    </row>
    <row r="365" ht="15.75" customHeight="1">
      <c r="A365" s="150"/>
      <c r="B365" s="140"/>
      <c r="C365" s="140"/>
      <c r="D365" s="140"/>
      <c r="E365" s="140"/>
      <c r="F365" s="140"/>
      <c r="G365" s="140"/>
      <c r="H365" s="140"/>
      <c r="I365" s="140"/>
      <c r="J365" s="140"/>
      <c r="K365" s="140"/>
      <c r="L365" s="140"/>
      <c r="M365" s="140"/>
      <c r="N365" s="140"/>
      <c r="O365" s="140"/>
      <c r="P365" s="140"/>
      <c r="Q365" s="140"/>
      <c r="R365" s="140"/>
      <c r="S365" s="140"/>
      <c r="T365" s="140"/>
      <c r="U365" s="140"/>
      <c r="V365" s="140"/>
      <c r="W365" s="140"/>
      <c r="X365" s="140"/>
      <c r="Y365" s="140"/>
      <c r="Z365" s="140"/>
      <c r="AA365" s="140"/>
      <c r="AB365" s="140"/>
      <c r="AC365" s="140"/>
      <c r="AD365" s="140"/>
      <c r="AE365" s="140"/>
      <c r="AF365" s="140"/>
      <c r="AG365" s="140"/>
      <c r="AH365" s="140"/>
      <c r="AI365" s="140"/>
      <c r="AJ365" s="140"/>
      <c r="AK365" s="140"/>
      <c r="AL365" s="140"/>
      <c r="AM365" s="140"/>
      <c r="AN365" s="140"/>
      <c r="AO365" s="140"/>
      <c r="AP365" s="140"/>
      <c r="AQ365" s="140"/>
      <c r="AR365" s="140"/>
      <c r="AS365" s="140"/>
      <c r="AT365" s="140"/>
      <c r="AU365" s="140"/>
      <c r="AV365" s="140"/>
      <c r="AW365" s="140"/>
      <c r="AX365" s="140"/>
      <c r="AY365" s="140"/>
      <c r="AZ365" s="140"/>
      <c r="BA365" s="140"/>
      <c r="BB365" s="140"/>
      <c r="BC365" s="140"/>
      <c r="BD365" s="140"/>
      <c r="BE365" s="140"/>
      <c r="BF365" s="140"/>
      <c r="BG365" s="140"/>
      <c r="BH365" s="140"/>
      <c r="BI365" s="140"/>
      <c r="BJ365" s="140"/>
      <c r="BK365" s="140"/>
      <c r="BL365" s="140"/>
      <c r="BM365" s="140"/>
      <c r="BN365" s="140"/>
      <c r="BO365" s="140"/>
      <c r="BP365" s="140"/>
      <c r="BQ365" s="140"/>
      <c r="BR365" s="140"/>
      <c r="BS365" s="140"/>
      <c r="BT365" s="140"/>
      <c r="BU365" s="140"/>
      <c r="BV365" s="140"/>
      <c r="BW365" s="140"/>
      <c r="BX365" s="140"/>
      <c r="BY365" s="140"/>
    </row>
    <row r="366" ht="15.75" customHeight="1">
      <c r="A366" s="150"/>
      <c r="B366" s="140"/>
      <c r="C366" s="140"/>
      <c r="D366" s="140"/>
      <c r="E366" s="140"/>
      <c r="F366" s="140"/>
      <c r="G366" s="140"/>
      <c r="H366" s="140"/>
      <c r="I366" s="140"/>
      <c r="J366" s="140"/>
      <c r="K366" s="140"/>
      <c r="L366" s="140"/>
      <c r="M366" s="140"/>
      <c r="N366" s="140"/>
      <c r="O366" s="140"/>
      <c r="P366" s="140"/>
      <c r="Q366" s="140"/>
      <c r="R366" s="140"/>
      <c r="S366" s="140"/>
      <c r="T366" s="140"/>
      <c r="U366" s="140"/>
      <c r="V366" s="140"/>
      <c r="W366" s="140"/>
      <c r="X366" s="140"/>
      <c r="Y366" s="140"/>
      <c r="Z366" s="140"/>
      <c r="AA366" s="140"/>
      <c r="AB366" s="140"/>
      <c r="AC366" s="140"/>
      <c r="AD366" s="140"/>
      <c r="AE366" s="140"/>
      <c r="AF366" s="140"/>
      <c r="AG366" s="140"/>
      <c r="AH366" s="140"/>
      <c r="AI366" s="140"/>
      <c r="AJ366" s="140"/>
      <c r="AK366" s="140"/>
      <c r="AL366" s="140"/>
      <c r="AM366" s="140"/>
      <c r="AN366" s="140"/>
      <c r="AO366" s="140"/>
      <c r="AP366" s="140"/>
      <c r="AQ366" s="140"/>
      <c r="AR366" s="140"/>
      <c r="AS366" s="140"/>
      <c r="AT366" s="140"/>
      <c r="AU366" s="140"/>
      <c r="AV366" s="140"/>
      <c r="AW366" s="140"/>
      <c r="AX366" s="140"/>
      <c r="AY366" s="140"/>
      <c r="AZ366" s="140"/>
      <c r="BA366" s="140"/>
      <c r="BB366" s="140"/>
      <c r="BC366" s="140"/>
      <c r="BD366" s="140"/>
      <c r="BE366" s="140"/>
      <c r="BF366" s="140"/>
      <c r="BG366" s="140"/>
      <c r="BH366" s="140"/>
      <c r="BI366" s="140"/>
      <c r="BJ366" s="140"/>
      <c r="BK366" s="140"/>
      <c r="BL366" s="140"/>
      <c r="BM366" s="140"/>
      <c r="BN366" s="140"/>
      <c r="BO366" s="140"/>
      <c r="BP366" s="140"/>
      <c r="BQ366" s="140"/>
      <c r="BR366" s="140"/>
      <c r="BS366" s="140"/>
      <c r="BT366" s="140"/>
      <c r="BU366" s="140"/>
      <c r="BV366" s="140"/>
      <c r="BW366" s="140"/>
      <c r="BX366" s="140"/>
      <c r="BY366" s="140"/>
    </row>
    <row r="367" ht="15.75" customHeight="1">
      <c r="A367" s="150"/>
      <c r="B367" s="140"/>
      <c r="C367" s="140"/>
      <c r="D367" s="140"/>
      <c r="E367" s="140"/>
      <c r="F367" s="140"/>
      <c r="G367" s="140"/>
      <c r="H367" s="140"/>
      <c r="I367" s="140"/>
      <c r="J367" s="140"/>
      <c r="K367" s="140"/>
      <c r="L367" s="140"/>
      <c r="M367" s="140"/>
      <c r="N367" s="140"/>
      <c r="O367" s="140"/>
      <c r="P367" s="140"/>
      <c r="Q367" s="140"/>
      <c r="R367" s="140"/>
      <c r="S367" s="140"/>
      <c r="T367" s="140"/>
      <c r="U367" s="140"/>
      <c r="V367" s="140"/>
      <c r="W367" s="140"/>
      <c r="X367" s="140"/>
      <c r="Y367" s="140"/>
      <c r="Z367" s="140"/>
      <c r="AA367" s="140"/>
      <c r="AB367" s="140"/>
      <c r="AC367" s="140"/>
      <c r="AD367" s="140"/>
      <c r="AE367" s="140"/>
      <c r="AF367" s="140"/>
      <c r="AG367" s="140"/>
      <c r="AH367" s="140"/>
      <c r="AI367" s="140"/>
      <c r="AJ367" s="140"/>
      <c r="AK367" s="140"/>
      <c r="AL367" s="140"/>
      <c r="AM367" s="140"/>
      <c r="AN367" s="140"/>
      <c r="AO367" s="140"/>
      <c r="AP367" s="140"/>
      <c r="AQ367" s="140"/>
      <c r="AR367" s="140"/>
      <c r="AS367" s="140"/>
      <c r="AT367" s="140"/>
      <c r="AU367" s="140"/>
      <c r="AV367" s="140"/>
      <c r="AW367" s="140"/>
      <c r="AX367" s="140"/>
      <c r="AY367" s="140"/>
      <c r="AZ367" s="140"/>
      <c r="BA367" s="140"/>
      <c r="BB367" s="140"/>
      <c r="BC367" s="140"/>
      <c r="BD367" s="140"/>
      <c r="BE367" s="140"/>
      <c r="BF367" s="140"/>
      <c r="BG367" s="140"/>
      <c r="BH367" s="140"/>
      <c r="BI367" s="140"/>
      <c r="BJ367" s="140"/>
      <c r="BK367" s="140"/>
      <c r="BL367" s="140"/>
      <c r="BM367" s="140"/>
      <c r="BN367" s="140"/>
      <c r="BO367" s="140"/>
      <c r="BP367" s="140"/>
      <c r="BQ367" s="140"/>
      <c r="BR367" s="140"/>
      <c r="BS367" s="140"/>
      <c r="BT367" s="140"/>
      <c r="BU367" s="140"/>
      <c r="BV367" s="140"/>
      <c r="BW367" s="140"/>
      <c r="BX367" s="140"/>
      <c r="BY367" s="140"/>
    </row>
    <row r="368" ht="15.75" customHeight="1">
      <c r="A368" s="150"/>
      <c r="B368" s="140"/>
      <c r="C368" s="140"/>
      <c r="D368" s="140"/>
      <c r="E368" s="140"/>
      <c r="F368" s="140"/>
      <c r="G368" s="140"/>
      <c r="H368" s="140"/>
      <c r="I368" s="140"/>
      <c r="J368" s="140"/>
      <c r="K368" s="140"/>
      <c r="L368" s="140"/>
      <c r="M368" s="140"/>
      <c r="N368" s="140"/>
      <c r="O368" s="140"/>
      <c r="P368" s="140"/>
      <c r="Q368" s="140"/>
      <c r="R368" s="140"/>
      <c r="S368" s="140"/>
      <c r="T368" s="140"/>
      <c r="U368" s="140"/>
      <c r="V368" s="140"/>
      <c r="W368" s="140"/>
      <c r="X368" s="140"/>
      <c r="Y368" s="140"/>
      <c r="Z368" s="140"/>
      <c r="AA368" s="140"/>
      <c r="AB368" s="140"/>
      <c r="AC368" s="140"/>
      <c r="AD368" s="140"/>
      <c r="AE368" s="140"/>
      <c r="AF368" s="140"/>
      <c r="AG368" s="140"/>
      <c r="AH368" s="140"/>
      <c r="AI368" s="140"/>
      <c r="AJ368" s="140"/>
      <c r="AK368" s="140"/>
      <c r="AL368" s="140"/>
      <c r="AM368" s="140"/>
      <c r="AN368" s="140"/>
      <c r="AO368" s="140"/>
      <c r="AP368" s="140"/>
      <c r="AQ368" s="140"/>
      <c r="AR368" s="140"/>
      <c r="AS368" s="140"/>
      <c r="AT368" s="140"/>
      <c r="AU368" s="140"/>
      <c r="AV368" s="140"/>
      <c r="AW368" s="140"/>
      <c r="AX368" s="140"/>
      <c r="AY368" s="140"/>
      <c r="AZ368" s="140"/>
      <c r="BA368" s="140"/>
      <c r="BB368" s="140"/>
      <c r="BC368" s="140"/>
      <c r="BD368" s="140"/>
      <c r="BE368" s="140"/>
      <c r="BF368" s="140"/>
      <c r="BG368" s="140"/>
      <c r="BH368" s="140"/>
      <c r="BI368" s="140"/>
      <c r="BJ368" s="140"/>
      <c r="BK368" s="140"/>
      <c r="BL368" s="140"/>
      <c r="BM368" s="140"/>
      <c r="BN368" s="140"/>
      <c r="BO368" s="140"/>
      <c r="BP368" s="140"/>
      <c r="BQ368" s="140"/>
      <c r="BR368" s="140"/>
      <c r="BS368" s="140"/>
      <c r="BT368" s="140"/>
      <c r="BU368" s="140"/>
      <c r="BV368" s="140"/>
      <c r="BW368" s="140"/>
      <c r="BX368" s="140"/>
      <c r="BY368" s="140"/>
    </row>
    <row r="369" ht="15.75" customHeight="1">
      <c r="A369" s="150"/>
      <c r="B369" s="140"/>
      <c r="C369" s="140"/>
      <c r="D369" s="140"/>
      <c r="E369" s="140"/>
      <c r="F369" s="140"/>
      <c r="G369" s="140"/>
      <c r="H369" s="140"/>
      <c r="I369" s="140"/>
      <c r="J369" s="140"/>
      <c r="K369" s="140"/>
      <c r="L369" s="140"/>
      <c r="M369" s="140"/>
      <c r="N369" s="140"/>
      <c r="O369" s="140"/>
      <c r="P369" s="140"/>
      <c r="Q369" s="140"/>
      <c r="R369" s="140"/>
      <c r="S369" s="140"/>
      <c r="T369" s="140"/>
      <c r="U369" s="140"/>
      <c r="V369" s="140"/>
      <c r="W369" s="140"/>
      <c r="X369" s="140"/>
      <c r="Y369" s="140"/>
      <c r="Z369" s="140"/>
      <c r="AA369" s="140"/>
      <c r="AB369" s="140"/>
      <c r="AC369" s="140"/>
      <c r="AD369" s="140"/>
      <c r="AE369" s="140"/>
      <c r="AF369" s="140"/>
      <c r="AG369" s="140"/>
      <c r="AH369" s="140"/>
      <c r="AI369" s="140"/>
      <c r="AJ369" s="140"/>
      <c r="AK369" s="140"/>
      <c r="AL369" s="140"/>
      <c r="AM369" s="140"/>
      <c r="AN369" s="140"/>
      <c r="AO369" s="140"/>
      <c r="AP369" s="140"/>
      <c r="AQ369" s="140"/>
      <c r="AR369" s="140"/>
      <c r="AS369" s="140"/>
      <c r="AT369" s="140"/>
      <c r="AU369" s="140"/>
      <c r="AV369" s="140"/>
      <c r="AW369" s="140"/>
      <c r="AX369" s="140"/>
      <c r="AY369" s="140"/>
      <c r="AZ369" s="140"/>
      <c r="BA369" s="140"/>
      <c r="BB369" s="140"/>
      <c r="BC369" s="140"/>
      <c r="BD369" s="140"/>
      <c r="BE369" s="140"/>
      <c r="BF369" s="140"/>
      <c r="BG369" s="140"/>
      <c r="BH369" s="140"/>
      <c r="BI369" s="140"/>
      <c r="BJ369" s="140"/>
      <c r="BK369" s="140"/>
      <c r="BL369" s="140"/>
      <c r="BM369" s="140"/>
      <c r="BN369" s="140"/>
      <c r="BO369" s="140"/>
      <c r="BP369" s="140"/>
      <c r="BQ369" s="140"/>
      <c r="BR369" s="140"/>
      <c r="BS369" s="140"/>
      <c r="BT369" s="140"/>
      <c r="BU369" s="140"/>
      <c r="BV369" s="140"/>
      <c r="BW369" s="140"/>
      <c r="BX369" s="140"/>
      <c r="BY369" s="140"/>
    </row>
    <row r="370" ht="15.75" customHeight="1">
      <c r="A370" s="150"/>
      <c r="B370" s="140"/>
      <c r="C370" s="140"/>
      <c r="D370" s="140"/>
      <c r="E370" s="140"/>
      <c r="F370" s="140"/>
      <c r="G370" s="140"/>
      <c r="H370" s="140"/>
      <c r="I370" s="140"/>
      <c r="J370" s="140"/>
      <c r="K370" s="140"/>
      <c r="L370" s="140"/>
      <c r="M370" s="140"/>
      <c r="N370" s="140"/>
      <c r="O370" s="140"/>
      <c r="P370" s="140"/>
      <c r="Q370" s="140"/>
      <c r="R370" s="140"/>
      <c r="S370" s="140"/>
      <c r="T370" s="140"/>
      <c r="U370" s="140"/>
      <c r="V370" s="140"/>
      <c r="W370" s="140"/>
      <c r="X370" s="140"/>
      <c r="Y370" s="140"/>
      <c r="Z370" s="140"/>
      <c r="AA370" s="140"/>
      <c r="AB370" s="140"/>
      <c r="AC370" s="140"/>
      <c r="AD370" s="140"/>
      <c r="AE370" s="140"/>
      <c r="AF370" s="140"/>
      <c r="AG370" s="140"/>
      <c r="AH370" s="140"/>
      <c r="AI370" s="140"/>
      <c r="AJ370" s="140"/>
      <c r="AK370" s="140"/>
      <c r="AL370" s="140"/>
      <c r="AM370" s="140"/>
      <c r="AN370" s="140"/>
      <c r="AO370" s="140"/>
      <c r="AP370" s="140"/>
      <c r="AQ370" s="140"/>
      <c r="AR370" s="140"/>
      <c r="AS370" s="140"/>
      <c r="AT370" s="140"/>
      <c r="AU370" s="140"/>
      <c r="AV370" s="140"/>
      <c r="AW370" s="140"/>
      <c r="AX370" s="140"/>
      <c r="AY370" s="140"/>
      <c r="AZ370" s="140"/>
      <c r="BA370" s="140"/>
      <c r="BB370" s="140"/>
      <c r="BC370" s="140"/>
      <c r="BD370" s="140"/>
      <c r="BE370" s="140"/>
      <c r="BF370" s="140"/>
      <c r="BG370" s="140"/>
      <c r="BH370" s="140"/>
      <c r="BI370" s="140"/>
      <c r="BJ370" s="140"/>
      <c r="BK370" s="140"/>
      <c r="BL370" s="140"/>
      <c r="BM370" s="140"/>
      <c r="BN370" s="140"/>
      <c r="BO370" s="140"/>
      <c r="BP370" s="140"/>
      <c r="BQ370" s="140"/>
      <c r="BR370" s="140"/>
      <c r="BS370" s="140"/>
      <c r="BT370" s="140"/>
      <c r="BU370" s="140"/>
      <c r="BV370" s="140"/>
      <c r="BW370" s="140"/>
      <c r="BX370" s="140"/>
      <c r="BY370" s="140"/>
    </row>
    <row r="371" ht="15.75" customHeight="1">
      <c r="A371" s="150"/>
      <c r="B371" s="140"/>
      <c r="C371" s="140"/>
      <c r="D371" s="140"/>
      <c r="E371" s="140"/>
      <c r="F371" s="140"/>
      <c r="G371" s="140"/>
      <c r="H371" s="140"/>
      <c r="I371" s="140"/>
      <c r="J371" s="140"/>
      <c r="K371" s="140"/>
      <c r="L371" s="140"/>
      <c r="M371" s="140"/>
      <c r="N371" s="140"/>
      <c r="O371" s="140"/>
      <c r="P371" s="140"/>
      <c r="Q371" s="140"/>
      <c r="R371" s="140"/>
      <c r="S371" s="140"/>
      <c r="T371" s="140"/>
      <c r="U371" s="140"/>
      <c r="V371" s="140"/>
      <c r="W371" s="140"/>
      <c r="X371" s="140"/>
      <c r="Y371" s="140"/>
      <c r="Z371" s="140"/>
      <c r="AA371" s="140"/>
      <c r="AB371" s="140"/>
      <c r="AC371" s="140"/>
      <c r="AD371" s="140"/>
      <c r="AE371" s="140"/>
      <c r="AF371" s="140"/>
      <c r="AG371" s="140"/>
      <c r="AH371" s="140"/>
      <c r="AI371" s="140"/>
      <c r="AJ371" s="140"/>
      <c r="AK371" s="140"/>
      <c r="AL371" s="140"/>
      <c r="AM371" s="140"/>
      <c r="AN371" s="140"/>
      <c r="AO371" s="140"/>
      <c r="AP371" s="140"/>
      <c r="AQ371" s="140"/>
      <c r="AR371" s="140"/>
      <c r="AS371" s="140"/>
      <c r="AT371" s="140"/>
      <c r="AU371" s="140"/>
      <c r="AV371" s="140"/>
      <c r="AW371" s="140"/>
      <c r="AX371" s="140"/>
      <c r="AY371" s="140"/>
      <c r="AZ371" s="140"/>
      <c r="BA371" s="140"/>
      <c r="BB371" s="140"/>
      <c r="BC371" s="140"/>
      <c r="BD371" s="140"/>
      <c r="BE371" s="140"/>
      <c r="BF371" s="140"/>
      <c r="BG371" s="140"/>
      <c r="BH371" s="140"/>
      <c r="BI371" s="140"/>
      <c r="BJ371" s="140"/>
      <c r="BK371" s="140"/>
      <c r="BL371" s="140"/>
      <c r="BM371" s="140"/>
      <c r="BN371" s="140"/>
      <c r="BO371" s="140"/>
      <c r="BP371" s="140"/>
      <c r="BQ371" s="140"/>
      <c r="BR371" s="140"/>
      <c r="BS371" s="140"/>
      <c r="BT371" s="140"/>
      <c r="BU371" s="140"/>
      <c r="BV371" s="140"/>
      <c r="BW371" s="140"/>
      <c r="BX371" s="140"/>
      <c r="BY371" s="140"/>
    </row>
    <row r="372" ht="15.75" customHeight="1">
      <c r="A372" s="150"/>
      <c r="B372" s="140"/>
      <c r="C372" s="140"/>
      <c r="D372" s="140"/>
      <c r="E372" s="140"/>
      <c r="F372" s="140"/>
      <c r="G372" s="140"/>
      <c r="H372" s="140"/>
      <c r="I372" s="140"/>
      <c r="J372" s="140"/>
      <c r="K372" s="140"/>
      <c r="L372" s="140"/>
      <c r="M372" s="140"/>
      <c r="N372" s="140"/>
      <c r="O372" s="140"/>
      <c r="P372" s="140"/>
      <c r="Q372" s="140"/>
      <c r="R372" s="140"/>
      <c r="S372" s="140"/>
      <c r="T372" s="140"/>
      <c r="U372" s="140"/>
      <c r="V372" s="140"/>
      <c r="W372" s="140"/>
      <c r="X372" s="140"/>
      <c r="Y372" s="140"/>
      <c r="Z372" s="140"/>
      <c r="AA372" s="140"/>
      <c r="AB372" s="140"/>
      <c r="AC372" s="140"/>
      <c r="AD372" s="140"/>
      <c r="AE372" s="140"/>
      <c r="AF372" s="140"/>
      <c r="AG372" s="140"/>
      <c r="AH372" s="140"/>
      <c r="AI372" s="140"/>
      <c r="AJ372" s="140"/>
      <c r="AK372" s="140"/>
      <c r="AL372" s="140"/>
      <c r="AM372" s="140"/>
      <c r="AN372" s="140"/>
      <c r="AO372" s="140"/>
      <c r="AP372" s="140"/>
      <c r="AQ372" s="140"/>
      <c r="AR372" s="140"/>
      <c r="AS372" s="140"/>
      <c r="AT372" s="140"/>
      <c r="AU372" s="140"/>
      <c r="AV372" s="140"/>
      <c r="AW372" s="140"/>
      <c r="AX372" s="140"/>
      <c r="AY372" s="140"/>
      <c r="AZ372" s="140"/>
      <c r="BA372" s="140"/>
      <c r="BB372" s="140"/>
      <c r="BC372" s="140"/>
      <c r="BD372" s="140"/>
      <c r="BE372" s="140"/>
      <c r="BF372" s="140"/>
      <c r="BG372" s="140"/>
      <c r="BH372" s="140"/>
      <c r="BI372" s="140"/>
      <c r="BJ372" s="140"/>
      <c r="BK372" s="140"/>
      <c r="BL372" s="140"/>
      <c r="BM372" s="140"/>
      <c r="BN372" s="140"/>
      <c r="BO372" s="140"/>
      <c r="BP372" s="140"/>
      <c r="BQ372" s="140"/>
      <c r="BR372" s="140"/>
      <c r="BS372" s="140"/>
      <c r="BT372" s="140"/>
      <c r="BU372" s="140"/>
      <c r="BV372" s="140"/>
      <c r="BW372" s="140"/>
      <c r="BX372" s="140"/>
      <c r="BY372" s="140"/>
    </row>
    <row r="373" ht="15.75" customHeight="1">
      <c r="A373" s="150"/>
      <c r="B373" s="140"/>
      <c r="C373" s="140"/>
      <c r="D373" s="140"/>
      <c r="E373" s="140"/>
      <c r="F373" s="140"/>
      <c r="G373" s="140"/>
      <c r="H373" s="140"/>
      <c r="I373" s="140"/>
      <c r="J373" s="140"/>
      <c r="K373" s="140"/>
      <c r="L373" s="140"/>
      <c r="M373" s="140"/>
      <c r="N373" s="140"/>
      <c r="O373" s="140"/>
      <c r="P373" s="140"/>
      <c r="Q373" s="140"/>
      <c r="R373" s="140"/>
      <c r="S373" s="140"/>
      <c r="T373" s="140"/>
      <c r="U373" s="140"/>
      <c r="V373" s="140"/>
      <c r="W373" s="140"/>
      <c r="X373" s="140"/>
      <c r="Y373" s="140"/>
      <c r="Z373" s="140"/>
      <c r="AA373" s="140"/>
      <c r="AB373" s="140"/>
      <c r="AC373" s="140"/>
      <c r="AD373" s="140"/>
      <c r="AE373" s="140"/>
      <c r="AF373" s="140"/>
      <c r="AG373" s="140"/>
      <c r="AH373" s="140"/>
      <c r="AI373" s="140"/>
      <c r="AJ373" s="140"/>
      <c r="AK373" s="140"/>
      <c r="AL373" s="140"/>
      <c r="AM373" s="140"/>
      <c r="AN373" s="140"/>
      <c r="AO373" s="140"/>
      <c r="AP373" s="140"/>
      <c r="AQ373" s="140"/>
      <c r="AR373" s="140"/>
      <c r="AS373" s="140"/>
      <c r="AT373" s="140"/>
      <c r="AU373" s="140"/>
      <c r="AV373" s="140"/>
      <c r="AW373" s="140"/>
      <c r="AX373" s="140"/>
      <c r="AY373" s="140"/>
      <c r="AZ373" s="140"/>
      <c r="BA373" s="140"/>
      <c r="BB373" s="140"/>
      <c r="BC373" s="140"/>
      <c r="BD373" s="140"/>
      <c r="BE373" s="140"/>
      <c r="BF373" s="140"/>
      <c r="BG373" s="140"/>
      <c r="BH373" s="140"/>
      <c r="BI373" s="140"/>
      <c r="BJ373" s="140"/>
      <c r="BK373" s="140"/>
      <c r="BL373" s="140"/>
      <c r="BM373" s="140"/>
      <c r="BN373" s="140"/>
      <c r="BO373" s="140"/>
      <c r="BP373" s="140"/>
      <c r="BQ373" s="140"/>
      <c r="BR373" s="140"/>
      <c r="BS373" s="140"/>
      <c r="BT373" s="140"/>
      <c r="BU373" s="140"/>
      <c r="BV373" s="140"/>
      <c r="BW373" s="140"/>
      <c r="BX373" s="140"/>
      <c r="BY373" s="140"/>
    </row>
    <row r="374" ht="15.75" customHeight="1">
      <c r="A374" s="150"/>
      <c r="B374" s="140"/>
      <c r="C374" s="140"/>
      <c r="D374" s="140"/>
      <c r="E374" s="140"/>
      <c r="F374" s="140"/>
      <c r="G374" s="140"/>
      <c r="H374" s="140"/>
      <c r="I374" s="140"/>
      <c r="J374" s="140"/>
      <c r="K374" s="140"/>
      <c r="L374" s="140"/>
      <c r="M374" s="140"/>
      <c r="N374" s="140"/>
      <c r="O374" s="140"/>
      <c r="P374" s="140"/>
      <c r="Q374" s="140"/>
      <c r="R374" s="140"/>
      <c r="S374" s="140"/>
      <c r="T374" s="140"/>
      <c r="U374" s="140"/>
      <c r="V374" s="140"/>
      <c r="W374" s="140"/>
      <c r="X374" s="140"/>
      <c r="Y374" s="140"/>
      <c r="Z374" s="140"/>
      <c r="AA374" s="140"/>
      <c r="AB374" s="140"/>
      <c r="AC374" s="140"/>
      <c r="AD374" s="140"/>
      <c r="AE374" s="140"/>
      <c r="AF374" s="140"/>
      <c r="AG374" s="140"/>
      <c r="AH374" s="140"/>
      <c r="AI374" s="140"/>
      <c r="AJ374" s="140"/>
      <c r="AK374" s="140"/>
      <c r="AL374" s="140"/>
      <c r="AM374" s="140"/>
      <c r="AN374" s="140"/>
      <c r="AO374" s="140"/>
      <c r="AP374" s="140"/>
      <c r="AQ374" s="140"/>
      <c r="AR374" s="140"/>
      <c r="AS374" s="140"/>
      <c r="AT374" s="140"/>
      <c r="AU374" s="140"/>
      <c r="AV374" s="140"/>
      <c r="AW374" s="140"/>
      <c r="AX374" s="140"/>
      <c r="AY374" s="140"/>
      <c r="AZ374" s="140"/>
      <c r="BA374" s="140"/>
      <c r="BB374" s="140"/>
      <c r="BC374" s="140"/>
      <c r="BD374" s="140"/>
      <c r="BE374" s="140"/>
      <c r="BF374" s="140"/>
      <c r="BG374" s="140"/>
      <c r="BH374" s="140"/>
      <c r="BI374" s="140"/>
      <c r="BJ374" s="140"/>
      <c r="BK374" s="140"/>
      <c r="BL374" s="140"/>
      <c r="BM374" s="140"/>
      <c r="BN374" s="140"/>
      <c r="BO374" s="140"/>
      <c r="BP374" s="140"/>
      <c r="BQ374" s="140"/>
      <c r="BR374" s="140"/>
      <c r="BS374" s="140"/>
      <c r="BT374" s="140"/>
      <c r="BU374" s="140"/>
      <c r="BV374" s="140"/>
      <c r="BW374" s="140"/>
      <c r="BX374" s="140"/>
      <c r="BY374" s="140"/>
    </row>
    <row r="375" ht="15.75" customHeight="1">
      <c r="A375" s="150"/>
      <c r="B375" s="140"/>
      <c r="C375" s="140"/>
      <c r="D375" s="140"/>
      <c r="E375" s="140"/>
      <c r="F375" s="140"/>
      <c r="G375" s="140"/>
      <c r="H375" s="140"/>
      <c r="I375" s="140"/>
      <c r="J375" s="140"/>
      <c r="K375" s="140"/>
      <c r="L375" s="140"/>
      <c r="M375" s="140"/>
      <c r="N375" s="140"/>
      <c r="O375" s="140"/>
      <c r="P375" s="140"/>
      <c r="Q375" s="140"/>
      <c r="R375" s="140"/>
      <c r="S375" s="140"/>
      <c r="T375" s="140"/>
      <c r="U375" s="140"/>
      <c r="V375" s="140"/>
      <c r="W375" s="140"/>
      <c r="X375" s="140"/>
      <c r="Y375" s="140"/>
      <c r="Z375" s="140"/>
      <c r="AA375" s="140"/>
      <c r="AB375" s="140"/>
      <c r="AC375" s="140"/>
      <c r="AD375" s="140"/>
      <c r="AE375" s="140"/>
      <c r="AF375" s="140"/>
      <c r="AG375" s="140"/>
      <c r="AH375" s="140"/>
      <c r="AI375" s="140"/>
      <c r="AJ375" s="140"/>
      <c r="AK375" s="140"/>
      <c r="AL375" s="140"/>
      <c r="AM375" s="140"/>
      <c r="AN375" s="140"/>
      <c r="AO375" s="140"/>
      <c r="AP375" s="140"/>
      <c r="AQ375" s="140"/>
      <c r="AR375" s="140"/>
      <c r="AS375" s="140"/>
      <c r="AT375" s="140"/>
      <c r="AU375" s="140"/>
      <c r="AV375" s="140"/>
      <c r="AW375" s="140"/>
      <c r="AX375" s="140"/>
      <c r="AY375" s="140"/>
      <c r="AZ375" s="140"/>
      <c r="BA375" s="140"/>
      <c r="BB375" s="140"/>
      <c r="BC375" s="140"/>
      <c r="BD375" s="140"/>
      <c r="BE375" s="140"/>
      <c r="BF375" s="140"/>
      <c r="BG375" s="140"/>
      <c r="BH375" s="140"/>
      <c r="BI375" s="140"/>
      <c r="BJ375" s="140"/>
      <c r="BK375" s="140"/>
      <c r="BL375" s="140"/>
      <c r="BM375" s="140"/>
      <c r="BN375" s="140"/>
      <c r="BO375" s="140"/>
      <c r="BP375" s="140"/>
      <c r="BQ375" s="140"/>
      <c r="BR375" s="140"/>
      <c r="BS375" s="140"/>
      <c r="BT375" s="140"/>
      <c r="BU375" s="140"/>
      <c r="BV375" s="140"/>
      <c r="BW375" s="140"/>
      <c r="BX375" s="140"/>
      <c r="BY375" s="140"/>
    </row>
    <row r="376" ht="15.75" customHeight="1">
      <c r="A376" s="150"/>
      <c r="B376" s="140"/>
      <c r="C376" s="140"/>
      <c r="D376" s="140"/>
      <c r="E376" s="140"/>
      <c r="F376" s="140"/>
      <c r="G376" s="140"/>
      <c r="H376" s="140"/>
      <c r="I376" s="140"/>
      <c r="J376" s="140"/>
      <c r="K376" s="140"/>
      <c r="L376" s="140"/>
      <c r="M376" s="140"/>
      <c r="N376" s="140"/>
      <c r="O376" s="140"/>
      <c r="P376" s="140"/>
      <c r="Q376" s="140"/>
      <c r="R376" s="140"/>
      <c r="S376" s="140"/>
      <c r="T376" s="140"/>
      <c r="U376" s="140"/>
      <c r="V376" s="140"/>
      <c r="W376" s="140"/>
      <c r="X376" s="140"/>
      <c r="Y376" s="140"/>
      <c r="Z376" s="140"/>
      <c r="AA376" s="140"/>
      <c r="AB376" s="140"/>
      <c r="AC376" s="140"/>
      <c r="AD376" s="140"/>
      <c r="AE376" s="140"/>
      <c r="AF376" s="140"/>
      <c r="AG376" s="140"/>
      <c r="AH376" s="140"/>
      <c r="AI376" s="140"/>
      <c r="AJ376" s="140"/>
      <c r="AK376" s="140"/>
      <c r="AL376" s="140"/>
      <c r="AM376" s="140"/>
      <c r="AN376" s="140"/>
      <c r="AO376" s="140"/>
      <c r="AP376" s="140"/>
      <c r="AQ376" s="140"/>
      <c r="AR376" s="140"/>
      <c r="AS376" s="140"/>
      <c r="AT376" s="140"/>
      <c r="AU376" s="140"/>
      <c r="AV376" s="140"/>
      <c r="AW376" s="140"/>
      <c r="AX376" s="140"/>
      <c r="AY376" s="140"/>
      <c r="AZ376" s="140"/>
      <c r="BA376" s="140"/>
      <c r="BB376" s="140"/>
      <c r="BC376" s="140"/>
      <c r="BD376" s="140"/>
      <c r="BE376" s="140"/>
      <c r="BF376" s="140"/>
      <c r="BG376" s="140"/>
      <c r="BH376" s="140"/>
      <c r="BI376" s="140"/>
      <c r="BJ376" s="140"/>
      <c r="BK376" s="140"/>
      <c r="BL376" s="140"/>
      <c r="BM376" s="140"/>
      <c r="BN376" s="140"/>
      <c r="BO376" s="140"/>
      <c r="BP376" s="140"/>
      <c r="BQ376" s="140"/>
      <c r="BR376" s="140"/>
      <c r="BS376" s="140"/>
      <c r="BT376" s="140"/>
      <c r="BU376" s="140"/>
      <c r="BV376" s="140"/>
      <c r="BW376" s="140"/>
      <c r="BX376" s="140"/>
      <c r="BY376" s="140"/>
    </row>
    <row r="377" ht="15.75" customHeight="1">
      <c r="A377" s="150"/>
      <c r="B377" s="140"/>
      <c r="C377" s="140"/>
      <c r="D377" s="140"/>
      <c r="E377" s="140"/>
      <c r="F377" s="140"/>
      <c r="G377" s="140"/>
      <c r="H377" s="140"/>
      <c r="I377" s="140"/>
      <c r="J377" s="140"/>
      <c r="K377" s="140"/>
      <c r="L377" s="140"/>
      <c r="M377" s="140"/>
      <c r="N377" s="140"/>
      <c r="O377" s="140"/>
      <c r="P377" s="140"/>
      <c r="Q377" s="140"/>
      <c r="R377" s="140"/>
      <c r="S377" s="140"/>
      <c r="T377" s="140"/>
      <c r="U377" s="140"/>
      <c r="V377" s="140"/>
      <c r="W377" s="140"/>
      <c r="X377" s="140"/>
      <c r="Y377" s="140"/>
      <c r="Z377" s="140"/>
      <c r="AA377" s="140"/>
      <c r="AB377" s="140"/>
      <c r="AC377" s="140"/>
      <c r="AD377" s="140"/>
      <c r="AE377" s="140"/>
      <c r="AF377" s="140"/>
      <c r="AG377" s="140"/>
      <c r="AH377" s="140"/>
      <c r="AI377" s="140"/>
      <c r="AJ377" s="140"/>
      <c r="AK377" s="140"/>
      <c r="AL377" s="140"/>
      <c r="AM377" s="140"/>
      <c r="AN377" s="140"/>
      <c r="AO377" s="140"/>
      <c r="AP377" s="140"/>
      <c r="AQ377" s="140"/>
      <c r="AR377" s="140"/>
      <c r="AS377" s="140"/>
      <c r="AT377" s="140"/>
      <c r="AU377" s="140"/>
      <c r="AV377" s="140"/>
      <c r="AW377" s="140"/>
      <c r="AX377" s="140"/>
      <c r="AY377" s="140"/>
      <c r="AZ377" s="140"/>
      <c r="BA377" s="140"/>
      <c r="BB377" s="140"/>
      <c r="BC377" s="140"/>
      <c r="BD377" s="140"/>
      <c r="BE377" s="140"/>
      <c r="BF377" s="140"/>
      <c r="BG377" s="140"/>
      <c r="BH377" s="140"/>
      <c r="BI377" s="140"/>
      <c r="BJ377" s="140"/>
      <c r="BK377" s="140"/>
      <c r="BL377" s="140"/>
      <c r="BM377" s="140"/>
      <c r="BN377" s="140"/>
      <c r="BO377" s="140"/>
      <c r="BP377" s="140"/>
      <c r="BQ377" s="140"/>
      <c r="BR377" s="140"/>
      <c r="BS377" s="140"/>
      <c r="BT377" s="140"/>
      <c r="BU377" s="140"/>
      <c r="BV377" s="140"/>
      <c r="BW377" s="140"/>
      <c r="BX377" s="140"/>
      <c r="BY377" s="140"/>
    </row>
    <row r="378" ht="15.75" customHeight="1">
      <c r="A378" s="150"/>
      <c r="B378" s="140"/>
      <c r="C378" s="140"/>
      <c r="D378" s="140"/>
      <c r="E378" s="140"/>
      <c r="F378" s="140"/>
      <c r="G378" s="140"/>
      <c r="H378" s="140"/>
      <c r="I378" s="140"/>
      <c r="J378" s="140"/>
      <c r="K378" s="140"/>
      <c r="L378" s="140"/>
      <c r="M378" s="140"/>
      <c r="N378" s="140"/>
      <c r="O378" s="140"/>
      <c r="P378" s="140"/>
      <c r="Q378" s="140"/>
      <c r="R378" s="140"/>
      <c r="S378" s="140"/>
      <c r="T378" s="140"/>
      <c r="U378" s="140"/>
      <c r="V378" s="140"/>
      <c r="W378" s="140"/>
      <c r="X378" s="140"/>
      <c r="Y378" s="140"/>
      <c r="Z378" s="140"/>
      <c r="AA378" s="140"/>
      <c r="AB378" s="140"/>
      <c r="AC378" s="140"/>
      <c r="AD378" s="140"/>
      <c r="AE378" s="140"/>
      <c r="AF378" s="140"/>
      <c r="AG378" s="140"/>
      <c r="AH378" s="140"/>
      <c r="AI378" s="140"/>
      <c r="AJ378" s="140"/>
      <c r="AK378" s="140"/>
      <c r="AL378" s="140"/>
      <c r="AM378" s="140"/>
      <c r="AN378" s="140"/>
      <c r="AO378" s="140"/>
      <c r="AP378" s="140"/>
      <c r="AQ378" s="140"/>
      <c r="AR378" s="140"/>
      <c r="AS378" s="140"/>
      <c r="AT378" s="140"/>
      <c r="AU378" s="140"/>
      <c r="AV378" s="140"/>
      <c r="AW378" s="140"/>
      <c r="AX378" s="140"/>
      <c r="AY378" s="140"/>
      <c r="AZ378" s="140"/>
      <c r="BA378" s="140"/>
      <c r="BB378" s="140"/>
      <c r="BC378" s="140"/>
      <c r="BD378" s="140"/>
      <c r="BE378" s="140"/>
      <c r="BF378" s="140"/>
      <c r="BG378" s="140"/>
      <c r="BH378" s="140"/>
      <c r="BI378" s="140"/>
      <c r="BJ378" s="140"/>
      <c r="BK378" s="140"/>
      <c r="BL378" s="140"/>
      <c r="BM378" s="140"/>
      <c r="BN378" s="140"/>
      <c r="BO378" s="140"/>
      <c r="BP378" s="140"/>
      <c r="BQ378" s="140"/>
      <c r="BR378" s="140"/>
      <c r="BS378" s="140"/>
      <c r="BT378" s="140"/>
      <c r="BU378" s="140"/>
      <c r="BV378" s="140"/>
      <c r="BW378" s="140"/>
      <c r="BX378" s="140"/>
      <c r="BY378" s="140"/>
    </row>
    <row r="379" ht="15.75" customHeight="1">
      <c r="A379" s="150"/>
      <c r="B379" s="140"/>
      <c r="C379" s="140"/>
      <c r="D379" s="140"/>
      <c r="E379" s="140"/>
      <c r="F379" s="140"/>
      <c r="G379" s="140"/>
      <c r="H379" s="140"/>
      <c r="I379" s="140"/>
      <c r="J379" s="140"/>
      <c r="K379" s="140"/>
      <c r="L379" s="140"/>
      <c r="M379" s="140"/>
      <c r="N379" s="140"/>
      <c r="O379" s="140"/>
      <c r="P379" s="140"/>
      <c r="Q379" s="140"/>
      <c r="R379" s="140"/>
      <c r="S379" s="140"/>
      <c r="T379" s="140"/>
      <c r="U379" s="140"/>
      <c r="V379" s="140"/>
      <c r="W379" s="140"/>
      <c r="X379" s="140"/>
      <c r="Y379" s="140"/>
      <c r="Z379" s="140"/>
      <c r="AA379" s="140"/>
      <c r="AB379" s="140"/>
      <c r="AC379" s="140"/>
      <c r="AD379" s="140"/>
      <c r="AE379" s="140"/>
      <c r="AF379" s="140"/>
      <c r="AG379" s="140"/>
      <c r="AH379" s="140"/>
      <c r="AI379" s="140"/>
      <c r="AJ379" s="140"/>
      <c r="AK379" s="140"/>
      <c r="AL379" s="140"/>
      <c r="AM379" s="140"/>
      <c r="AN379" s="140"/>
      <c r="AO379" s="140"/>
      <c r="AP379" s="140"/>
      <c r="AQ379" s="140"/>
      <c r="AR379" s="140"/>
      <c r="AS379" s="140"/>
      <c r="AT379" s="140"/>
      <c r="AU379" s="140"/>
      <c r="AV379" s="140"/>
      <c r="AW379" s="140"/>
      <c r="AX379" s="140"/>
      <c r="AY379" s="140"/>
      <c r="AZ379" s="140"/>
      <c r="BA379" s="140"/>
      <c r="BB379" s="140"/>
      <c r="BC379" s="140"/>
      <c r="BD379" s="140"/>
      <c r="BE379" s="140"/>
      <c r="BF379" s="140"/>
      <c r="BG379" s="140"/>
      <c r="BH379" s="140"/>
      <c r="BI379" s="140"/>
      <c r="BJ379" s="140"/>
      <c r="BK379" s="140"/>
      <c r="BL379" s="140"/>
      <c r="BM379" s="140"/>
      <c r="BN379" s="140"/>
      <c r="BO379" s="140"/>
      <c r="BP379" s="140"/>
      <c r="BQ379" s="140"/>
      <c r="BR379" s="140"/>
      <c r="BS379" s="140"/>
      <c r="BT379" s="140"/>
      <c r="BU379" s="140"/>
      <c r="BV379" s="140"/>
      <c r="BW379" s="140"/>
      <c r="BX379" s="140"/>
      <c r="BY379" s="140"/>
    </row>
    <row r="380" ht="15.75" customHeight="1">
      <c r="A380" s="150"/>
      <c r="B380" s="140"/>
      <c r="C380" s="140"/>
      <c r="D380" s="140"/>
      <c r="E380" s="140"/>
      <c r="F380" s="140"/>
      <c r="G380" s="140"/>
      <c r="H380" s="140"/>
      <c r="I380" s="140"/>
      <c r="J380" s="140"/>
      <c r="K380" s="140"/>
      <c r="L380" s="140"/>
      <c r="M380" s="140"/>
      <c r="N380" s="140"/>
      <c r="O380" s="140"/>
      <c r="P380" s="140"/>
      <c r="Q380" s="140"/>
      <c r="R380" s="140"/>
      <c r="S380" s="140"/>
      <c r="T380" s="140"/>
      <c r="U380" s="140"/>
      <c r="V380" s="140"/>
      <c r="W380" s="140"/>
      <c r="X380" s="140"/>
      <c r="Y380" s="140"/>
      <c r="Z380" s="140"/>
      <c r="AA380" s="140"/>
      <c r="AB380" s="140"/>
      <c r="AC380" s="140"/>
      <c r="AD380" s="140"/>
      <c r="AE380" s="140"/>
      <c r="AF380" s="140"/>
      <c r="AG380" s="140"/>
      <c r="AH380" s="140"/>
      <c r="AI380" s="140"/>
      <c r="AJ380" s="140"/>
      <c r="AK380" s="140"/>
      <c r="AL380" s="140"/>
      <c r="AM380" s="140"/>
      <c r="AN380" s="140"/>
      <c r="AO380" s="140"/>
      <c r="AP380" s="140"/>
      <c r="AQ380" s="140"/>
      <c r="AR380" s="140"/>
      <c r="AS380" s="140"/>
      <c r="AT380" s="140"/>
      <c r="AU380" s="140"/>
      <c r="AV380" s="140"/>
      <c r="AW380" s="140"/>
      <c r="AX380" s="140"/>
      <c r="AY380" s="140"/>
      <c r="AZ380" s="140"/>
      <c r="BA380" s="140"/>
      <c r="BB380" s="140"/>
      <c r="BC380" s="140"/>
      <c r="BD380" s="140"/>
      <c r="BE380" s="140"/>
      <c r="BF380" s="140"/>
      <c r="BG380" s="140"/>
      <c r="BH380" s="140"/>
      <c r="BI380" s="140"/>
      <c r="BJ380" s="140"/>
      <c r="BK380" s="140"/>
      <c r="BL380" s="140"/>
      <c r="BM380" s="140"/>
      <c r="BN380" s="140"/>
      <c r="BO380" s="140"/>
      <c r="BP380" s="140"/>
      <c r="BQ380" s="140"/>
      <c r="BR380" s="140"/>
      <c r="BS380" s="140"/>
      <c r="BT380" s="140"/>
      <c r="BU380" s="140"/>
      <c r="BV380" s="140"/>
      <c r="BW380" s="140"/>
      <c r="BX380" s="140"/>
      <c r="BY380" s="140"/>
    </row>
    <row r="381" ht="15.75" customHeight="1">
      <c r="A381" s="150"/>
      <c r="B381" s="140"/>
      <c r="C381" s="140"/>
      <c r="D381" s="140"/>
      <c r="E381" s="140"/>
      <c r="F381" s="140"/>
      <c r="G381" s="140"/>
      <c r="H381" s="140"/>
      <c r="I381" s="140"/>
      <c r="J381" s="140"/>
      <c r="K381" s="140"/>
      <c r="L381" s="140"/>
      <c r="M381" s="140"/>
      <c r="N381" s="140"/>
      <c r="O381" s="140"/>
      <c r="P381" s="140"/>
      <c r="Q381" s="140"/>
      <c r="R381" s="140"/>
      <c r="S381" s="140"/>
      <c r="T381" s="140"/>
      <c r="U381" s="140"/>
      <c r="V381" s="140"/>
      <c r="W381" s="140"/>
      <c r="X381" s="140"/>
      <c r="Y381" s="140"/>
      <c r="Z381" s="140"/>
      <c r="AA381" s="140"/>
      <c r="AB381" s="140"/>
      <c r="AC381" s="140"/>
      <c r="AD381" s="140"/>
      <c r="AE381" s="140"/>
      <c r="AF381" s="140"/>
      <c r="AG381" s="140"/>
      <c r="AH381" s="140"/>
      <c r="AI381" s="140"/>
      <c r="AJ381" s="140"/>
      <c r="AK381" s="140"/>
      <c r="AL381" s="140"/>
      <c r="AM381" s="140"/>
      <c r="AN381" s="140"/>
      <c r="AO381" s="140"/>
      <c r="AP381" s="140"/>
      <c r="AQ381" s="140"/>
      <c r="AR381" s="140"/>
      <c r="AS381" s="140"/>
      <c r="AT381" s="140"/>
      <c r="AU381" s="140"/>
      <c r="AV381" s="140"/>
      <c r="AW381" s="140"/>
      <c r="AX381" s="140"/>
      <c r="AY381" s="140"/>
      <c r="AZ381" s="140"/>
      <c r="BA381" s="140"/>
      <c r="BB381" s="140"/>
      <c r="BC381" s="140"/>
      <c r="BD381" s="140"/>
      <c r="BE381" s="140"/>
      <c r="BF381" s="140"/>
      <c r="BG381" s="140"/>
      <c r="BH381" s="140"/>
      <c r="BI381" s="140"/>
      <c r="BJ381" s="140"/>
      <c r="BK381" s="140"/>
      <c r="BL381" s="140"/>
      <c r="BM381" s="140"/>
      <c r="BN381" s="140"/>
      <c r="BO381" s="140"/>
      <c r="BP381" s="140"/>
      <c r="BQ381" s="140"/>
      <c r="BR381" s="140"/>
      <c r="BS381" s="140"/>
      <c r="BT381" s="140"/>
      <c r="BU381" s="140"/>
      <c r="BV381" s="140"/>
      <c r="BW381" s="140"/>
      <c r="BX381" s="140"/>
      <c r="BY381" s="140"/>
    </row>
    <row r="382" ht="15.75" customHeight="1">
      <c r="A382" s="150"/>
      <c r="B382" s="140"/>
      <c r="C382" s="140"/>
      <c r="D382" s="140"/>
      <c r="E382" s="140"/>
      <c r="F382" s="140"/>
      <c r="G382" s="140"/>
      <c r="H382" s="140"/>
      <c r="I382" s="140"/>
      <c r="J382" s="140"/>
      <c r="K382" s="140"/>
      <c r="L382" s="140"/>
      <c r="M382" s="140"/>
      <c r="N382" s="140"/>
      <c r="O382" s="140"/>
      <c r="P382" s="140"/>
      <c r="Q382" s="140"/>
      <c r="R382" s="140"/>
      <c r="S382" s="140"/>
      <c r="T382" s="140"/>
      <c r="U382" s="140"/>
      <c r="V382" s="140"/>
      <c r="W382" s="140"/>
      <c r="X382" s="140"/>
      <c r="Y382" s="140"/>
      <c r="Z382" s="140"/>
      <c r="AA382" s="140"/>
      <c r="AB382" s="140"/>
      <c r="AC382" s="140"/>
      <c r="AD382" s="140"/>
      <c r="AE382" s="140"/>
      <c r="AF382" s="140"/>
      <c r="AG382" s="140"/>
      <c r="AH382" s="140"/>
      <c r="AI382" s="140"/>
      <c r="AJ382" s="140"/>
      <c r="AK382" s="140"/>
      <c r="AL382" s="140"/>
      <c r="AM382" s="140"/>
      <c r="AN382" s="140"/>
      <c r="AO382" s="140"/>
      <c r="AP382" s="140"/>
      <c r="AQ382" s="140"/>
      <c r="AR382" s="140"/>
      <c r="AS382" s="140"/>
      <c r="AT382" s="140"/>
      <c r="AU382" s="140"/>
      <c r="AV382" s="140"/>
      <c r="AW382" s="140"/>
      <c r="AX382" s="140"/>
      <c r="AY382" s="140"/>
      <c r="AZ382" s="140"/>
      <c r="BA382" s="140"/>
      <c r="BB382" s="140"/>
      <c r="BC382" s="140"/>
      <c r="BD382" s="140"/>
      <c r="BE382" s="140"/>
      <c r="BF382" s="140"/>
      <c r="BG382" s="140"/>
      <c r="BH382" s="140"/>
      <c r="BI382" s="140"/>
      <c r="BJ382" s="140"/>
      <c r="BK382" s="140"/>
      <c r="BL382" s="140"/>
      <c r="BM382" s="140"/>
      <c r="BN382" s="140"/>
      <c r="BO382" s="140"/>
      <c r="BP382" s="140"/>
      <c r="BQ382" s="140"/>
      <c r="BR382" s="140"/>
      <c r="BS382" s="140"/>
      <c r="BT382" s="140"/>
      <c r="BU382" s="140"/>
      <c r="BV382" s="140"/>
      <c r="BW382" s="140"/>
      <c r="BX382" s="140"/>
      <c r="BY382" s="140"/>
    </row>
    <row r="383" ht="15.75" customHeight="1">
      <c r="A383" s="150"/>
      <c r="B383" s="140"/>
      <c r="C383" s="140"/>
      <c r="D383" s="140"/>
      <c r="E383" s="140"/>
      <c r="F383" s="140"/>
      <c r="G383" s="140"/>
      <c r="H383" s="140"/>
      <c r="I383" s="140"/>
      <c r="J383" s="140"/>
      <c r="K383" s="140"/>
      <c r="L383" s="140"/>
      <c r="M383" s="140"/>
      <c r="N383" s="140"/>
      <c r="O383" s="140"/>
      <c r="P383" s="140"/>
      <c r="Q383" s="140"/>
      <c r="R383" s="140"/>
      <c r="S383" s="140"/>
      <c r="T383" s="140"/>
      <c r="U383" s="140"/>
      <c r="V383" s="140"/>
      <c r="W383" s="140"/>
      <c r="X383" s="140"/>
      <c r="Y383" s="140"/>
      <c r="Z383" s="140"/>
      <c r="AA383" s="140"/>
      <c r="AB383" s="140"/>
      <c r="AC383" s="140"/>
      <c r="AD383" s="140"/>
      <c r="AE383" s="140"/>
      <c r="AF383" s="140"/>
      <c r="AG383" s="140"/>
      <c r="AH383" s="140"/>
      <c r="AI383" s="140"/>
      <c r="AJ383" s="140"/>
      <c r="AK383" s="140"/>
      <c r="AL383" s="140"/>
      <c r="AM383" s="140"/>
      <c r="AN383" s="140"/>
      <c r="AO383" s="140"/>
      <c r="AP383" s="140"/>
      <c r="AQ383" s="140"/>
      <c r="AR383" s="140"/>
      <c r="AS383" s="140"/>
      <c r="AT383" s="140"/>
      <c r="AU383" s="140"/>
      <c r="AV383" s="140"/>
      <c r="AW383" s="140"/>
      <c r="AX383" s="140"/>
      <c r="AY383" s="140"/>
      <c r="AZ383" s="140"/>
      <c r="BA383" s="140"/>
      <c r="BB383" s="140"/>
      <c r="BC383" s="140"/>
      <c r="BD383" s="140"/>
      <c r="BE383" s="140"/>
      <c r="BF383" s="140"/>
      <c r="BG383" s="140"/>
      <c r="BH383" s="140"/>
      <c r="BI383" s="140"/>
      <c r="BJ383" s="140"/>
      <c r="BK383" s="140"/>
      <c r="BL383" s="140"/>
      <c r="BM383" s="140"/>
      <c r="BN383" s="140"/>
      <c r="BO383" s="140"/>
      <c r="BP383" s="140"/>
      <c r="BQ383" s="140"/>
      <c r="BR383" s="140"/>
      <c r="BS383" s="140"/>
      <c r="BT383" s="140"/>
      <c r="BU383" s="140"/>
      <c r="BV383" s="140"/>
      <c r="BW383" s="140"/>
      <c r="BX383" s="140"/>
      <c r="BY383" s="140"/>
    </row>
    <row r="384" ht="15.75" customHeight="1">
      <c r="A384" s="150"/>
      <c r="B384" s="140"/>
      <c r="C384" s="140"/>
      <c r="D384" s="140"/>
      <c r="E384" s="140"/>
      <c r="F384" s="140"/>
      <c r="G384" s="140"/>
      <c r="H384" s="140"/>
      <c r="I384" s="140"/>
      <c r="J384" s="140"/>
      <c r="K384" s="140"/>
      <c r="L384" s="140"/>
      <c r="M384" s="140"/>
      <c r="N384" s="140"/>
      <c r="O384" s="140"/>
      <c r="P384" s="140"/>
      <c r="Q384" s="140"/>
      <c r="R384" s="140"/>
      <c r="S384" s="140"/>
      <c r="T384" s="140"/>
      <c r="U384" s="140"/>
      <c r="V384" s="140"/>
      <c r="W384" s="140"/>
      <c r="X384" s="140"/>
      <c r="Y384" s="140"/>
      <c r="Z384" s="140"/>
      <c r="AA384" s="140"/>
      <c r="AB384" s="140"/>
      <c r="AC384" s="140"/>
      <c r="AD384" s="140"/>
      <c r="AE384" s="140"/>
      <c r="AF384" s="140"/>
      <c r="AG384" s="140"/>
      <c r="AH384" s="140"/>
      <c r="AI384" s="140"/>
      <c r="AJ384" s="140"/>
      <c r="AK384" s="140"/>
      <c r="AL384" s="140"/>
      <c r="AM384" s="140"/>
      <c r="AN384" s="140"/>
      <c r="AO384" s="140"/>
      <c r="AP384" s="140"/>
      <c r="AQ384" s="140"/>
      <c r="AR384" s="140"/>
      <c r="AS384" s="140"/>
      <c r="AT384" s="140"/>
      <c r="AU384" s="140"/>
      <c r="AV384" s="140"/>
      <c r="AW384" s="140"/>
      <c r="AX384" s="140"/>
      <c r="AY384" s="140"/>
      <c r="AZ384" s="140"/>
      <c r="BA384" s="140"/>
      <c r="BB384" s="140"/>
      <c r="BC384" s="140"/>
      <c r="BD384" s="140"/>
      <c r="BE384" s="140"/>
      <c r="BF384" s="140"/>
      <c r="BG384" s="140"/>
      <c r="BH384" s="140"/>
      <c r="BI384" s="140"/>
      <c r="BJ384" s="140"/>
      <c r="BK384" s="140"/>
      <c r="BL384" s="140"/>
      <c r="BM384" s="140"/>
      <c r="BN384" s="140"/>
      <c r="BO384" s="140"/>
      <c r="BP384" s="140"/>
      <c r="BQ384" s="140"/>
      <c r="BR384" s="140"/>
      <c r="BS384" s="140"/>
      <c r="BT384" s="140"/>
      <c r="BU384" s="140"/>
      <c r="BV384" s="140"/>
      <c r="BW384" s="140"/>
      <c r="BX384" s="140"/>
      <c r="BY384" s="140"/>
    </row>
    <row r="385" ht="15.75" customHeight="1">
      <c r="A385" s="150"/>
      <c r="B385" s="140"/>
      <c r="C385" s="140"/>
      <c r="D385" s="140"/>
      <c r="E385" s="140"/>
      <c r="F385" s="140"/>
      <c r="G385" s="140"/>
      <c r="H385" s="140"/>
      <c r="I385" s="140"/>
      <c r="J385" s="140"/>
      <c r="K385" s="140"/>
      <c r="L385" s="140"/>
      <c r="M385" s="140"/>
      <c r="N385" s="140"/>
      <c r="O385" s="140"/>
      <c r="P385" s="140"/>
      <c r="Q385" s="140"/>
      <c r="R385" s="140"/>
      <c r="S385" s="140"/>
      <c r="T385" s="140"/>
      <c r="U385" s="140"/>
      <c r="V385" s="140"/>
      <c r="W385" s="140"/>
      <c r="X385" s="140"/>
      <c r="Y385" s="140"/>
      <c r="Z385" s="140"/>
      <c r="AA385" s="140"/>
      <c r="AB385" s="140"/>
      <c r="AC385" s="140"/>
      <c r="AD385" s="140"/>
      <c r="AE385" s="140"/>
      <c r="AF385" s="140"/>
      <c r="AG385" s="140"/>
      <c r="AH385" s="140"/>
      <c r="AI385" s="140"/>
      <c r="AJ385" s="140"/>
      <c r="AK385" s="140"/>
      <c r="AL385" s="140"/>
      <c r="AM385" s="140"/>
      <c r="AN385" s="140"/>
      <c r="AO385" s="140"/>
      <c r="AP385" s="140"/>
      <c r="AQ385" s="140"/>
      <c r="AR385" s="140"/>
      <c r="AS385" s="140"/>
      <c r="AT385" s="140"/>
      <c r="AU385" s="140"/>
      <c r="AV385" s="140"/>
      <c r="AW385" s="140"/>
      <c r="AX385" s="140"/>
      <c r="AY385" s="140"/>
      <c r="AZ385" s="140"/>
      <c r="BA385" s="140"/>
      <c r="BB385" s="140"/>
      <c r="BC385" s="140"/>
      <c r="BD385" s="140"/>
      <c r="BE385" s="140"/>
      <c r="BF385" s="140"/>
      <c r="BG385" s="140"/>
      <c r="BH385" s="140"/>
      <c r="BI385" s="140"/>
      <c r="BJ385" s="140"/>
      <c r="BK385" s="140"/>
      <c r="BL385" s="140"/>
      <c r="BM385" s="140"/>
      <c r="BN385" s="140"/>
      <c r="BO385" s="140"/>
      <c r="BP385" s="140"/>
      <c r="BQ385" s="140"/>
      <c r="BR385" s="140"/>
      <c r="BS385" s="140"/>
      <c r="BT385" s="140"/>
      <c r="BU385" s="140"/>
      <c r="BV385" s="140"/>
      <c r="BW385" s="140"/>
      <c r="BX385" s="140"/>
      <c r="BY385" s="140"/>
    </row>
    <row r="386" ht="15.75" customHeight="1">
      <c r="A386" s="150"/>
      <c r="B386" s="140"/>
      <c r="C386" s="140"/>
      <c r="D386" s="140"/>
      <c r="E386" s="140"/>
      <c r="F386" s="140"/>
      <c r="G386" s="140"/>
      <c r="H386" s="140"/>
      <c r="I386" s="140"/>
      <c r="J386" s="140"/>
      <c r="K386" s="140"/>
      <c r="L386" s="140"/>
      <c r="M386" s="140"/>
      <c r="N386" s="140"/>
      <c r="O386" s="140"/>
      <c r="P386" s="140"/>
      <c r="Q386" s="140"/>
      <c r="R386" s="140"/>
      <c r="S386" s="140"/>
      <c r="T386" s="140"/>
      <c r="U386" s="140"/>
      <c r="V386" s="140"/>
      <c r="W386" s="140"/>
      <c r="X386" s="140"/>
      <c r="Y386" s="140"/>
      <c r="Z386" s="140"/>
      <c r="AA386" s="140"/>
      <c r="AB386" s="140"/>
      <c r="AC386" s="140"/>
      <c r="AD386" s="140"/>
      <c r="AE386" s="140"/>
      <c r="AF386" s="140"/>
      <c r="AG386" s="140"/>
      <c r="AH386" s="140"/>
      <c r="AI386" s="140"/>
      <c r="AJ386" s="140"/>
      <c r="AK386" s="140"/>
      <c r="AL386" s="140"/>
      <c r="AM386" s="140"/>
      <c r="AN386" s="140"/>
      <c r="AO386" s="140"/>
      <c r="AP386" s="140"/>
      <c r="AQ386" s="140"/>
      <c r="AR386" s="140"/>
      <c r="AS386" s="140"/>
      <c r="AT386" s="140"/>
      <c r="AU386" s="140"/>
      <c r="AV386" s="140"/>
      <c r="AW386" s="140"/>
      <c r="AX386" s="140"/>
      <c r="AY386" s="140"/>
      <c r="AZ386" s="140"/>
      <c r="BA386" s="140"/>
      <c r="BB386" s="140"/>
      <c r="BC386" s="140"/>
      <c r="BD386" s="140"/>
      <c r="BE386" s="140"/>
      <c r="BF386" s="140"/>
      <c r="BG386" s="140"/>
      <c r="BH386" s="140"/>
      <c r="BI386" s="140"/>
      <c r="BJ386" s="140"/>
      <c r="BK386" s="140"/>
      <c r="BL386" s="140"/>
      <c r="BM386" s="140"/>
      <c r="BN386" s="140"/>
      <c r="BO386" s="140"/>
      <c r="BP386" s="140"/>
      <c r="BQ386" s="140"/>
      <c r="BR386" s="140"/>
      <c r="BS386" s="140"/>
      <c r="BT386" s="140"/>
      <c r="BU386" s="140"/>
      <c r="BV386" s="140"/>
      <c r="BW386" s="140"/>
      <c r="BX386" s="140"/>
      <c r="BY386" s="140"/>
    </row>
    <row r="387" ht="15.75" customHeight="1">
      <c r="A387" s="150"/>
      <c r="B387" s="140"/>
      <c r="C387" s="140"/>
      <c r="D387" s="140"/>
      <c r="E387" s="140"/>
      <c r="F387" s="140"/>
      <c r="G387" s="140"/>
      <c r="H387" s="140"/>
      <c r="I387" s="140"/>
      <c r="J387" s="140"/>
      <c r="K387" s="140"/>
      <c r="L387" s="140"/>
      <c r="M387" s="140"/>
      <c r="N387" s="140"/>
      <c r="O387" s="140"/>
      <c r="P387" s="140"/>
      <c r="Q387" s="140"/>
      <c r="R387" s="140"/>
      <c r="S387" s="140"/>
      <c r="T387" s="140"/>
      <c r="U387" s="140"/>
      <c r="V387" s="140"/>
      <c r="W387" s="140"/>
      <c r="X387" s="140"/>
      <c r="Y387" s="140"/>
      <c r="Z387" s="140"/>
      <c r="AA387" s="140"/>
      <c r="AB387" s="140"/>
      <c r="AC387" s="140"/>
      <c r="AD387" s="140"/>
      <c r="AE387" s="140"/>
      <c r="AF387" s="140"/>
      <c r="AG387" s="140"/>
      <c r="AH387" s="140"/>
      <c r="AI387" s="140"/>
      <c r="AJ387" s="140"/>
      <c r="AK387" s="140"/>
      <c r="AL387" s="140"/>
      <c r="AM387" s="140"/>
      <c r="AN387" s="140"/>
      <c r="AO387" s="140"/>
      <c r="AP387" s="140"/>
      <c r="AQ387" s="140"/>
      <c r="AR387" s="140"/>
      <c r="AS387" s="140"/>
      <c r="AT387" s="140"/>
      <c r="AU387" s="140"/>
      <c r="AV387" s="140"/>
      <c r="AW387" s="140"/>
      <c r="AX387" s="140"/>
      <c r="AY387" s="140"/>
      <c r="AZ387" s="140"/>
      <c r="BA387" s="140"/>
      <c r="BB387" s="140"/>
      <c r="BC387" s="140"/>
      <c r="BD387" s="140"/>
      <c r="BE387" s="140"/>
      <c r="BF387" s="140"/>
      <c r="BG387" s="140"/>
      <c r="BH387" s="140"/>
      <c r="BI387" s="140"/>
      <c r="BJ387" s="140"/>
      <c r="BK387" s="140"/>
      <c r="BL387" s="140"/>
      <c r="BM387" s="140"/>
      <c r="BN387" s="140"/>
      <c r="BO387" s="140"/>
      <c r="BP387" s="140"/>
      <c r="BQ387" s="140"/>
      <c r="BR387" s="140"/>
      <c r="BS387" s="140"/>
      <c r="BT387" s="140"/>
      <c r="BU387" s="140"/>
      <c r="BV387" s="140"/>
      <c r="BW387" s="140"/>
      <c r="BX387" s="140"/>
      <c r="BY387" s="140"/>
    </row>
    <row r="388" ht="15.75" customHeight="1">
      <c r="A388" s="150"/>
      <c r="B388" s="140"/>
      <c r="C388" s="140"/>
      <c r="D388" s="140"/>
      <c r="E388" s="140"/>
      <c r="F388" s="140"/>
      <c r="G388" s="140"/>
      <c r="H388" s="140"/>
      <c r="I388" s="140"/>
      <c r="J388" s="140"/>
      <c r="K388" s="140"/>
      <c r="L388" s="140"/>
      <c r="M388" s="140"/>
      <c r="N388" s="140"/>
      <c r="O388" s="140"/>
      <c r="P388" s="140"/>
      <c r="Q388" s="140"/>
      <c r="R388" s="140"/>
      <c r="S388" s="140"/>
      <c r="T388" s="140"/>
      <c r="U388" s="140"/>
      <c r="V388" s="140"/>
      <c r="W388" s="140"/>
      <c r="X388" s="140"/>
      <c r="Y388" s="140"/>
      <c r="Z388" s="140"/>
      <c r="AA388" s="140"/>
      <c r="AB388" s="140"/>
      <c r="AC388" s="140"/>
      <c r="AD388" s="140"/>
      <c r="AE388" s="140"/>
      <c r="AF388" s="140"/>
      <c r="AG388" s="140"/>
      <c r="AH388" s="140"/>
      <c r="AI388" s="140"/>
      <c r="AJ388" s="140"/>
      <c r="AK388" s="140"/>
      <c r="AL388" s="140"/>
      <c r="AM388" s="140"/>
      <c r="AN388" s="140"/>
      <c r="AO388" s="140"/>
      <c r="AP388" s="140"/>
      <c r="AQ388" s="140"/>
      <c r="AR388" s="140"/>
      <c r="AS388" s="140"/>
      <c r="AT388" s="140"/>
      <c r="AU388" s="140"/>
      <c r="AV388" s="140"/>
      <c r="AW388" s="140"/>
      <c r="AX388" s="140"/>
      <c r="AY388" s="140"/>
      <c r="AZ388" s="140"/>
      <c r="BA388" s="140"/>
      <c r="BB388" s="140"/>
      <c r="BC388" s="140"/>
      <c r="BD388" s="140"/>
      <c r="BE388" s="140"/>
      <c r="BF388" s="140"/>
      <c r="BG388" s="140"/>
      <c r="BH388" s="140"/>
      <c r="BI388" s="140"/>
      <c r="BJ388" s="140"/>
      <c r="BK388" s="140"/>
      <c r="BL388" s="140"/>
      <c r="BM388" s="140"/>
      <c r="BN388" s="140"/>
      <c r="BO388" s="140"/>
      <c r="BP388" s="140"/>
      <c r="BQ388" s="140"/>
      <c r="BR388" s="140"/>
      <c r="BS388" s="140"/>
      <c r="BT388" s="140"/>
      <c r="BU388" s="140"/>
      <c r="BV388" s="140"/>
      <c r="BW388" s="140"/>
      <c r="BX388" s="140"/>
      <c r="BY388" s="140"/>
    </row>
    <row r="389" ht="15.75" customHeight="1">
      <c r="A389" s="150"/>
      <c r="B389" s="140"/>
      <c r="C389" s="140"/>
      <c r="D389" s="140"/>
      <c r="E389" s="140"/>
      <c r="F389" s="140"/>
      <c r="G389" s="140"/>
      <c r="H389" s="140"/>
      <c r="I389" s="140"/>
      <c r="J389" s="140"/>
      <c r="K389" s="140"/>
      <c r="L389" s="140"/>
      <c r="M389" s="140"/>
      <c r="N389" s="140"/>
      <c r="O389" s="140"/>
      <c r="P389" s="140"/>
      <c r="Q389" s="140"/>
      <c r="R389" s="140"/>
      <c r="S389" s="140"/>
      <c r="T389" s="140"/>
      <c r="U389" s="140"/>
      <c r="V389" s="140"/>
      <c r="W389" s="140"/>
      <c r="X389" s="140"/>
      <c r="Y389" s="140"/>
      <c r="Z389" s="140"/>
      <c r="AA389" s="140"/>
      <c r="AB389" s="140"/>
      <c r="AC389" s="140"/>
      <c r="AD389" s="140"/>
      <c r="AE389" s="140"/>
      <c r="AF389" s="140"/>
      <c r="AG389" s="140"/>
      <c r="AH389" s="140"/>
      <c r="AI389" s="140"/>
      <c r="AJ389" s="140"/>
      <c r="AK389" s="140"/>
      <c r="AL389" s="140"/>
      <c r="AM389" s="140"/>
      <c r="AN389" s="140"/>
      <c r="AO389" s="140"/>
      <c r="AP389" s="140"/>
      <c r="AQ389" s="140"/>
      <c r="AR389" s="140"/>
      <c r="AS389" s="140"/>
      <c r="AT389" s="140"/>
      <c r="AU389" s="140"/>
      <c r="AV389" s="140"/>
      <c r="AW389" s="140"/>
      <c r="AX389" s="140"/>
      <c r="AY389" s="140"/>
      <c r="AZ389" s="140"/>
      <c r="BA389" s="140"/>
      <c r="BB389" s="140"/>
      <c r="BC389" s="140"/>
      <c r="BD389" s="140"/>
      <c r="BE389" s="140"/>
      <c r="BF389" s="140"/>
      <c r="BG389" s="140"/>
      <c r="BH389" s="140"/>
      <c r="BI389" s="140"/>
      <c r="BJ389" s="140"/>
      <c r="BK389" s="140"/>
      <c r="BL389" s="140"/>
      <c r="BM389" s="140"/>
      <c r="BN389" s="140"/>
      <c r="BO389" s="140"/>
      <c r="BP389" s="140"/>
      <c r="BQ389" s="140"/>
      <c r="BR389" s="140"/>
      <c r="BS389" s="140"/>
      <c r="BT389" s="140"/>
      <c r="BU389" s="140"/>
      <c r="BV389" s="140"/>
      <c r="BW389" s="140"/>
      <c r="BX389" s="140"/>
      <c r="BY389" s="140"/>
    </row>
    <row r="390" ht="15.75" customHeight="1">
      <c r="A390" s="150"/>
      <c r="B390" s="140"/>
      <c r="C390" s="140"/>
      <c r="D390" s="140"/>
      <c r="E390" s="140"/>
      <c r="F390" s="140"/>
      <c r="G390" s="140"/>
      <c r="H390" s="140"/>
      <c r="I390" s="140"/>
      <c r="J390" s="140"/>
      <c r="K390" s="140"/>
      <c r="L390" s="140"/>
      <c r="M390" s="140"/>
      <c r="N390" s="140"/>
      <c r="O390" s="140"/>
      <c r="P390" s="140"/>
      <c r="Q390" s="140"/>
      <c r="R390" s="140"/>
      <c r="S390" s="140"/>
      <c r="T390" s="140"/>
      <c r="U390" s="140"/>
      <c r="V390" s="140"/>
      <c r="W390" s="140"/>
      <c r="X390" s="140"/>
      <c r="Y390" s="140"/>
      <c r="Z390" s="140"/>
      <c r="AA390" s="140"/>
      <c r="AB390" s="140"/>
      <c r="AC390" s="140"/>
      <c r="AD390" s="140"/>
      <c r="AE390" s="140"/>
      <c r="AF390" s="140"/>
      <c r="AG390" s="140"/>
      <c r="AH390" s="140"/>
      <c r="AI390" s="140"/>
      <c r="AJ390" s="140"/>
      <c r="AK390" s="140"/>
      <c r="AL390" s="140"/>
      <c r="AM390" s="140"/>
      <c r="AN390" s="140"/>
      <c r="AO390" s="140"/>
      <c r="AP390" s="140"/>
      <c r="AQ390" s="140"/>
      <c r="AR390" s="140"/>
      <c r="AS390" s="140"/>
      <c r="AT390" s="140"/>
      <c r="AU390" s="140"/>
      <c r="AV390" s="140"/>
      <c r="AW390" s="140"/>
      <c r="AX390" s="140"/>
      <c r="AY390" s="140"/>
      <c r="AZ390" s="140"/>
      <c r="BA390" s="140"/>
      <c r="BB390" s="140"/>
      <c r="BC390" s="140"/>
      <c r="BD390" s="140"/>
      <c r="BE390" s="140"/>
      <c r="BF390" s="140"/>
      <c r="BG390" s="140"/>
      <c r="BH390" s="140"/>
      <c r="BI390" s="140"/>
      <c r="BJ390" s="140"/>
      <c r="BK390" s="140"/>
      <c r="BL390" s="140"/>
      <c r="BM390" s="140"/>
      <c r="BN390" s="140"/>
      <c r="BO390" s="140"/>
      <c r="BP390" s="140"/>
      <c r="BQ390" s="140"/>
      <c r="BR390" s="140"/>
      <c r="BS390" s="140"/>
      <c r="BT390" s="140"/>
      <c r="BU390" s="140"/>
      <c r="BV390" s="140"/>
      <c r="BW390" s="140"/>
      <c r="BX390" s="140"/>
      <c r="BY390" s="140"/>
    </row>
    <row r="391" ht="15.75" customHeight="1">
      <c r="A391" s="150"/>
      <c r="B391" s="140"/>
      <c r="C391" s="140"/>
      <c r="D391" s="140"/>
      <c r="E391" s="140"/>
      <c r="F391" s="140"/>
      <c r="G391" s="140"/>
      <c r="H391" s="140"/>
      <c r="I391" s="140"/>
      <c r="J391" s="140"/>
      <c r="K391" s="140"/>
      <c r="L391" s="140"/>
      <c r="M391" s="140"/>
      <c r="N391" s="140"/>
      <c r="O391" s="140"/>
      <c r="P391" s="140"/>
      <c r="Q391" s="140"/>
      <c r="R391" s="140"/>
      <c r="S391" s="140"/>
      <c r="T391" s="140"/>
      <c r="U391" s="140"/>
      <c r="V391" s="140"/>
      <c r="W391" s="140"/>
      <c r="X391" s="140"/>
      <c r="Y391" s="140"/>
      <c r="Z391" s="140"/>
      <c r="AA391" s="140"/>
      <c r="AB391" s="140"/>
      <c r="AC391" s="140"/>
      <c r="AD391" s="140"/>
      <c r="AE391" s="140"/>
      <c r="AF391" s="140"/>
      <c r="AG391" s="140"/>
      <c r="AH391" s="140"/>
      <c r="AI391" s="140"/>
      <c r="AJ391" s="140"/>
      <c r="AK391" s="140"/>
      <c r="AL391" s="140"/>
      <c r="AM391" s="140"/>
      <c r="AN391" s="140"/>
      <c r="AO391" s="140"/>
      <c r="AP391" s="140"/>
      <c r="AQ391" s="140"/>
      <c r="AR391" s="140"/>
      <c r="AS391" s="140"/>
      <c r="AT391" s="140"/>
      <c r="AU391" s="140"/>
      <c r="AV391" s="140"/>
      <c r="AW391" s="140"/>
      <c r="AX391" s="140"/>
      <c r="AY391" s="140"/>
      <c r="AZ391" s="140"/>
      <c r="BA391" s="140"/>
      <c r="BB391" s="140"/>
      <c r="BC391" s="140"/>
      <c r="BD391" s="140"/>
      <c r="BE391" s="140"/>
      <c r="BF391" s="140"/>
      <c r="BG391" s="140"/>
      <c r="BH391" s="140"/>
      <c r="BI391" s="140"/>
      <c r="BJ391" s="140"/>
      <c r="BK391" s="140"/>
      <c r="BL391" s="140"/>
      <c r="BM391" s="140"/>
      <c r="BN391" s="140"/>
      <c r="BO391" s="140"/>
      <c r="BP391" s="140"/>
      <c r="BQ391" s="140"/>
      <c r="BR391" s="140"/>
      <c r="BS391" s="140"/>
      <c r="BT391" s="140"/>
      <c r="BU391" s="140"/>
      <c r="BV391" s="140"/>
      <c r="BW391" s="140"/>
      <c r="BX391" s="140"/>
      <c r="BY391" s="140"/>
    </row>
    <row r="392" ht="15.75" customHeight="1">
      <c r="A392" s="150"/>
      <c r="B392" s="140"/>
      <c r="C392" s="140"/>
      <c r="D392" s="140"/>
      <c r="E392" s="140"/>
      <c r="F392" s="140"/>
      <c r="G392" s="140"/>
      <c r="H392" s="140"/>
      <c r="I392" s="140"/>
      <c r="J392" s="140"/>
      <c r="K392" s="140"/>
      <c r="L392" s="140"/>
      <c r="M392" s="140"/>
      <c r="N392" s="140"/>
      <c r="O392" s="140"/>
      <c r="P392" s="140"/>
      <c r="Q392" s="140"/>
      <c r="R392" s="140"/>
      <c r="S392" s="140"/>
      <c r="T392" s="140"/>
      <c r="U392" s="140"/>
      <c r="V392" s="140"/>
      <c r="W392" s="140"/>
      <c r="X392" s="140"/>
      <c r="Y392" s="140"/>
      <c r="Z392" s="140"/>
      <c r="AA392" s="140"/>
      <c r="AB392" s="140"/>
      <c r="AC392" s="140"/>
      <c r="AD392" s="140"/>
      <c r="AE392" s="140"/>
      <c r="AF392" s="140"/>
      <c r="AG392" s="140"/>
      <c r="AH392" s="140"/>
      <c r="AI392" s="140"/>
      <c r="AJ392" s="140"/>
      <c r="AK392" s="140"/>
      <c r="AL392" s="140"/>
      <c r="AM392" s="140"/>
      <c r="AN392" s="140"/>
      <c r="AO392" s="140"/>
      <c r="AP392" s="140"/>
      <c r="AQ392" s="140"/>
      <c r="AR392" s="140"/>
      <c r="AS392" s="140"/>
      <c r="AT392" s="140"/>
      <c r="AU392" s="140"/>
      <c r="AV392" s="140"/>
      <c r="AW392" s="140"/>
      <c r="AX392" s="140"/>
      <c r="AY392" s="140"/>
      <c r="AZ392" s="140"/>
      <c r="BA392" s="140"/>
      <c r="BB392" s="140"/>
      <c r="BC392" s="140"/>
      <c r="BD392" s="140"/>
      <c r="BE392" s="140"/>
      <c r="BF392" s="140"/>
      <c r="BG392" s="140"/>
      <c r="BH392" s="140"/>
      <c r="BI392" s="140"/>
      <c r="BJ392" s="140"/>
      <c r="BK392" s="140"/>
      <c r="BL392" s="140"/>
      <c r="BM392" s="140"/>
      <c r="BN392" s="140"/>
      <c r="BO392" s="140"/>
      <c r="BP392" s="140"/>
      <c r="BQ392" s="140"/>
      <c r="BR392" s="140"/>
      <c r="BS392" s="140"/>
      <c r="BT392" s="140"/>
      <c r="BU392" s="140"/>
      <c r="BV392" s="140"/>
      <c r="BW392" s="140"/>
      <c r="BX392" s="140"/>
      <c r="BY392" s="140"/>
    </row>
    <row r="393" ht="15.75" customHeight="1">
      <c r="A393" s="150"/>
      <c r="B393" s="140"/>
      <c r="C393" s="140"/>
      <c r="D393" s="140"/>
      <c r="E393" s="140"/>
      <c r="F393" s="140"/>
      <c r="G393" s="140"/>
      <c r="H393" s="140"/>
      <c r="I393" s="140"/>
      <c r="J393" s="140"/>
      <c r="K393" s="140"/>
      <c r="L393" s="140"/>
      <c r="M393" s="140"/>
      <c r="N393" s="140"/>
      <c r="O393" s="140"/>
      <c r="P393" s="140"/>
      <c r="Q393" s="140"/>
      <c r="R393" s="140"/>
      <c r="S393" s="140"/>
      <c r="T393" s="140"/>
      <c r="U393" s="140"/>
      <c r="V393" s="140"/>
      <c r="W393" s="140"/>
      <c r="X393" s="140"/>
      <c r="Y393" s="140"/>
      <c r="Z393" s="140"/>
      <c r="AA393" s="140"/>
      <c r="AB393" s="140"/>
      <c r="AC393" s="140"/>
      <c r="AD393" s="140"/>
      <c r="AE393" s="140"/>
      <c r="AF393" s="140"/>
      <c r="AG393" s="140"/>
      <c r="AH393" s="140"/>
      <c r="AI393" s="140"/>
      <c r="AJ393" s="140"/>
      <c r="AK393" s="140"/>
      <c r="AL393" s="140"/>
      <c r="AM393" s="140"/>
      <c r="AN393" s="140"/>
      <c r="AO393" s="140"/>
      <c r="AP393" s="140"/>
      <c r="AQ393" s="140"/>
      <c r="AR393" s="140"/>
      <c r="AS393" s="140"/>
      <c r="AT393" s="140"/>
      <c r="AU393" s="140"/>
      <c r="AV393" s="140"/>
      <c r="AW393" s="140"/>
      <c r="AX393" s="140"/>
      <c r="AY393" s="140"/>
      <c r="AZ393" s="140"/>
      <c r="BA393" s="140"/>
      <c r="BB393" s="140"/>
      <c r="BC393" s="140"/>
      <c r="BD393" s="140"/>
      <c r="BE393" s="140"/>
      <c r="BF393" s="140"/>
      <c r="BG393" s="140"/>
      <c r="BH393" s="140"/>
      <c r="BI393" s="140"/>
      <c r="BJ393" s="140"/>
      <c r="BK393" s="140"/>
      <c r="BL393" s="140"/>
      <c r="BM393" s="140"/>
      <c r="BN393" s="140"/>
      <c r="BO393" s="140"/>
      <c r="BP393" s="140"/>
      <c r="BQ393" s="140"/>
      <c r="BR393" s="140"/>
      <c r="BS393" s="140"/>
      <c r="BT393" s="140"/>
      <c r="BU393" s="140"/>
      <c r="BV393" s="140"/>
      <c r="BW393" s="140"/>
      <c r="BX393" s="140"/>
      <c r="BY393" s="140"/>
    </row>
    <row r="394" ht="15.75" customHeight="1">
      <c r="A394" s="150"/>
      <c r="B394" s="140"/>
      <c r="C394" s="140"/>
      <c r="D394" s="140"/>
      <c r="E394" s="140"/>
      <c r="F394" s="140"/>
      <c r="G394" s="140"/>
      <c r="H394" s="140"/>
      <c r="I394" s="140"/>
      <c r="J394" s="140"/>
      <c r="K394" s="140"/>
      <c r="L394" s="140"/>
      <c r="M394" s="140"/>
      <c r="N394" s="140"/>
      <c r="O394" s="140"/>
      <c r="P394" s="140"/>
      <c r="Q394" s="140"/>
      <c r="R394" s="140"/>
      <c r="S394" s="140"/>
      <c r="T394" s="140"/>
      <c r="U394" s="140"/>
      <c r="V394" s="140"/>
      <c r="W394" s="140"/>
      <c r="X394" s="140"/>
      <c r="Y394" s="140"/>
      <c r="Z394" s="140"/>
      <c r="AA394" s="140"/>
      <c r="AB394" s="140"/>
      <c r="AC394" s="140"/>
      <c r="AD394" s="140"/>
      <c r="AE394" s="140"/>
      <c r="AF394" s="140"/>
      <c r="AG394" s="140"/>
      <c r="AH394" s="140"/>
      <c r="AI394" s="140"/>
      <c r="AJ394" s="140"/>
      <c r="AK394" s="140"/>
      <c r="AL394" s="140"/>
      <c r="AM394" s="140"/>
      <c r="AN394" s="140"/>
      <c r="AO394" s="140"/>
      <c r="AP394" s="140"/>
      <c r="AQ394" s="140"/>
      <c r="AR394" s="140"/>
      <c r="AS394" s="140"/>
      <c r="AT394" s="140"/>
      <c r="AU394" s="140"/>
      <c r="AV394" s="140"/>
      <c r="AW394" s="140"/>
      <c r="AX394" s="140"/>
      <c r="AY394" s="140"/>
      <c r="AZ394" s="140"/>
      <c r="BA394" s="140"/>
      <c r="BB394" s="140"/>
      <c r="BC394" s="140"/>
      <c r="BD394" s="140"/>
      <c r="BE394" s="140"/>
      <c r="BF394" s="140"/>
      <c r="BG394" s="140"/>
      <c r="BH394" s="140"/>
      <c r="BI394" s="140"/>
      <c r="BJ394" s="140"/>
      <c r="BK394" s="140"/>
      <c r="BL394" s="140"/>
      <c r="BM394" s="140"/>
      <c r="BN394" s="140"/>
      <c r="BO394" s="140"/>
      <c r="BP394" s="140"/>
      <c r="BQ394" s="140"/>
      <c r="BR394" s="140"/>
      <c r="BS394" s="140"/>
      <c r="BT394" s="140"/>
      <c r="BU394" s="140"/>
      <c r="BV394" s="140"/>
      <c r="BW394" s="140"/>
      <c r="BX394" s="140"/>
      <c r="BY394" s="140"/>
    </row>
    <row r="395" ht="15.75" customHeight="1">
      <c r="A395" s="150"/>
      <c r="B395" s="140"/>
      <c r="C395" s="140"/>
      <c r="D395" s="140"/>
      <c r="E395" s="140"/>
      <c r="F395" s="140"/>
      <c r="G395" s="140"/>
      <c r="H395" s="140"/>
      <c r="I395" s="140"/>
      <c r="J395" s="140"/>
      <c r="K395" s="140"/>
      <c r="L395" s="140"/>
      <c r="M395" s="140"/>
      <c r="N395" s="140"/>
      <c r="O395" s="140"/>
      <c r="P395" s="140"/>
      <c r="Q395" s="140"/>
      <c r="R395" s="140"/>
      <c r="S395" s="140"/>
      <c r="T395" s="140"/>
      <c r="U395" s="140"/>
      <c r="V395" s="140"/>
      <c r="W395" s="140"/>
      <c r="X395" s="140"/>
      <c r="Y395" s="140"/>
      <c r="Z395" s="140"/>
      <c r="AA395" s="140"/>
      <c r="AB395" s="140"/>
      <c r="AC395" s="140"/>
      <c r="AD395" s="140"/>
      <c r="AE395" s="140"/>
      <c r="AF395" s="140"/>
      <c r="AG395" s="140"/>
      <c r="AH395" s="140"/>
      <c r="AI395" s="140"/>
      <c r="AJ395" s="140"/>
      <c r="AK395" s="140"/>
      <c r="AL395" s="140"/>
      <c r="AM395" s="140"/>
      <c r="AN395" s="140"/>
      <c r="AO395" s="140"/>
      <c r="AP395" s="140"/>
      <c r="AQ395" s="140"/>
      <c r="AR395" s="140"/>
      <c r="AS395" s="140"/>
      <c r="AT395" s="140"/>
      <c r="AU395" s="140"/>
      <c r="AV395" s="140"/>
      <c r="AW395" s="140"/>
      <c r="AX395" s="140"/>
      <c r="AY395" s="140"/>
      <c r="AZ395" s="140"/>
      <c r="BA395" s="140"/>
      <c r="BB395" s="140"/>
      <c r="BC395" s="140"/>
      <c r="BD395" s="140"/>
      <c r="BE395" s="140"/>
      <c r="BF395" s="140"/>
      <c r="BG395" s="140"/>
      <c r="BH395" s="140"/>
      <c r="BI395" s="140"/>
      <c r="BJ395" s="140"/>
      <c r="BK395" s="140"/>
      <c r="BL395" s="140"/>
      <c r="BM395" s="140"/>
      <c r="BN395" s="140"/>
      <c r="BO395" s="140"/>
      <c r="BP395" s="140"/>
      <c r="BQ395" s="140"/>
      <c r="BR395" s="140"/>
      <c r="BS395" s="140"/>
      <c r="BT395" s="140"/>
      <c r="BU395" s="140"/>
      <c r="BV395" s="140"/>
      <c r="BW395" s="140"/>
      <c r="BX395" s="140"/>
      <c r="BY395" s="140"/>
    </row>
    <row r="396" ht="15.75" customHeight="1">
      <c r="A396" s="150"/>
      <c r="B396" s="140"/>
      <c r="C396" s="140"/>
      <c r="D396" s="140"/>
      <c r="E396" s="140"/>
      <c r="F396" s="140"/>
      <c r="G396" s="140"/>
      <c r="H396" s="140"/>
      <c r="I396" s="140"/>
      <c r="J396" s="140"/>
      <c r="K396" s="140"/>
      <c r="L396" s="140"/>
      <c r="M396" s="140"/>
      <c r="N396" s="140"/>
      <c r="O396" s="140"/>
      <c r="P396" s="140"/>
      <c r="Q396" s="140"/>
      <c r="R396" s="140"/>
      <c r="S396" s="140"/>
      <c r="T396" s="140"/>
      <c r="U396" s="140"/>
      <c r="V396" s="140"/>
      <c r="W396" s="140"/>
      <c r="X396" s="140"/>
      <c r="Y396" s="140"/>
      <c r="Z396" s="140"/>
      <c r="AA396" s="140"/>
      <c r="AB396" s="140"/>
      <c r="AC396" s="140"/>
      <c r="AD396" s="140"/>
      <c r="AE396" s="140"/>
      <c r="AF396" s="140"/>
      <c r="AG396" s="140"/>
      <c r="AH396" s="140"/>
      <c r="AI396" s="140"/>
      <c r="AJ396" s="140"/>
      <c r="AK396" s="140"/>
      <c r="AL396" s="140"/>
      <c r="AM396" s="140"/>
      <c r="AN396" s="140"/>
      <c r="AO396" s="140"/>
      <c r="AP396" s="140"/>
      <c r="AQ396" s="140"/>
      <c r="AR396" s="140"/>
      <c r="AS396" s="140"/>
      <c r="AT396" s="140"/>
      <c r="AU396" s="140"/>
      <c r="AV396" s="140"/>
      <c r="AW396" s="140"/>
      <c r="AX396" s="140"/>
      <c r="AY396" s="140"/>
      <c r="AZ396" s="140"/>
      <c r="BA396" s="140"/>
      <c r="BB396" s="140"/>
      <c r="BC396" s="140"/>
      <c r="BD396" s="140"/>
      <c r="BE396" s="140"/>
      <c r="BF396" s="140"/>
      <c r="BG396" s="140"/>
      <c r="BH396" s="140"/>
      <c r="BI396" s="140"/>
      <c r="BJ396" s="140"/>
      <c r="BK396" s="140"/>
      <c r="BL396" s="140"/>
      <c r="BM396" s="140"/>
      <c r="BN396" s="140"/>
      <c r="BO396" s="140"/>
      <c r="BP396" s="140"/>
      <c r="BQ396" s="140"/>
      <c r="BR396" s="140"/>
      <c r="BS396" s="140"/>
      <c r="BT396" s="140"/>
      <c r="BU396" s="140"/>
      <c r="BV396" s="140"/>
      <c r="BW396" s="140"/>
      <c r="BX396" s="140"/>
      <c r="BY396" s="140"/>
    </row>
    <row r="397" ht="15.75" customHeight="1">
      <c r="A397" s="150"/>
      <c r="B397" s="140"/>
      <c r="C397" s="140"/>
      <c r="D397" s="140"/>
      <c r="E397" s="140"/>
      <c r="F397" s="140"/>
      <c r="G397" s="140"/>
      <c r="H397" s="140"/>
      <c r="I397" s="140"/>
      <c r="J397" s="140"/>
      <c r="K397" s="140"/>
      <c r="L397" s="140"/>
      <c r="M397" s="140"/>
      <c r="N397" s="140"/>
      <c r="O397" s="140"/>
      <c r="P397" s="140"/>
      <c r="Q397" s="140"/>
      <c r="R397" s="140"/>
      <c r="S397" s="140"/>
      <c r="T397" s="140"/>
      <c r="U397" s="140"/>
      <c r="V397" s="140"/>
      <c r="W397" s="140"/>
      <c r="X397" s="140"/>
      <c r="Y397" s="140"/>
      <c r="Z397" s="140"/>
      <c r="AA397" s="140"/>
      <c r="AB397" s="140"/>
      <c r="AC397" s="140"/>
      <c r="AD397" s="140"/>
      <c r="AE397" s="140"/>
      <c r="AF397" s="140"/>
      <c r="AG397" s="140"/>
      <c r="AH397" s="140"/>
      <c r="AI397" s="140"/>
      <c r="AJ397" s="140"/>
      <c r="AK397" s="140"/>
      <c r="AL397" s="140"/>
      <c r="AM397" s="140"/>
      <c r="AN397" s="140"/>
      <c r="AO397" s="140"/>
      <c r="AP397" s="140"/>
      <c r="AQ397" s="140"/>
      <c r="AR397" s="140"/>
      <c r="AS397" s="140"/>
      <c r="AT397" s="140"/>
      <c r="AU397" s="140"/>
      <c r="AV397" s="140"/>
      <c r="AW397" s="140"/>
      <c r="AX397" s="140"/>
      <c r="AY397" s="140"/>
      <c r="AZ397" s="140"/>
      <c r="BA397" s="140"/>
      <c r="BB397" s="140"/>
      <c r="BC397" s="140"/>
      <c r="BD397" s="140"/>
      <c r="BE397" s="140"/>
      <c r="BF397" s="140"/>
      <c r="BG397" s="140"/>
      <c r="BH397" s="140"/>
      <c r="BI397" s="140"/>
      <c r="BJ397" s="140"/>
      <c r="BK397" s="140"/>
      <c r="BL397" s="140"/>
      <c r="BM397" s="140"/>
      <c r="BN397" s="140"/>
      <c r="BO397" s="140"/>
      <c r="BP397" s="140"/>
      <c r="BQ397" s="140"/>
      <c r="BR397" s="140"/>
      <c r="BS397" s="140"/>
      <c r="BT397" s="140"/>
      <c r="BU397" s="140"/>
      <c r="BV397" s="140"/>
      <c r="BW397" s="140"/>
      <c r="BX397" s="140"/>
      <c r="BY397" s="140"/>
    </row>
    <row r="398" ht="15.75" customHeight="1">
      <c r="A398" s="150"/>
      <c r="B398" s="140"/>
      <c r="C398" s="140"/>
      <c r="D398" s="140"/>
      <c r="E398" s="140"/>
      <c r="F398" s="140"/>
      <c r="G398" s="140"/>
      <c r="H398" s="140"/>
      <c r="I398" s="140"/>
      <c r="J398" s="140"/>
      <c r="K398" s="140"/>
      <c r="L398" s="140"/>
      <c r="M398" s="140"/>
      <c r="N398" s="140"/>
      <c r="O398" s="140"/>
      <c r="P398" s="140"/>
      <c r="Q398" s="140"/>
      <c r="R398" s="140"/>
      <c r="S398" s="140"/>
      <c r="T398" s="140"/>
      <c r="U398" s="140"/>
      <c r="V398" s="140"/>
      <c r="W398" s="140"/>
      <c r="X398" s="140"/>
      <c r="Y398" s="140"/>
      <c r="Z398" s="140"/>
      <c r="AA398" s="140"/>
      <c r="AB398" s="140"/>
      <c r="AC398" s="140"/>
      <c r="AD398" s="140"/>
      <c r="AE398" s="140"/>
      <c r="AF398" s="140"/>
      <c r="AG398" s="140"/>
      <c r="AH398" s="140"/>
      <c r="AI398" s="140"/>
      <c r="AJ398" s="140"/>
      <c r="AK398" s="140"/>
      <c r="AL398" s="140"/>
      <c r="AM398" s="140"/>
      <c r="AN398" s="140"/>
      <c r="AO398" s="140"/>
      <c r="AP398" s="140"/>
      <c r="AQ398" s="140"/>
      <c r="AR398" s="140"/>
      <c r="AS398" s="140"/>
      <c r="AT398" s="140"/>
      <c r="AU398" s="140"/>
      <c r="AV398" s="140"/>
      <c r="AW398" s="140"/>
      <c r="AX398" s="140"/>
      <c r="AY398" s="140"/>
      <c r="AZ398" s="140"/>
      <c r="BA398" s="140"/>
      <c r="BB398" s="140"/>
      <c r="BC398" s="140"/>
      <c r="BD398" s="140"/>
      <c r="BE398" s="140"/>
      <c r="BF398" s="140"/>
      <c r="BG398" s="140"/>
      <c r="BH398" s="140"/>
      <c r="BI398" s="140"/>
      <c r="BJ398" s="140"/>
      <c r="BK398" s="140"/>
      <c r="BL398" s="140"/>
      <c r="BM398" s="140"/>
      <c r="BN398" s="140"/>
      <c r="BO398" s="140"/>
      <c r="BP398" s="140"/>
      <c r="BQ398" s="140"/>
      <c r="BR398" s="140"/>
      <c r="BS398" s="140"/>
      <c r="BT398" s="140"/>
      <c r="BU398" s="140"/>
      <c r="BV398" s="140"/>
      <c r="BW398" s="140"/>
      <c r="BX398" s="140"/>
      <c r="BY398" s="140"/>
    </row>
    <row r="399" ht="15.75" customHeight="1">
      <c r="A399" s="150"/>
      <c r="B399" s="140"/>
      <c r="C399" s="140"/>
      <c r="D399" s="140"/>
      <c r="E399" s="140"/>
      <c r="F399" s="140"/>
      <c r="G399" s="140"/>
      <c r="H399" s="140"/>
      <c r="I399" s="140"/>
      <c r="J399" s="140"/>
      <c r="K399" s="140"/>
      <c r="L399" s="140"/>
      <c r="M399" s="140"/>
      <c r="N399" s="140"/>
      <c r="O399" s="140"/>
      <c r="P399" s="140"/>
      <c r="Q399" s="140"/>
      <c r="R399" s="140"/>
      <c r="S399" s="140"/>
      <c r="T399" s="140"/>
      <c r="U399" s="140"/>
      <c r="V399" s="140"/>
      <c r="W399" s="140"/>
      <c r="X399" s="140"/>
      <c r="Y399" s="140"/>
      <c r="Z399" s="140"/>
      <c r="AA399" s="140"/>
      <c r="AB399" s="140"/>
      <c r="AC399" s="140"/>
      <c r="AD399" s="140"/>
      <c r="AE399" s="140"/>
      <c r="AF399" s="140"/>
      <c r="AG399" s="140"/>
      <c r="AH399" s="140"/>
      <c r="AI399" s="140"/>
      <c r="AJ399" s="140"/>
      <c r="AK399" s="140"/>
      <c r="AL399" s="140"/>
      <c r="AM399" s="140"/>
      <c r="AN399" s="140"/>
      <c r="AO399" s="140"/>
      <c r="AP399" s="140"/>
      <c r="AQ399" s="140"/>
      <c r="AR399" s="140"/>
      <c r="AS399" s="140"/>
      <c r="AT399" s="140"/>
      <c r="AU399" s="140"/>
      <c r="AV399" s="140"/>
      <c r="AW399" s="140"/>
      <c r="AX399" s="140"/>
      <c r="AY399" s="140"/>
      <c r="AZ399" s="140"/>
      <c r="BA399" s="140"/>
      <c r="BB399" s="140"/>
      <c r="BC399" s="140"/>
      <c r="BD399" s="140"/>
      <c r="BE399" s="140"/>
      <c r="BF399" s="140"/>
      <c r="BG399" s="140"/>
      <c r="BH399" s="140"/>
      <c r="BI399" s="140"/>
      <c r="BJ399" s="140"/>
      <c r="BK399" s="140"/>
      <c r="BL399" s="140"/>
      <c r="BM399" s="140"/>
      <c r="BN399" s="140"/>
      <c r="BO399" s="140"/>
      <c r="BP399" s="140"/>
      <c r="BQ399" s="140"/>
      <c r="BR399" s="140"/>
      <c r="BS399" s="140"/>
      <c r="BT399" s="140"/>
      <c r="BU399" s="140"/>
      <c r="BV399" s="140"/>
      <c r="BW399" s="140"/>
      <c r="BX399" s="140"/>
      <c r="BY399" s="140"/>
    </row>
    <row r="400" ht="15.75" customHeight="1">
      <c r="A400" s="150"/>
      <c r="B400" s="140"/>
      <c r="C400" s="140"/>
      <c r="D400" s="140"/>
      <c r="E400" s="140"/>
      <c r="F400" s="140"/>
      <c r="G400" s="140"/>
      <c r="H400" s="140"/>
      <c r="I400" s="140"/>
      <c r="J400" s="140"/>
      <c r="K400" s="140"/>
      <c r="L400" s="140"/>
      <c r="M400" s="140"/>
      <c r="N400" s="140"/>
      <c r="O400" s="140"/>
      <c r="P400" s="140"/>
      <c r="Q400" s="140"/>
      <c r="R400" s="140"/>
      <c r="S400" s="140"/>
      <c r="T400" s="140"/>
      <c r="U400" s="140"/>
      <c r="V400" s="140"/>
      <c r="W400" s="140"/>
      <c r="X400" s="140"/>
      <c r="Y400" s="140"/>
      <c r="Z400" s="140"/>
      <c r="AA400" s="140"/>
      <c r="AB400" s="140"/>
      <c r="AC400" s="140"/>
      <c r="AD400" s="140"/>
      <c r="AE400" s="140"/>
      <c r="AF400" s="140"/>
      <c r="AG400" s="140"/>
      <c r="AH400" s="140"/>
      <c r="AI400" s="140"/>
      <c r="AJ400" s="140"/>
      <c r="AK400" s="140"/>
      <c r="AL400" s="140"/>
      <c r="AM400" s="140"/>
      <c r="AN400" s="140"/>
      <c r="AO400" s="140"/>
      <c r="AP400" s="140"/>
      <c r="AQ400" s="140"/>
      <c r="AR400" s="140"/>
      <c r="AS400" s="140"/>
      <c r="AT400" s="140"/>
      <c r="AU400" s="140"/>
      <c r="AV400" s="140"/>
      <c r="AW400" s="140"/>
      <c r="AX400" s="140"/>
      <c r="AY400" s="140"/>
      <c r="AZ400" s="140"/>
      <c r="BA400" s="140"/>
      <c r="BB400" s="140"/>
      <c r="BC400" s="140"/>
      <c r="BD400" s="140"/>
      <c r="BE400" s="140"/>
      <c r="BF400" s="140"/>
      <c r="BG400" s="140"/>
      <c r="BH400" s="140"/>
      <c r="BI400" s="140"/>
      <c r="BJ400" s="140"/>
      <c r="BK400" s="140"/>
      <c r="BL400" s="140"/>
      <c r="BM400" s="140"/>
      <c r="BN400" s="140"/>
      <c r="BO400" s="140"/>
      <c r="BP400" s="140"/>
      <c r="BQ400" s="140"/>
      <c r="BR400" s="140"/>
      <c r="BS400" s="140"/>
      <c r="BT400" s="140"/>
      <c r="BU400" s="140"/>
      <c r="BV400" s="140"/>
      <c r="BW400" s="140"/>
      <c r="BX400" s="140"/>
      <c r="BY400" s="140"/>
    </row>
    <row r="401" ht="15.75" customHeight="1">
      <c r="A401" s="150"/>
      <c r="B401" s="140"/>
      <c r="C401" s="140"/>
      <c r="D401" s="140"/>
      <c r="E401" s="140"/>
      <c r="F401" s="140"/>
      <c r="G401" s="140"/>
      <c r="H401" s="140"/>
      <c r="I401" s="140"/>
      <c r="J401" s="140"/>
      <c r="K401" s="140"/>
      <c r="L401" s="140"/>
      <c r="M401" s="140"/>
      <c r="N401" s="140"/>
      <c r="O401" s="140"/>
      <c r="P401" s="140"/>
      <c r="Q401" s="140"/>
      <c r="R401" s="140"/>
      <c r="S401" s="140"/>
      <c r="T401" s="140"/>
      <c r="U401" s="140"/>
      <c r="V401" s="140"/>
      <c r="W401" s="140"/>
      <c r="X401" s="140"/>
      <c r="Y401" s="140"/>
      <c r="Z401" s="140"/>
      <c r="AA401" s="140"/>
      <c r="AB401" s="140"/>
      <c r="AC401" s="140"/>
      <c r="AD401" s="140"/>
      <c r="AE401" s="140"/>
      <c r="AF401" s="140"/>
      <c r="AG401" s="140"/>
      <c r="AH401" s="140"/>
      <c r="AI401" s="140"/>
      <c r="AJ401" s="140"/>
      <c r="AK401" s="140"/>
      <c r="AL401" s="140"/>
      <c r="AM401" s="140"/>
      <c r="AN401" s="140"/>
      <c r="AO401" s="140"/>
      <c r="AP401" s="140"/>
      <c r="AQ401" s="140"/>
      <c r="AR401" s="140"/>
      <c r="AS401" s="140"/>
      <c r="AT401" s="140"/>
      <c r="AU401" s="140"/>
      <c r="AV401" s="140"/>
      <c r="AW401" s="140"/>
      <c r="AX401" s="140"/>
      <c r="AY401" s="140"/>
      <c r="AZ401" s="140"/>
      <c r="BA401" s="140"/>
      <c r="BB401" s="140"/>
      <c r="BC401" s="140"/>
      <c r="BD401" s="140"/>
      <c r="BE401" s="140"/>
      <c r="BF401" s="140"/>
      <c r="BG401" s="140"/>
      <c r="BH401" s="140"/>
      <c r="BI401" s="140"/>
      <c r="BJ401" s="140"/>
      <c r="BK401" s="140"/>
      <c r="BL401" s="140"/>
      <c r="BM401" s="140"/>
      <c r="BN401" s="140"/>
      <c r="BO401" s="140"/>
      <c r="BP401" s="140"/>
      <c r="BQ401" s="140"/>
      <c r="BR401" s="140"/>
      <c r="BS401" s="140"/>
      <c r="BT401" s="140"/>
      <c r="BU401" s="140"/>
      <c r="BV401" s="140"/>
      <c r="BW401" s="140"/>
      <c r="BX401" s="140"/>
      <c r="BY401" s="140"/>
    </row>
    <row r="402" ht="15.75" customHeight="1">
      <c r="A402" s="150"/>
      <c r="B402" s="140"/>
      <c r="C402" s="140"/>
      <c r="D402" s="140"/>
      <c r="E402" s="140"/>
      <c r="F402" s="140"/>
      <c r="G402" s="140"/>
      <c r="H402" s="140"/>
      <c r="I402" s="140"/>
      <c r="J402" s="140"/>
      <c r="K402" s="140"/>
      <c r="L402" s="140"/>
      <c r="M402" s="140"/>
      <c r="N402" s="140"/>
      <c r="O402" s="140"/>
      <c r="P402" s="140"/>
      <c r="Q402" s="140"/>
      <c r="R402" s="140"/>
      <c r="S402" s="140"/>
      <c r="T402" s="140"/>
      <c r="U402" s="140"/>
      <c r="V402" s="140"/>
      <c r="W402" s="140"/>
      <c r="X402" s="140"/>
      <c r="Y402" s="140"/>
      <c r="Z402" s="140"/>
      <c r="AA402" s="140"/>
      <c r="AB402" s="140"/>
      <c r="AC402" s="140"/>
      <c r="AD402" s="140"/>
      <c r="AE402" s="140"/>
      <c r="AF402" s="140"/>
      <c r="AG402" s="140"/>
      <c r="AH402" s="140"/>
      <c r="AI402" s="140"/>
      <c r="AJ402" s="140"/>
      <c r="AK402" s="140"/>
      <c r="AL402" s="140"/>
      <c r="AM402" s="140"/>
      <c r="AN402" s="140"/>
      <c r="AO402" s="140"/>
      <c r="AP402" s="140"/>
      <c r="AQ402" s="140"/>
      <c r="AR402" s="140"/>
      <c r="AS402" s="140"/>
      <c r="AT402" s="140"/>
      <c r="AU402" s="140"/>
      <c r="AV402" s="140"/>
      <c r="AW402" s="140"/>
      <c r="AX402" s="140"/>
      <c r="AY402" s="140"/>
      <c r="AZ402" s="140"/>
      <c r="BA402" s="140"/>
      <c r="BB402" s="140"/>
      <c r="BC402" s="140"/>
      <c r="BD402" s="140"/>
      <c r="BE402" s="140"/>
      <c r="BF402" s="140"/>
      <c r="BG402" s="140"/>
      <c r="BH402" s="140"/>
      <c r="BI402" s="140"/>
      <c r="BJ402" s="140"/>
      <c r="BK402" s="140"/>
      <c r="BL402" s="140"/>
      <c r="BM402" s="140"/>
      <c r="BN402" s="140"/>
      <c r="BO402" s="140"/>
      <c r="BP402" s="140"/>
      <c r="BQ402" s="140"/>
      <c r="BR402" s="140"/>
      <c r="BS402" s="140"/>
      <c r="BT402" s="140"/>
      <c r="BU402" s="140"/>
      <c r="BV402" s="140"/>
      <c r="BW402" s="140"/>
      <c r="BX402" s="140"/>
      <c r="BY402" s="140"/>
    </row>
    <row r="403" ht="15.75" customHeight="1">
      <c r="A403" s="150"/>
      <c r="B403" s="140"/>
      <c r="C403" s="140"/>
      <c r="D403" s="140"/>
      <c r="E403" s="140"/>
      <c r="F403" s="140"/>
      <c r="G403" s="140"/>
      <c r="H403" s="140"/>
      <c r="I403" s="140"/>
      <c r="J403" s="140"/>
      <c r="K403" s="140"/>
      <c r="L403" s="140"/>
      <c r="M403" s="140"/>
      <c r="N403" s="140"/>
      <c r="O403" s="140"/>
      <c r="P403" s="140"/>
      <c r="Q403" s="140"/>
      <c r="R403" s="140"/>
      <c r="S403" s="140"/>
      <c r="T403" s="140"/>
      <c r="U403" s="140"/>
      <c r="V403" s="140"/>
      <c r="W403" s="140"/>
      <c r="X403" s="140"/>
      <c r="Y403" s="140"/>
      <c r="Z403" s="140"/>
      <c r="AA403" s="140"/>
      <c r="AB403" s="140"/>
      <c r="AC403" s="140"/>
      <c r="AD403" s="140"/>
      <c r="AE403" s="140"/>
      <c r="AF403" s="140"/>
      <c r="AG403" s="140"/>
      <c r="AH403" s="140"/>
      <c r="AI403" s="140"/>
      <c r="AJ403" s="140"/>
      <c r="AK403" s="140"/>
      <c r="AL403" s="140"/>
      <c r="AM403" s="140"/>
      <c r="AN403" s="140"/>
      <c r="AO403" s="140"/>
      <c r="AP403" s="140"/>
      <c r="AQ403" s="140"/>
      <c r="AR403" s="140"/>
      <c r="AS403" s="140"/>
      <c r="AT403" s="140"/>
      <c r="AU403" s="140"/>
      <c r="AV403" s="140"/>
      <c r="AW403" s="140"/>
      <c r="AX403" s="140"/>
      <c r="AY403" s="140"/>
      <c r="AZ403" s="140"/>
      <c r="BA403" s="140"/>
      <c r="BB403" s="140"/>
      <c r="BC403" s="140"/>
      <c r="BD403" s="140"/>
      <c r="BE403" s="140"/>
      <c r="BF403" s="140"/>
      <c r="BG403" s="140"/>
      <c r="BH403" s="140"/>
      <c r="BI403" s="140"/>
      <c r="BJ403" s="140"/>
      <c r="BK403" s="140"/>
      <c r="BL403" s="140"/>
      <c r="BM403" s="140"/>
      <c r="BN403" s="140"/>
      <c r="BO403" s="140"/>
      <c r="BP403" s="140"/>
      <c r="BQ403" s="140"/>
      <c r="BR403" s="140"/>
      <c r="BS403" s="140"/>
      <c r="BT403" s="140"/>
      <c r="BU403" s="140"/>
      <c r="BV403" s="140"/>
      <c r="BW403" s="140"/>
      <c r="BX403" s="140"/>
      <c r="BY403" s="140"/>
    </row>
    <row r="404" ht="15.75" customHeight="1">
      <c r="A404" s="150"/>
      <c r="B404" s="140"/>
      <c r="C404" s="140"/>
      <c r="D404" s="140"/>
      <c r="E404" s="140"/>
      <c r="F404" s="140"/>
      <c r="G404" s="140"/>
      <c r="H404" s="140"/>
      <c r="I404" s="140"/>
      <c r="J404" s="140"/>
      <c r="K404" s="140"/>
      <c r="L404" s="140"/>
      <c r="M404" s="140"/>
      <c r="N404" s="140"/>
      <c r="O404" s="140"/>
      <c r="P404" s="140"/>
      <c r="Q404" s="140"/>
      <c r="R404" s="140"/>
      <c r="S404" s="140"/>
      <c r="T404" s="140"/>
      <c r="U404" s="140"/>
      <c r="V404" s="140"/>
      <c r="W404" s="140"/>
      <c r="X404" s="140"/>
      <c r="Y404" s="140"/>
      <c r="Z404" s="140"/>
      <c r="AA404" s="140"/>
      <c r="AB404" s="140"/>
      <c r="AC404" s="140"/>
      <c r="AD404" s="140"/>
      <c r="AE404" s="140"/>
      <c r="AF404" s="140"/>
      <c r="AG404" s="140"/>
      <c r="AH404" s="140"/>
      <c r="AI404" s="140"/>
      <c r="AJ404" s="140"/>
      <c r="AK404" s="140"/>
      <c r="AL404" s="140"/>
      <c r="AM404" s="140"/>
      <c r="AN404" s="140"/>
      <c r="AO404" s="140"/>
      <c r="AP404" s="140"/>
      <c r="AQ404" s="140"/>
      <c r="AR404" s="140"/>
      <c r="AS404" s="140"/>
      <c r="AT404" s="140"/>
      <c r="AU404" s="140"/>
      <c r="AV404" s="140"/>
      <c r="AW404" s="140"/>
      <c r="AX404" s="140"/>
      <c r="AY404" s="140"/>
      <c r="AZ404" s="140"/>
      <c r="BA404" s="140"/>
      <c r="BB404" s="140"/>
      <c r="BC404" s="140"/>
      <c r="BD404" s="140"/>
      <c r="BE404" s="140"/>
      <c r="BF404" s="140"/>
      <c r="BG404" s="140"/>
      <c r="BH404" s="140"/>
      <c r="BI404" s="140"/>
      <c r="BJ404" s="140"/>
      <c r="BK404" s="140"/>
      <c r="BL404" s="140"/>
      <c r="BM404" s="140"/>
      <c r="BN404" s="140"/>
      <c r="BO404" s="140"/>
      <c r="BP404" s="140"/>
      <c r="BQ404" s="140"/>
      <c r="BR404" s="140"/>
      <c r="BS404" s="140"/>
      <c r="BT404" s="140"/>
      <c r="BU404" s="140"/>
      <c r="BV404" s="140"/>
      <c r="BW404" s="140"/>
      <c r="BX404" s="140"/>
      <c r="BY404" s="140"/>
    </row>
    <row r="405" ht="15.75" customHeight="1">
      <c r="A405" s="150"/>
      <c r="B405" s="140"/>
      <c r="C405" s="140"/>
      <c r="D405" s="140"/>
      <c r="E405" s="140"/>
      <c r="F405" s="140"/>
      <c r="G405" s="140"/>
      <c r="H405" s="140"/>
      <c r="I405" s="140"/>
      <c r="J405" s="140"/>
      <c r="K405" s="140"/>
      <c r="L405" s="140"/>
      <c r="M405" s="140"/>
      <c r="N405" s="140"/>
      <c r="O405" s="140"/>
      <c r="P405" s="140"/>
      <c r="Q405" s="140"/>
      <c r="R405" s="140"/>
      <c r="S405" s="140"/>
      <c r="T405" s="140"/>
      <c r="U405" s="140"/>
      <c r="V405" s="140"/>
      <c r="W405" s="140"/>
      <c r="X405" s="140"/>
      <c r="Y405" s="140"/>
      <c r="Z405" s="140"/>
      <c r="AA405" s="140"/>
      <c r="AB405" s="140"/>
      <c r="AC405" s="140"/>
      <c r="AD405" s="140"/>
      <c r="AE405" s="140"/>
      <c r="AF405" s="140"/>
      <c r="AG405" s="140"/>
      <c r="AH405" s="140"/>
      <c r="AI405" s="140"/>
      <c r="AJ405" s="140"/>
      <c r="AK405" s="140"/>
      <c r="AL405" s="140"/>
      <c r="AM405" s="140"/>
      <c r="AN405" s="140"/>
      <c r="AO405" s="140"/>
      <c r="AP405" s="140"/>
      <c r="AQ405" s="140"/>
      <c r="AR405" s="140"/>
      <c r="AS405" s="140"/>
      <c r="AT405" s="140"/>
      <c r="AU405" s="140"/>
      <c r="AV405" s="140"/>
      <c r="AW405" s="140"/>
      <c r="AX405" s="140"/>
      <c r="AY405" s="140"/>
      <c r="AZ405" s="140"/>
      <c r="BA405" s="140"/>
      <c r="BB405" s="140"/>
      <c r="BC405" s="140"/>
      <c r="BD405" s="140"/>
      <c r="BE405" s="140"/>
      <c r="BF405" s="140"/>
      <c r="BG405" s="140"/>
      <c r="BH405" s="140"/>
      <c r="BI405" s="140"/>
      <c r="BJ405" s="140"/>
      <c r="BK405" s="140"/>
      <c r="BL405" s="140"/>
      <c r="BM405" s="140"/>
      <c r="BN405" s="140"/>
      <c r="BO405" s="140"/>
      <c r="BP405" s="140"/>
      <c r="BQ405" s="140"/>
      <c r="BR405" s="140"/>
      <c r="BS405" s="140"/>
      <c r="BT405" s="140"/>
      <c r="BU405" s="140"/>
      <c r="BV405" s="140"/>
      <c r="BW405" s="140"/>
      <c r="BX405" s="140"/>
      <c r="BY405" s="140"/>
    </row>
    <row r="406" ht="15.75" customHeight="1">
      <c r="A406" s="150"/>
      <c r="B406" s="140"/>
      <c r="C406" s="140"/>
      <c r="D406" s="140"/>
      <c r="E406" s="140"/>
      <c r="F406" s="140"/>
      <c r="G406" s="140"/>
      <c r="H406" s="140"/>
      <c r="I406" s="140"/>
      <c r="J406" s="140"/>
      <c r="K406" s="140"/>
      <c r="L406" s="140"/>
      <c r="M406" s="140"/>
      <c r="N406" s="140"/>
      <c r="O406" s="140"/>
      <c r="P406" s="140"/>
      <c r="Q406" s="140"/>
      <c r="R406" s="140"/>
      <c r="S406" s="140"/>
      <c r="T406" s="140"/>
      <c r="U406" s="140"/>
      <c r="V406" s="140"/>
      <c r="W406" s="140"/>
      <c r="X406" s="140"/>
      <c r="Y406" s="140"/>
      <c r="Z406" s="140"/>
      <c r="AA406" s="140"/>
      <c r="AB406" s="140"/>
      <c r="AC406" s="140"/>
      <c r="AD406" s="140"/>
      <c r="AE406" s="140"/>
      <c r="AF406" s="140"/>
      <c r="AG406" s="140"/>
      <c r="AH406" s="140"/>
      <c r="AI406" s="140"/>
      <c r="AJ406" s="140"/>
      <c r="AK406" s="140"/>
      <c r="AL406" s="140"/>
      <c r="AM406" s="140"/>
      <c r="AN406" s="140"/>
      <c r="AO406" s="140"/>
      <c r="AP406" s="140"/>
      <c r="AQ406" s="140"/>
      <c r="AR406" s="140"/>
      <c r="AS406" s="140"/>
      <c r="AT406" s="140"/>
      <c r="AU406" s="140"/>
      <c r="AV406" s="140"/>
      <c r="AW406" s="140"/>
      <c r="AX406" s="140"/>
      <c r="AY406" s="140"/>
      <c r="AZ406" s="140"/>
      <c r="BA406" s="140"/>
      <c r="BB406" s="140"/>
      <c r="BC406" s="140"/>
      <c r="BD406" s="140"/>
      <c r="BE406" s="140"/>
      <c r="BF406" s="140"/>
      <c r="BG406" s="140"/>
      <c r="BH406" s="140"/>
      <c r="BI406" s="140"/>
      <c r="BJ406" s="140"/>
      <c r="BK406" s="140"/>
      <c r="BL406" s="140"/>
      <c r="BM406" s="140"/>
      <c r="BN406" s="140"/>
      <c r="BO406" s="140"/>
      <c r="BP406" s="140"/>
      <c r="BQ406" s="140"/>
      <c r="BR406" s="140"/>
      <c r="BS406" s="140"/>
      <c r="BT406" s="140"/>
      <c r="BU406" s="140"/>
      <c r="BV406" s="140"/>
      <c r="BW406" s="140"/>
      <c r="BX406" s="140"/>
      <c r="BY406" s="140"/>
    </row>
    <row r="407" ht="15.75" customHeight="1">
      <c r="A407" s="150"/>
      <c r="B407" s="140"/>
      <c r="C407" s="140"/>
      <c r="D407" s="140"/>
      <c r="E407" s="140"/>
      <c r="F407" s="140"/>
      <c r="G407" s="140"/>
      <c r="H407" s="140"/>
      <c r="I407" s="140"/>
      <c r="J407" s="140"/>
      <c r="K407" s="140"/>
      <c r="L407" s="140"/>
      <c r="M407" s="140"/>
      <c r="N407" s="140"/>
      <c r="O407" s="140"/>
      <c r="P407" s="140"/>
      <c r="Q407" s="140"/>
      <c r="R407" s="140"/>
      <c r="S407" s="140"/>
      <c r="T407" s="140"/>
      <c r="U407" s="140"/>
      <c r="V407" s="140"/>
      <c r="W407" s="140"/>
      <c r="X407" s="140"/>
      <c r="Y407" s="140"/>
      <c r="Z407" s="140"/>
      <c r="AA407" s="140"/>
      <c r="AB407" s="140"/>
      <c r="AC407" s="140"/>
      <c r="AD407" s="140"/>
      <c r="AE407" s="140"/>
      <c r="AF407" s="140"/>
      <c r="AG407" s="140"/>
      <c r="AH407" s="140"/>
      <c r="AI407" s="140"/>
      <c r="AJ407" s="140"/>
      <c r="AK407" s="140"/>
      <c r="AL407" s="140"/>
      <c r="AM407" s="140"/>
      <c r="AN407" s="140"/>
      <c r="AO407" s="140"/>
      <c r="AP407" s="140"/>
      <c r="AQ407" s="140"/>
      <c r="AR407" s="140"/>
      <c r="AS407" s="140"/>
      <c r="AT407" s="140"/>
      <c r="AU407" s="140"/>
      <c r="AV407" s="140"/>
      <c r="AW407" s="140"/>
      <c r="AX407" s="140"/>
      <c r="AY407" s="140"/>
      <c r="AZ407" s="140"/>
      <c r="BA407" s="140"/>
      <c r="BB407" s="140"/>
      <c r="BC407" s="140"/>
      <c r="BD407" s="140"/>
      <c r="BE407" s="140"/>
      <c r="BF407" s="140"/>
      <c r="BG407" s="140"/>
      <c r="BH407" s="140"/>
      <c r="BI407" s="140"/>
      <c r="BJ407" s="140"/>
      <c r="BK407" s="140"/>
      <c r="BL407" s="140"/>
      <c r="BM407" s="140"/>
      <c r="BN407" s="140"/>
      <c r="BO407" s="140"/>
      <c r="BP407" s="140"/>
      <c r="BQ407" s="140"/>
      <c r="BR407" s="140"/>
      <c r="BS407" s="140"/>
      <c r="BT407" s="140"/>
      <c r="BU407" s="140"/>
      <c r="BV407" s="140"/>
      <c r="BW407" s="140"/>
      <c r="BX407" s="140"/>
      <c r="BY407" s="140"/>
    </row>
    <row r="408" ht="15.75" customHeight="1">
      <c r="A408" s="150"/>
      <c r="B408" s="140"/>
      <c r="C408" s="140"/>
      <c r="D408" s="140"/>
      <c r="E408" s="140"/>
      <c r="F408" s="140"/>
      <c r="G408" s="140"/>
      <c r="H408" s="140"/>
      <c r="I408" s="140"/>
      <c r="J408" s="140"/>
      <c r="K408" s="140"/>
      <c r="L408" s="140"/>
      <c r="M408" s="140"/>
      <c r="N408" s="140"/>
      <c r="O408" s="140"/>
      <c r="P408" s="140"/>
      <c r="Q408" s="140"/>
      <c r="R408" s="140"/>
      <c r="S408" s="140"/>
      <c r="T408" s="140"/>
      <c r="U408" s="140"/>
      <c r="V408" s="140"/>
      <c r="W408" s="140"/>
      <c r="X408" s="140"/>
      <c r="Y408" s="140"/>
      <c r="Z408" s="140"/>
      <c r="AA408" s="140"/>
      <c r="AB408" s="140"/>
      <c r="AC408" s="140"/>
      <c r="AD408" s="140"/>
      <c r="AE408" s="140"/>
      <c r="AF408" s="140"/>
      <c r="AG408" s="140"/>
      <c r="AH408" s="140"/>
      <c r="AI408" s="140"/>
      <c r="AJ408" s="140"/>
      <c r="AK408" s="140"/>
      <c r="AL408" s="140"/>
      <c r="AM408" s="140"/>
      <c r="AN408" s="140"/>
      <c r="AO408" s="140"/>
      <c r="AP408" s="140"/>
      <c r="AQ408" s="140"/>
      <c r="AR408" s="140"/>
      <c r="AS408" s="140"/>
      <c r="AT408" s="140"/>
      <c r="AU408" s="140"/>
      <c r="AV408" s="140"/>
      <c r="AW408" s="140"/>
      <c r="AX408" s="140"/>
      <c r="AY408" s="140"/>
      <c r="AZ408" s="140"/>
      <c r="BA408" s="140"/>
      <c r="BB408" s="140"/>
      <c r="BC408" s="140"/>
      <c r="BD408" s="140"/>
      <c r="BE408" s="140"/>
      <c r="BF408" s="140"/>
      <c r="BG408" s="140"/>
      <c r="BH408" s="140"/>
      <c r="BI408" s="140"/>
      <c r="BJ408" s="140"/>
      <c r="BK408" s="140"/>
      <c r="BL408" s="140"/>
      <c r="BM408" s="140"/>
      <c r="BN408" s="140"/>
      <c r="BO408" s="140"/>
      <c r="BP408" s="140"/>
      <c r="BQ408" s="140"/>
      <c r="BR408" s="140"/>
      <c r="BS408" s="140"/>
      <c r="BT408" s="140"/>
      <c r="BU408" s="140"/>
      <c r="BV408" s="140"/>
      <c r="BW408" s="140"/>
      <c r="BX408" s="140"/>
      <c r="BY408" s="140"/>
    </row>
    <row r="409" ht="15.75" customHeight="1">
      <c r="A409" s="150"/>
      <c r="B409" s="140"/>
      <c r="C409" s="140"/>
      <c r="D409" s="140"/>
      <c r="E409" s="140"/>
      <c r="F409" s="140"/>
      <c r="G409" s="140"/>
      <c r="H409" s="140"/>
      <c r="I409" s="140"/>
      <c r="J409" s="140"/>
      <c r="K409" s="140"/>
      <c r="L409" s="140"/>
      <c r="M409" s="140"/>
      <c r="N409" s="140"/>
      <c r="O409" s="140"/>
      <c r="P409" s="140"/>
      <c r="Q409" s="140"/>
      <c r="R409" s="140"/>
      <c r="S409" s="140"/>
      <c r="T409" s="140"/>
      <c r="U409" s="140"/>
      <c r="V409" s="140"/>
      <c r="W409" s="140"/>
      <c r="X409" s="140"/>
      <c r="Y409" s="140"/>
      <c r="Z409" s="140"/>
      <c r="AA409" s="140"/>
      <c r="AB409" s="140"/>
      <c r="AC409" s="140"/>
      <c r="AD409" s="140"/>
      <c r="AE409" s="140"/>
      <c r="AF409" s="140"/>
      <c r="AG409" s="140"/>
      <c r="AH409" s="140"/>
      <c r="AI409" s="140"/>
      <c r="AJ409" s="140"/>
      <c r="AK409" s="140"/>
      <c r="AL409" s="140"/>
      <c r="AM409" s="140"/>
      <c r="AN409" s="140"/>
      <c r="AO409" s="140"/>
      <c r="AP409" s="140"/>
      <c r="AQ409" s="140"/>
      <c r="AR409" s="140"/>
      <c r="AS409" s="140"/>
      <c r="AT409" s="140"/>
      <c r="AU409" s="140"/>
      <c r="AV409" s="140"/>
      <c r="AW409" s="140"/>
      <c r="AX409" s="140"/>
      <c r="AY409" s="140"/>
      <c r="AZ409" s="140"/>
      <c r="BA409" s="140"/>
      <c r="BB409" s="140"/>
      <c r="BC409" s="140"/>
      <c r="BD409" s="140"/>
      <c r="BE409" s="140"/>
      <c r="BF409" s="140"/>
      <c r="BG409" s="140"/>
      <c r="BH409" s="140"/>
      <c r="BI409" s="140"/>
      <c r="BJ409" s="140"/>
      <c r="BK409" s="140"/>
      <c r="BL409" s="140"/>
      <c r="BM409" s="140"/>
      <c r="BN409" s="140"/>
      <c r="BO409" s="140"/>
      <c r="BP409" s="140"/>
      <c r="BQ409" s="140"/>
      <c r="BR409" s="140"/>
      <c r="BS409" s="140"/>
      <c r="BT409" s="140"/>
      <c r="BU409" s="140"/>
      <c r="BV409" s="140"/>
      <c r="BW409" s="140"/>
      <c r="BX409" s="140"/>
      <c r="BY409" s="140"/>
    </row>
    <row r="410" ht="15.75" customHeight="1">
      <c r="A410" s="150"/>
      <c r="B410" s="140"/>
      <c r="C410" s="140"/>
      <c r="D410" s="140"/>
      <c r="E410" s="140"/>
      <c r="F410" s="140"/>
      <c r="G410" s="140"/>
      <c r="H410" s="140"/>
      <c r="I410" s="140"/>
      <c r="J410" s="140"/>
      <c r="K410" s="140"/>
      <c r="L410" s="140"/>
      <c r="M410" s="140"/>
      <c r="N410" s="140"/>
      <c r="O410" s="140"/>
      <c r="P410" s="140"/>
      <c r="Q410" s="140"/>
      <c r="R410" s="140"/>
      <c r="S410" s="140"/>
      <c r="T410" s="140"/>
      <c r="U410" s="140"/>
      <c r="V410" s="140"/>
      <c r="W410" s="140"/>
      <c r="X410" s="140"/>
      <c r="Y410" s="140"/>
      <c r="Z410" s="140"/>
      <c r="AA410" s="140"/>
      <c r="AB410" s="140"/>
      <c r="AC410" s="140"/>
      <c r="AD410" s="140"/>
      <c r="AE410" s="140"/>
      <c r="AF410" s="140"/>
      <c r="AG410" s="140"/>
      <c r="AH410" s="140"/>
      <c r="AI410" s="140"/>
      <c r="AJ410" s="140"/>
      <c r="AK410" s="140"/>
      <c r="AL410" s="140"/>
      <c r="AM410" s="140"/>
      <c r="AN410" s="140"/>
      <c r="AO410" s="140"/>
      <c r="AP410" s="140"/>
      <c r="AQ410" s="140"/>
      <c r="AR410" s="140"/>
      <c r="AS410" s="140"/>
      <c r="AT410" s="140"/>
      <c r="AU410" s="140"/>
      <c r="AV410" s="140"/>
      <c r="AW410" s="140"/>
      <c r="AX410" s="140"/>
      <c r="AY410" s="140"/>
      <c r="AZ410" s="140"/>
      <c r="BA410" s="140"/>
      <c r="BB410" s="140"/>
      <c r="BC410" s="140"/>
      <c r="BD410" s="140"/>
      <c r="BE410" s="140"/>
      <c r="BF410" s="140"/>
      <c r="BG410" s="140"/>
      <c r="BH410" s="140"/>
      <c r="BI410" s="140"/>
      <c r="BJ410" s="140"/>
      <c r="BK410" s="140"/>
      <c r="BL410" s="140"/>
      <c r="BM410" s="140"/>
      <c r="BN410" s="140"/>
      <c r="BO410" s="140"/>
      <c r="BP410" s="140"/>
      <c r="BQ410" s="140"/>
      <c r="BR410" s="140"/>
      <c r="BS410" s="140"/>
      <c r="BT410" s="140"/>
      <c r="BU410" s="140"/>
      <c r="BV410" s="140"/>
      <c r="BW410" s="140"/>
      <c r="BX410" s="140"/>
      <c r="BY410" s="140"/>
    </row>
    <row r="411" ht="15.75" customHeight="1">
      <c r="A411" s="150"/>
      <c r="B411" s="140"/>
      <c r="C411" s="140"/>
      <c r="D411" s="140"/>
      <c r="E411" s="140"/>
      <c r="F411" s="140"/>
      <c r="G411" s="140"/>
      <c r="H411" s="140"/>
      <c r="I411" s="140"/>
      <c r="J411" s="140"/>
      <c r="K411" s="140"/>
      <c r="L411" s="140"/>
      <c r="M411" s="140"/>
      <c r="N411" s="140"/>
      <c r="O411" s="140"/>
      <c r="P411" s="140"/>
      <c r="Q411" s="140"/>
      <c r="R411" s="140"/>
      <c r="S411" s="140"/>
      <c r="T411" s="140"/>
      <c r="U411" s="140"/>
      <c r="V411" s="140"/>
      <c r="W411" s="140"/>
      <c r="X411" s="140"/>
      <c r="Y411" s="140"/>
      <c r="Z411" s="140"/>
      <c r="AA411" s="140"/>
      <c r="AB411" s="140"/>
      <c r="AC411" s="140"/>
      <c r="AD411" s="140"/>
      <c r="AE411" s="140"/>
      <c r="AF411" s="140"/>
      <c r="AG411" s="140"/>
      <c r="AH411" s="140"/>
      <c r="AI411" s="140"/>
      <c r="AJ411" s="140"/>
      <c r="AK411" s="140"/>
      <c r="AL411" s="140"/>
      <c r="AM411" s="140"/>
      <c r="AN411" s="140"/>
      <c r="AO411" s="140"/>
      <c r="AP411" s="140"/>
      <c r="AQ411" s="140"/>
      <c r="AR411" s="140"/>
      <c r="AS411" s="140"/>
      <c r="AT411" s="140"/>
      <c r="AU411" s="140"/>
      <c r="AV411" s="140"/>
      <c r="AW411" s="140"/>
      <c r="AX411" s="140"/>
      <c r="AY411" s="140"/>
      <c r="AZ411" s="140"/>
      <c r="BA411" s="140"/>
      <c r="BB411" s="140"/>
      <c r="BC411" s="140"/>
      <c r="BD411" s="140"/>
      <c r="BE411" s="140"/>
      <c r="BF411" s="140"/>
      <c r="BG411" s="140"/>
      <c r="BH411" s="140"/>
      <c r="BI411" s="140"/>
      <c r="BJ411" s="140"/>
      <c r="BK411" s="140"/>
      <c r="BL411" s="140"/>
      <c r="BM411" s="140"/>
      <c r="BN411" s="140"/>
      <c r="BO411" s="140"/>
      <c r="BP411" s="140"/>
      <c r="BQ411" s="140"/>
      <c r="BR411" s="140"/>
      <c r="BS411" s="140"/>
      <c r="BT411" s="140"/>
      <c r="BU411" s="140"/>
      <c r="BV411" s="140"/>
      <c r="BW411" s="140"/>
      <c r="BX411" s="140"/>
      <c r="BY411" s="140"/>
    </row>
    <row r="412" ht="15.75" customHeight="1">
      <c r="A412" s="150"/>
      <c r="B412" s="140"/>
      <c r="C412" s="140"/>
      <c r="D412" s="140"/>
      <c r="E412" s="140"/>
      <c r="F412" s="140"/>
      <c r="G412" s="140"/>
      <c r="H412" s="140"/>
      <c r="I412" s="140"/>
      <c r="J412" s="140"/>
      <c r="K412" s="140"/>
      <c r="L412" s="140"/>
      <c r="M412" s="140"/>
      <c r="N412" s="140"/>
      <c r="O412" s="140"/>
      <c r="P412" s="140"/>
      <c r="Q412" s="140"/>
      <c r="R412" s="140"/>
      <c r="S412" s="140"/>
      <c r="T412" s="140"/>
      <c r="U412" s="140"/>
      <c r="V412" s="140"/>
      <c r="W412" s="140"/>
      <c r="X412" s="140"/>
      <c r="Y412" s="140"/>
      <c r="Z412" s="140"/>
      <c r="AA412" s="140"/>
      <c r="AB412" s="140"/>
      <c r="AC412" s="140"/>
      <c r="AD412" s="140"/>
      <c r="AE412" s="140"/>
      <c r="AF412" s="140"/>
      <c r="AG412" s="140"/>
      <c r="AH412" s="140"/>
      <c r="AI412" s="140"/>
      <c r="AJ412" s="140"/>
      <c r="AK412" s="140"/>
      <c r="AL412" s="140"/>
      <c r="AM412" s="140"/>
      <c r="AN412" s="140"/>
      <c r="AO412" s="140"/>
      <c r="AP412" s="140"/>
      <c r="AQ412" s="140"/>
      <c r="AR412" s="140"/>
      <c r="AS412" s="140"/>
      <c r="AT412" s="140"/>
      <c r="AU412" s="140"/>
      <c r="AV412" s="140"/>
      <c r="AW412" s="140"/>
      <c r="AX412" s="140"/>
      <c r="AY412" s="140"/>
      <c r="AZ412" s="140"/>
      <c r="BA412" s="140"/>
      <c r="BB412" s="140"/>
      <c r="BC412" s="140"/>
      <c r="BD412" s="140"/>
      <c r="BE412" s="140"/>
      <c r="BF412" s="140"/>
      <c r="BG412" s="140"/>
      <c r="BH412" s="140"/>
      <c r="BI412" s="140"/>
      <c r="BJ412" s="140"/>
      <c r="BK412" s="140"/>
      <c r="BL412" s="140"/>
      <c r="BM412" s="140"/>
      <c r="BN412" s="140"/>
      <c r="BO412" s="140"/>
      <c r="BP412" s="140"/>
      <c r="BQ412" s="140"/>
      <c r="BR412" s="140"/>
      <c r="BS412" s="140"/>
      <c r="BT412" s="140"/>
      <c r="BU412" s="140"/>
      <c r="BV412" s="140"/>
      <c r="BW412" s="140"/>
      <c r="BX412" s="140"/>
      <c r="BY412" s="140"/>
    </row>
    <row r="413" ht="15.75" customHeight="1">
      <c r="A413" s="150"/>
      <c r="B413" s="140"/>
      <c r="C413" s="140"/>
      <c r="D413" s="140"/>
      <c r="E413" s="140"/>
      <c r="F413" s="140"/>
      <c r="G413" s="140"/>
      <c r="H413" s="140"/>
      <c r="I413" s="140"/>
      <c r="J413" s="140"/>
      <c r="K413" s="140"/>
      <c r="L413" s="140"/>
      <c r="M413" s="140"/>
      <c r="N413" s="140"/>
      <c r="O413" s="140"/>
      <c r="P413" s="140"/>
      <c r="Q413" s="140"/>
      <c r="R413" s="140"/>
      <c r="S413" s="140"/>
      <c r="T413" s="140"/>
      <c r="U413" s="140"/>
      <c r="V413" s="140"/>
      <c r="W413" s="140"/>
      <c r="X413" s="140"/>
      <c r="Y413" s="140"/>
      <c r="Z413" s="140"/>
      <c r="AA413" s="140"/>
      <c r="AB413" s="140"/>
      <c r="AC413" s="140"/>
      <c r="AD413" s="140"/>
      <c r="AE413" s="140"/>
      <c r="AF413" s="140"/>
      <c r="AG413" s="140"/>
      <c r="AH413" s="140"/>
      <c r="AI413" s="140"/>
      <c r="AJ413" s="140"/>
      <c r="AK413" s="140"/>
      <c r="AL413" s="140"/>
      <c r="AM413" s="140"/>
      <c r="AN413" s="140"/>
      <c r="AO413" s="140"/>
      <c r="AP413" s="140"/>
      <c r="AQ413" s="140"/>
      <c r="AR413" s="140"/>
      <c r="AS413" s="140"/>
      <c r="AT413" s="140"/>
      <c r="AU413" s="140"/>
      <c r="AV413" s="140"/>
      <c r="AW413" s="140"/>
      <c r="AX413" s="140"/>
      <c r="AY413" s="140"/>
      <c r="AZ413" s="140"/>
      <c r="BA413" s="140"/>
      <c r="BB413" s="140"/>
      <c r="BC413" s="140"/>
      <c r="BD413" s="140"/>
      <c r="BE413" s="140"/>
      <c r="BF413" s="140"/>
      <c r="BG413" s="140"/>
      <c r="BH413" s="140"/>
      <c r="BI413" s="140"/>
      <c r="BJ413" s="140"/>
      <c r="BK413" s="140"/>
      <c r="BL413" s="140"/>
      <c r="BM413" s="140"/>
      <c r="BN413" s="140"/>
      <c r="BO413" s="140"/>
      <c r="BP413" s="140"/>
      <c r="BQ413" s="140"/>
      <c r="BR413" s="140"/>
      <c r="BS413" s="140"/>
      <c r="BT413" s="140"/>
      <c r="BU413" s="140"/>
      <c r="BV413" s="140"/>
      <c r="BW413" s="140"/>
      <c r="BX413" s="140"/>
      <c r="BY413" s="140"/>
    </row>
    <row r="414" ht="15.75" customHeight="1">
      <c r="A414" s="150"/>
      <c r="B414" s="140"/>
      <c r="C414" s="140"/>
      <c r="D414" s="140"/>
      <c r="E414" s="140"/>
      <c r="F414" s="140"/>
      <c r="G414" s="140"/>
      <c r="H414" s="140"/>
      <c r="I414" s="140"/>
      <c r="J414" s="140"/>
      <c r="K414" s="140"/>
      <c r="L414" s="140"/>
      <c r="M414" s="140"/>
      <c r="N414" s="140"/>
      <c r="O414" s="140"/>
      <c r="P414" s="140"/>
      <c r="Q414" s="140"/>
      <c r="R414" s="140"/>
      <c r="S414" s="140"/>
      <c r="T414" s="140"/>
      <c r="U414" s="140"/>
      <c r="V414" s="140"/>
      <c r="W414" s="140"/>
      <c r="X414" s="140"/>
      <c r="Y414" s="140"/>
      <c r="Z414" s="140"/>
      <c r="AA414" s="140"/>
      <c r="AB414" s="140"/>
      <c r="AC414" s="140"/>
      <c r="AD414" s="140"/>
      <c r="AE414" s="140"/>
      <c r="AF414" s="140"/>
      <c r="AG414" s="140"/>
      <c r="AH414" s="140"/>
      <c r="AI414" s="140"/>
      <c r="AJ414" s="140"/>
      <c r="AK414" s="140"/>
      <c r="AL414" s="140"/>
      <c r="AM414" s="140"/>
      <c r="AN414" s="140"/>
      <c r="AO414" s="140"/>
      <c r="AP414" s="140"/>
      <c r="AQ414" s="140"/>
      <c r="AR414" s="140"/>
      <c r="AS414" s="140"/>
      <c r="AT414" s="140"/>
      <c r="AU414" s="140"/>
      <c r="AV414" s="140"/>
      <c r="AW414" s="140"/>
      <c r="AX414" s="140"/>
      <c r="AY414" s="140"/>
      <c r="AZ414" s="140"/>
      <c r="BA414" s="140"/>
      <c r="BB414" s="140"/>
      <c r="BC414" s="140"/>
      <c r="BD414" s="140"/>
      <c r="BE414" s="140"/>
      <c r="BF414" s="140"/>
      <c r="BG414" s="140"/>
      <c r="BH414" s="140"/>
      <c r="BI414" s="140"/>
      <c r="BJ414" s="140"/>
      <c r="BK414" s="140"/>
      <c r="BL414" s="140"/>
      <c r="BM414" s="140"/>
      <c r="BN414" s="140"/>
      <c r="BO414" s="140"/>
      <c r="BP414" s="140"/>
      <c r="BQ414" s="140"/>
      <c r="BR414" s="140"/>
      <c r="BS414" s="140"/>
      <c r="BT414" s="140"/>
      <c r="BU414" s="140"/>
      <c r="BV414" s="140"/>
      <c r="BW414" s="140"/>
      <c r="BX414" s="140"/>
      <c r="BY414" s="140"/>
    </row>
    <row r="415" ht="15.75" customHeight="1">
      <c r="A415" s="150"/>
      <c r="B415" s="140"/>
      <c r="C415" s="140"/>
      <c r="D415" s="140"/>
      <c r="E415" s="140"/>
      <c r="F415" s="140"/>
      <c r="G415" s="140"/>
      <c r="H415" s="140"/>
      <c r="I415" s="140"/>
      <c r="J415" s="140"/>
      <c r="K415" s="140"/>
      <c r="L415" s="140"/>
      <c r="M415" s="140"/>
      <c r="N415" s="140"/>
      <c r="O415" s="140"/>
      <c r="P415" s="140"/>
      <c r="Q415" s="140"/>
      <c r="R415" s="140"/>
      <c r="S415" s="140"/>
      <c r="T415" s="140"/>
      <c r="U415" s="140"/>
      <c r="V415" s="140"/>
      <c r="W415" s="140"/>
      <c r="X415" s="140"/>
      <c r="Y415" s="140"/>
      <c r="Z415" s="140"/>
      <c r="AA415" s="140"/>
      <c r="AB415" s="140"/>
      <c r="AC415" s="140"/>
      <c r="AD415" s="140"/>
      <c r="AE415" s="140"/>
      <c r="AF415" s="140"/>
      <c r="AG415" s="140"/>
      <c r="AH415" s="140"/>
      <c r="AI415" s="140"/>
      <c r="AJ415" s="140"/>
      <c r="AK415" s="140"/>
      <c r="AL415" s="140"/>
      <c r="AM415" s="140"/>
      <c r="AN415" s="140"/>
      <c r="AO415" s="140"/>
      <c r="AP415" s="140"/>
      <c r="AQ415" s="140"/>
      <c r="AR415" s="140"/>
      <c r="AS415" s="140"/>
      <c r="AT415" s="140"/>
      <c r="AU415" s="140"/>
      <c r="AV415" s="140"/>
      <c r="AW415" s="140"/>
      <c r="AX415" s="140"/>
      <c r="AY415" s="140"/>
      <c r="AZ415" s="140"/>
      <c r="BA415" s="140"/>
      <c r="BB415" s="140"/>
      <c r="BC415" s="140"/>
      <c r="BD415" s="140"/>
      <c r="BE415" s="140"/>
      <c r="BF415" s="140"/>
      <c r="BG415" s="140"/>
      <c r="BH415" s="140"/>
      <c r="BI415" s="140"/>
      <c r="BJ415" s="140"/>
      <c r="BK415" s="140"/>
      <c r="BL415" s="140"/>
      <c r="BM415" s="140"/>
      <c r="BN415" s="140"/>
      <c r="BO415" s="140"/>
      <c r="BP415" s="140"/>
      <c r="BQ415" s="140"/>
      <c r="BR415" s="140"/>
      <c r="BS415" s="140"/>
      <c r="BT415" s="140"/>
      <c r="BU415" s="140"/>
      <c r="BV415" s="140"/>
      <c r="BW415" s="140"/>
      <c r="BX415" s="140"/>
      <c r="BY415" s="140"/>
    </row>
    <row r="416" ht="15.75" customHeight="1">
      <c r="A416" s="150"/>
      <c r="B416" s="140"/>
      <c r="C416" s="140"/>
      <c r="D416" s="140"/>
      <c r="E416" s="140"/>
      <c r="F416" s="140"/>
      <c r="G416" s="140"/>
      <c r="H416" s="140"/>
      <c r="I416" s="140"/>
      <c r="J416" s="140"/>
      <c r="K416" s="140"/>
      <c r="L416" s="140"/>
      <c r="M416" s="140"/>
      <c r="N416" s="140"/>
      <c r="O416" s="140"/>
      <c r="P416" s="140"/>
      <c r="Q416" s="140"/>
      <c r="R416" s="140"/>
      <c r="S416" s="140"/>
      <c r="T416" s="140"/>
      <c r="U416" s="140"/>
      <c r="V416" s="140"/>
      <c r="W416" s="140"/>
      <c r="X416" s="140"/>
      <c r="Y416" s="140"/>
      <c r="Z416" s="140"/>
      <c r="AA416" s="140"/>
      <c r="AB416" s="140"/>
      <c r="AC416" s="140"/>
      <c r="AD416" s="140"/>
      <c r="AE416" s="140"/>
      <c r="AF416" s="140"/>
      <c r="AG416" s="140"/>
      <c r="AH416" s="140"/>
      <c r="AI416" s="140"/>
      <c r="AJ416" s="140"/>
      <c r="AK416" s="140"/>
      <c r="AL416" s="140"/>
      <c r="AM416" s="140"/>
      <c r="AN416" s="140"/>
      <c r="AO416" s="140"/>
      <c r="AP416" s="140"/>
      <c r="AQ416" s="140"/>
      <c r="AR416" s="140"/>
      <c r="AS416" s="140"/>
      <c r="AT416" s="140"/>
      <c r="AU416" s="140"/>
      <c r="AV416" s="140"/>
      <c r="AW416" s="140"/>
      <c r="AX416" s="140"/>
      <c r="AY416" s="140"/>
      <c r="AZ416" s="140"/>
      <c r="BA416" s="140"/>
      <c r="BB416" s="140"/>
      <c r="BC416" s="140"/>
      <c r="BD416" s="140"/>
      <c r="BE416" s="140"/>
      <c r="BF416" s="140"/>
      <c r="BG416" s="140"/>
      <c r="BH416" s="140"/>
      <c r="BI416" s="140"/>
      <c r="BJ416" s="140"/>
      <c r="BK416" s="140"/>
      <c r="BL416" s="140"/>
      <c r="BM416" s="140"/>
      <c r="BN416" s="140"/>
      <c r="BO416" s="140"/>
      <c r="BP416" s="140"/>
      <c r="BQ416" s="140"/>
      <c r="BR416" s="140"/>
      <c r="BS416" s="140"/>
      <c r="BT416" s="140"/>
      <c r="BU416" s="140"/>
      <c r="BV416" s="140"/>
      <c r="BW416" s="140"/>
      <c r="BX416" s="140"/>
      <c r="BY416" s="140"/>
    </row>
    <row r="417" ht="15.75" customHeight="1">
      <c r="A417" s="150"/>
      <c r="B417" s="140"/>
      <c r="C417" s="140"/>
      <c r="D417" s="140"/>
      <c r="E417" s="140"/>
      <c r="F417" s="140"/>
      <c r="G417" s="140"/>
      <c r="H417" s="140"/>
      <c r="I417" s="140"/>
      <c r="J417" s="140"/>
      <c r="K417" s="140"/>
      <c r="L417" s="140"/>
      <c r="M417" s="140"/>
      <c r="N417" s="140"/>
      <c r="O417" s="140"/>
      <c r="P417" s="140"/>
      <c r="Q417" s="140"/>
      <c r="R417" s="140"/>
      <c r="S417" s="140"/>
      <c r="T417" s="140"/>
      <c r="U417" s="140"/>
      <c r="V417" s="140"/>
      <c r="W417" s="140"/>
      <c r="X417" s="140"/>
      <c r="Y417" s="140"/>
      <c r="Z417" s="140"/>
      <c r="AA417" s="140"/>
      <c r="AB417" s="140"/>
      <c r="AC417" s="140"/>
      <c r="AD417" s="140"/>
      <c r="AE417" s="140"/>
      <c r="AF417" s="140"/>
      <c r="AG417" s="140"/>
      <c r="AH417" s="140"/>
      <c r="AI417" s="140"/>
      <c r="AJ417" s="140"/>
      <c r="AK417" s="140"/>
      <c r="AL417" s="140"/>
      <c r="AM417" s="140"/>
      <c r="AN417" s="140"/>
      <c r="AO417" s="140"/>
      <c r="AP417" s="140"/>
      <c r="AQ417" s="140"/>
      <c r="AR417" s="140"/>
      <c r="AS417" s="140"/>
      <c r="AT417" s="140"/>
      <c r="AU417" s="140"/>
      <c r="AV417" s="140"/>
      <c r="AW417" s="140"/>
      <c r="AX417" s="140"/>
      <c r="AY417" s="140"/>
      <c r="AZ417" s="140"/>
      <c r="BA417" s="140"/>
      <c r="BB417" s="140"/>
      <c r="BC417" s="140"/>
      <c r="BD417" s="140"/>
      <c r="BE417" s="140"/>
      <c r="BF417" s="140"/>
      <c r="BG417" s="140"/>
      <c r="BH417" s="140"/>
      <c r="BI417" s="140"/>
      <c r="BJ417" s="140"/>
      <c r="BK417" s="140"/>
      <c r="BL417" s="140"/>
      <c r="BM417" s="140"/>
      <c r="BN417" s="140"/>
      <c r="BO417" s="140"/>
      <c r="BP417" s="140"/>
      <c r="BQ417" s="140"/>
      <c r="BR417" s="140"/>
      <c r="BS417" s="140"/>
      <c r="BT417" s="140"/>
      <c r="BU417" s="140"/>
      <c r="BV417" s="140"/>
      <c r="BW417" s="140"/>
      <c r="BX417" s="140"/>
      <c r="BY417" s="140"/>
    </row>
    <row r="418" ht="15.75" customHeight="1">
      <c r="A418" s="150"/>
      <c r="B418" s="140"/>
      <c r="C418" s="140"/>
      <c r="D418" s="140"/>
      <c r="E418" s="140"/>
      <c r="F418" s="140"/>
      <c r="G418" s="140"/>
      <c r="H418" s="140"/>
      <c r="I418" s="140"/>
      <c r="J418" s="140"/>
      <c r="K418" s="140"/>
      <c r="L418" s="140"/>
      <c r="M418" s="140"/>
      <c r="N418" s="140"/>
      <c r="O418" s="140"/>
      <c r="P418" s="140"/>
      <c r="Q418" s="140"/>
      <c r="R418" s="140"/>
      <c r="S418" s="140"/>
      <c r="T418" s="140"/>
      <c r="U418" s="140"/>
      <c r="V418" s="140"/>
      <c r="W418" s="140"/>
      <c r="X418" s="140"/>
      <c r="Y418" s="140"/>
      <c r="Z418" s="140"/>
      <c r="AA418" s="140"/>
      <c r="AB418" s="140"/>
      <c r="AC418" s="140"/>
      <c r="AD418" s="140"/>
      <c r="AE418" s="140"/>
      <c r="AF418" s="140"/>
      <c r="AG418" s="140"/>
      <c r="AH418" s="140"/>
      <c r="AI418" s="140"/>
      <c r="AJ418" s="140"/>
      <c r="AK418" s="140"/>
      <c r="AL418" s="140"/>
      <c r="AM418" s="140"/>
      <c r="AN418" s="140"/>
      <c r="AO418" s="140"/>
      <c r="AP418" s="140"/>
      <c r="AQ418" s="140"/>
      <c r="AR418" s="140"/>
      <c r="AS418" s="140"/>
      <c r="AT418" s="140"/>
      <c r="AU418" s="140"/>
      <c r="AV418" s="140"/>
      <c r="AW418" s="140"/>
      <c r="AX418" s="140"/>
      <c r="AY418" s="140"/>
      <c r="AZ418" s="140"/>
      <c r="BA418" s="140"/>
      <c r="BB418" s="140"/>
      <c r="BC418" s="140"/>
      <c r="BD418" s="140"/>
      <c r="BE418" s="140"/>
      <c r="BF418" s="140"/>
      <c r="BG418" s="140"/>
      <c r="BH418" s="140"/>
      <c r="BI418" s="140"/>
      <c r="BJ418" s="140"/>
      <c r="BK418" s="140"/>
      <c r="BL418" s="140"/>
      <c r="BM418" s="140"/>
      <c r="BN418" s="140"/>
      <c r="BO418" s="140"/>
      <c r="BP418" s="140"/>
      <c r="BQ418" s="140"/>
      <c r="BR418" s="140"/>
      <c r="BS418" s="140"/>
      <c r="BT418" s="140"/>
      <c r="BU418" s="140"/>
      <c r="BV418" s="140"/>
      <c r="BW418" s="140"/>
      <c r="BX418" s="140"/>
      <c r="BY418" s="140"/>
    </row>
    <row r="419" ht="15.75" customHeight="1">
      <c r="A419" s="150"/>
      <c r="B419" s="140"/>
      <c r="C419" s="140"/>
      <c r="D419" s="140"/>
      <c r="E419" s="140"/>
      <c r="F419" s="140"/>
      <c r="G419" s="140"/>
      <c r="H419" s="140"/>
      <c r="I419" s="140"/>
      <c r="J419" s="140"/>
      <c r="K419" s="140"/>
      <c r="L419" s="140"/>
      <c r="M419" s="140"/>
      <c r="N419" s="140"/>
      <c r="O419" s="140"/>
      <c r="P419" s="140"/>
      <c r="Q419" s="140"/>
      <c r="R419" s="140"/>
      <c r="S419" s="140"/>
      <c r="T419" s="140"/>
      <c r="U419" s="140"/>
      <c r="V419" s="140"/>
      <c r="W419" s="140"/>
      <c r="X419" s="140"/>
      <c r="Y419" s="140"/>
      <c r="Z419" s="140"/>
      <c r="AA419" s="140"/>
      <c r="AB419" s="140"/>
      <c r="AC419" s="140"/>
      <c r="AD419" s="140"/>
      <c r="AE419" s="140"/>
      <c r="AF419" s="140"/>
      <c r="AG419" s="140"/>
      <c r="AH419" s="140"/>
      <c r="AI419" s="140"/>
      <c r="AJ419" s="140"/>
      <c r="AK419" s="140"/>
      <c r="AL419" s="140"/>
      <c r="AM419" s="140"/>
      <c r="AN419" s="140"/>
      <c r="AO419" s="140"/>
      <c r="AP419" s="140"/>
      <c r="AQ419" s="140"/>
      <c r="AR419" s="140"/>
      <c r="AS419" s="140"/>
      <c r="AT419" s="140"/>
      <c r="AU419" s="140"/>
      <c r="AV419" s="140"/>
      <c r="AW419" s="140"/>
      <c r="AX419" s="140"/>
      <c r="AY419" s="140"/>
      <c r="AZ419" s="140"/>
      <c r="BA419" s="140"/>
      <c r="BB419" s="140"/>
      <c r="BC419" s="140"/>
      <c r="BD419" s="140"/>
      <c r="BE419" s="140"/>
      <c r="BF419" s="140"/>
      <c r="BG419" s="140"/>
      <c r="BH419" s="140"/>
      <c r="BI419" s="140"/>
      <c r="BJ419" s="140"/>
      <c r="BK419" s="140"/>
      <c r="BL419" s="140"/>
      <c r="BM419" s="140"/>
      <c r="BN419" s="140"/>
      <c r="BO419" s="140"/>
      <c r="BP419" s="140"/>
      <c r="BQ419" s="140"/>
      <c r="BR419" s="140"/>
      <c r="BS419" s="140"/>
      <c r="BT419" s="140"/>
      <c r="BU419" s="140"/>
      <c r="BV419" s="140"/>
      <c r="BW419" s="140"/>
      <c r="BX419" s="140"/>
      <c r="BY419" s="140"/>
    </row>
    <row r="420" ht="15.75" customHeight="1">
      <c r="A420" s="150"/>
      <c r="B420" s="140"/>
      <c r="C420" s="140"/>
      <c r="D420" s="140"/>
      <c r="E420" s="140"/>
      <c r="F420" s="140"/>
      <c r="G420" s="140"/>
      <c r="H420" s="140"/>
      <c r="I420" s="140"/>
      <c r="J420" s="140"/>
      <c r="K420" s="140"/>
      <c r="L420" s="140"/>
      <c r="M420" s="140"/>
      <c r="N420" s="140"/>
      <c r="O420" s="140"/>
      <c r="P420" s="140"/>
      <c r="Q420" s="140"/>
      <c r="R420" s="140"/>
      <c r="S420" s="140"/>
      <c r="T420" s="140"/>
      <c r="U420" s="140"/>
      <c r="V420" s="140"/>
      <c r="W420" s="140"/>
      <c r="X420" s="140"/>
      <c r="Y420" s="140"/>
      <c r="Z420" s="140"/>
      <c r="AA420" s="140"/>
      <c r="AB420" s="140"/>
      <c r="AC420" s="140"/>
      <c r="AD420" s="140"/>
      <c r="AE420" s="140"/>
      <c r="AF420" s="140"/>
      <c r="AG420" s="140"/>
      <c r="AH420" s="140"/>
      <c r="AI420" s="140"/>
      <c r="AJ420" s="140"/>
      <c r="AK420" s="140"/>
      <c r="AL420" s="140"/>
      <c r="AM420" s="140"/>
      <c r="AN420" s="140"/>
      <c r="AO420" s="140"/>
      <c r="AP420" s="140"/>
      <c r="AQ420" s="140"/>
      <c r="AR420" s="140"/>
      <c r="AS420" s="140"/>
      <c r="AT420" s="140"/>
      <c r="AU420" s="140"/>
      <c r="AV420" s="140"/>
      <c r="AW420" s="140"/>
      <c r="AX420" s="140"/>
      <c r="AY420" s="140"/>
      <c r="AZ420" s="140"/>
      <c r="BA420" s="140"/>
      <c r="BB420" s="140"/>
      <c r="BC420" s="140"/>
      <c r="BD420" s="140"/>
      <c r="BE420" s="140"/>
      <c r="BF420" s="140"/>
      <c r="BG420" s="140"/>
      <c r="BH420" s="140"/>
      <c r="BI420" s="140"/>
      <c r="BJ420" s="140"/>
      <c r="BK420" s="140"/>
      <c r="BL420" s="140"/>
      <c r="BM420" s="140"/>
      <c r="BN420" s="140"/>
      <c r="BO420" s="140"/>
      <c r="BP420" s="140"/>
      <c r="BQ420" s="140"/>
      <c r="BR420" s="140"/>
      <c r="BS420" s="140"/>
      <c r="BT420" s="140"/>
      <c r="BU420" s="140"/>
      <c r="BV420" s="140"/>
      <c r="BW420" s="140"/>
      <c r="BX420" s="140"/>
      <c r="BY420" s="140"/>
    </row>
    <row r="421" ht="15.75" customHeight="1">
      <c r="A421" s="150"/>
      <c r="B421" s="140"/>
      <c r="C421" s="140"/>
      <c r="D421" s="140"/>
      <c r="E421" s="140"/>
      <c r="F421" s="140"/>
      <c r="G421" s="140"/>
      <c r="H421" s="140"/>
      <c r="I421" s="140"/>
      <c r="J421" s="140"/>
      <c r="K421" s="140"/>
      <c r="L421" s="140"/>
      <c r="M421" s="140"/>
      <c r="N421" s="140"/>
      <c r="O421" s="140"/>
      <c r="P421" s="140"/>
      <c r="Q421" s="140"/>
      <c r="R421" s="140"/>
      <c r="S421" s="140"/>
      <c r="T421" s="140"/>
      <c r="U421" s="140"/>
      <c r="V421" s="140"/>
      <c r="W421" s="140"/>
      <c r="X421" s="140"/>
      <c r="Y421" s="140"/>
      <c r="Z421" s="140"/>
      <c r="AA421" s="140"/>
      <c r="AB421" s="140"/>
      <c r="AC421" s="140"/>
      <c r="AD421" s="140"/>
      <c r="AE421" s="140"/>
      <c r="AF421" s="140"/>
      <c r="AG421" s="140"/>
      <c r="AH421" s="140"/>
      <c r="AI421" s="140"/>
      <c r="AJ421" s="140"/>
      <c r="AK421" s="140"/>
      <c r="AL421" s="140"/>
      <c r="AM421" s="140"/>
      <c r="AN421" s="140"/>
      <c r="AO421" s="140"/>
      <c r="AP421" s="140"/>
      <c r="AQ421" s="140"/>
      <c r="AR421" s="140"/>
      <c r="AS421" s="140"/>
      <c r="AT421" s="140"/>
      <c r="AU421" s="140"/>
      <c r="AV421" s="140"/>
      <c r="AW421" s="140"/>
      <c r="AX421" s="140"/>
      <c r="AY421" s="140"/>
      <c r="AZ421" s="140"/>
      <c r="BA421" s="140"/>
      <c r="BB421" s="140"/>
      <c r="BC421" s="140"/>
      <c r="BD421" s="140"/>
      <c r="BE421" s="140"/>
      <c r="BF421" s="140"/>
      <c r="BG421" s="140"/>
      <c r="BH421" s="140"/>
      <c r="BI421" s="140"/>
      <c r="BJ421" s="140"/>
      <c r="BK421" s="140"/>
      <c r="BL421" s="140"/>
      <c r="BM421" s="140"/>
      <c r="BN421" s="140"/>
      <c r="BO421" s="140"/>
      <c r="BP421" s="140"/>
      <c r="BQ421" s="140"/>
      <c r="BR421" s="140"/>
      <c r="BS421" s="140"/>
      <c r="BT421" s="140"/>
      <c r="BU421" s="140"/>
      <c r="BV421" s="140"/>
      <c r="BW421" s="140"/>
      <c r="BX421" s="140"/>
      <c r="BY421" s="140"/>
    </row>
    <row r="422" ht="15.75" customHeight="1">
      <c r="A422" s="150"/>
      <c r="B422" s="140"/>
      <c r="C422" s="140"/>
      <c r="D422" s="140"/>
      <c r="E422" s="140"/>
      <c r="F422" s="140"/>
      <c r="G422" s="140"/>
      <c r="H422" s="140"/>
      <c r="I422" s="140"/>
      <c r="J422" s="140"/>
      <c r="K422" s="140"/>
      <c r="L422" s="140"/>
      <c r="M422" s="140"/>
      <c r="N422" s="140"/>
      <c r="O422" s="140"/>
      <c r="P422" s="140"/>
      <c r="Q422" s="140"/>
      <c r="R422" s="140"/>
      <c r="S422" s="140"/>
      <c r="T422" s="140"/>
      <c r="U422" s="140"/>
      <c r="V422" s="140"/>
      <c r="W422" s="140"/>
      <c r="X422" s="140"/>
      <c r="Y422" s="140"/>
      <c r="Z422" s="140"/>
      <c r="AA422" s="140"/>
      <c r="AB422" s="140"/>
      <c r="AC422" s="140"/>
      <c r="AD422" s="140"/>
      <c r="AE422" s="140"/>
      <c r="AF422" s="140"/>
      <c r="AG422" s="140"/>
      <c r="AH422" s="140"/>
      <c r="AI422" s="140"/>
      <c r="AJ422" s="140"/>
      <c r="AK422" s="140"/>
      <c r="AL422" s="140"/>
      <c r="AM422" s="140"/>
      <c r="AN422" s="140"/>
      <c r="AO422" s="140"/>
      <c r="AP422" s="140"/>
      <c r="AQ422" s="140"/>
      <c r="AR422" s="140"/>
      <c r="AS422" s="140"/>
      <c r="AT422" s="140"/>
      <c r="AU422" s="140"/>
      <c r="AV422" s="140"/>
      <c r="AW422" s="140"/>
      <c r="AX422" s="140"/>
      <c r="AY422" s="140"/>
      <c r="AZ422" s="140"/>
      <c r="BA422" s="140"/>
      <c r="BB422" s="140"/>
      <c r="BC422" s="140"/>
      <c r="BD422" s="140"/>
      <c r="BE422" s="140"/>
      <c r="BF422" s="140"/>
      <c r="BG422" s="140"/>
      <c r="BH422" s="140"/>
      <c r="BI422" s="140"/>
      <c r="BJ422" s="140"/>
      <c r="BK422" s="140"/>
      <c r="BL422" s="140"/>
      <c r="BM422" s="140"/>
      <c r="BN422" s="140"/>
      <c r="BO422" s="140"/>
      <c r="BP422" s="140"/>
      <c r="BQ422" s="140"/>
      <c r="BR422" s="140"/>
      <c r="BS422" s="140"/>
      <c r="BT422" s="140"/>
      <c r="BU422" s="140"/>
      <c r="BV422" s="140"/>
      <c r="BW422" s="140"/>
      <c r="BX422" s="140"/>
      <c r="BY422" s="140"/>
    </row>
    <row r="423" ht="15.75" customHeight="1">
      <c r="A423" s="150"/>
      <c r="B423" s="140"/>
      <c r="C423" s="140"/>
      <c r="D423" s="140"/>
      <c r="E423" s="140"/>
      <c r="F423" s="140"/>
      <c r="G423" s="140"/>
      <c r="H423" s="140"/>
      <c r="I423" s="140"/>
      <c r="J423" s="140"/>
      <c r="K423" s="140"/>
      <c r="L423" s="140"/>
      <c r="M423" s="140"/>
      <c r="N423" s="140"/>
      <c r="O423" s="140"/>
      <c r="P423" s="140"/>
      <c r="Q423" s="140"/>
      <c r="R423" s="140"/>
      <c r="S423" s="140"/>
      <c r="T423" s="140"/>
      <c r="U423" s="140"/>
      <c r="V423" s="140"/>
      <c r="W423" s="140"/>
      <c r="X423" s="140"/>
      <c r="Y423" s="140"/>
      <c r="Z423" s="140"/>
      <c r="AA423" s="140"/>
      <c r="AB423" s="140"/>
      <c r="AC423" s="140"/>
      <c r="AD423" s="140"/>
      <c r="AE423" s="140"/>
      <c r="AF423" s="140"/>
      <c r="AG423" s="140"/>
      <c r="AH423" s="140"/>
      <c r="AI423" s="140"/>
      <c r="AJ423" s="140"/>
      <c r="AK423" s="140"/>
      <c r="AL423" s="140"/>
      <c r="AM423" s="140"/>
      <c r="AN423" s="140"/>
      <c r="AO423" s="140"/>
      <c r="AP423" s="140"/>
      <c r="AQ423" s="140"/>
      <c r="AR423" s="140"/>
      <c r="AS423" s="140"/>
      <c r="AT423" s="140"/>
      <c r="AU423" s="140"/>
      <c r="AV423" s="140"/>
      <c r="AW423" s="140"/>
      <c r="AX423" s="140"/>
      <c r="AY423" s="140"/>
      <c r="AZ423" s="140"/>
      <c r="BA423" s="140"/>
      <c r="BB423" s="140"/>
      <c r="BC423" s="140"/>
      <c r="BD423" s="140"/>
      <c r="BE423" s="140"/>
      <c r="BF423" s="140"/>
      <c r="BG423" s="140"/>
      <c r="BH423" s="140"/>
      <c r="BI423" s="140"/>
      <c r="BJ423" s="140"/>
      <c r="BK423" s="140"/>
      <c r="BL423" s="140"/>
      <c r="BM423" s="140"/>
      <c r="BN423" s="140"/>
      <c r="BO423" s="140"/>
      <c r="BP423" s="140"/>
      <c r="BQ423" s="140"/>
      <c r="BR423" s="140"/>
      <c r="BS423" s="140"/>
      <c r="BT423" s="140"/>
      <c r="BU423" s="140"/>
      <c r="BV423" s="140"/>
      <c r="BW423" s="140"/>
      <c r="BX423" s="140"/>
      <c r="BY423" s="140"/>
    </row>
    <row r="424" ht="15.75" customHeight="1">
      <c r="A424" s="150"/>
      <c r="B424" s="140"/>
      <c r="C424" s="140"/>
      <c r="D424" s="140"/>
      <c r="E424" s="140"/>
      <c r="F424" s="140"/>
      <c r="G424" s="140"/>
      <c r="H424" s="140"/>
      <c r="I424" s="140"/>
      <c r="J424" s="140"/>
      <c r="K424" s="140"/>
      <c r="L424" s="140"/>
      <c r="M424" s="140"/>
      <c r="N424" s="140"/>
      <c r="O424" s="140"/>
      <c r="P424" s="140"/>
      <c r="Q424" s="140"/>
      <c r="R424" s="140"/>
      <c r="S424" s="140"/>
      <c r="T424" s="140"/>
      <c r="U424" s="140"/>
      <c r="V424" s="140"/>
      <c r="W424" s="140"/>
      <c r="X424" s="140"/>
      <c r="Y424" s="140"/>
      <c r="Z424" s="140"/>
      <c r="AA424" s="140"/>
      <c r="AB424" s="140"/>
      <c r="AC424" s="140"/>
      <c r="AD424" s="140"/>
      <c r="AE424" s="140"/>
      <c r="AF424" s="140"/>
      <c r="AG424" s="140"/>
      <c r="AH424" s="140"/>
      <c r="AI424" s="140"/>
      <c r="AJ424" s="140"/>
      <c r="AK424" s="140"/>
      <c r="AL424" s="140"/>
      <c r="AM424" s="140"/>
      <c r="AN424" s="140"/>
      <c r="AO424" s="140"/>
      <c r="AP424" s="140"/>
      <c r="AQ424" s="140"/>
      <c r="AR424" s="140"/>
      <c r="AS424" s="140"/>
      <c r="AT424" s="140"/>
      <c r="AU424" s="140"/>
      <c r="AV424" s="140"/>
      <c r="AW424" s="140"/>
      <c r="AX424" s="140"/>
      <c r="AY424" s="140"/>
      <c r="AZ424" s="140"/>
      <c r="BA424" s="140"/>
      <c r="BB424" s="140"/>
      <c r="BC424" s="140"/>
      <c r="BD424" s="140"/>
      <c r="BE424" s="140"/>
      <c r="BF424" s="140"/>
      <c r="BG424" s="140"/>
      <c r="BH424" s="140"/>
      <c r="BI424" s="140"/>
      <c r="BJ424" s="140"/>
      <c r="BK424" s="140"/>
      <c r="BL424" s="140"/>
      <c r="BM424" s="140"/>
      <c r="BN424" s="140"/>
      <c r="BO424" s="140"/>
      <c r="BP424" s="140"/>
      <c r="BQ424" s="140"/>
      <c r="BR424" s="140"/>
      <c r="BS424" s="140"/>
      <c r="BT424" s="140"/>
      <c r="BU424" s="140"/>
      <c r="BV424" s="140"/>
      <c r="BW424" s="140"/>
      <c r="BX424" s="140"/>
      <c r="BY424" s="140"/>
    </row>
    <row r="425" ht="15.75" customHeight="1">
      <c r="A425" s="150"/>
      <c r="B425" s="140"/>
      <c r="C425" s="140"/>
      <c r="D425" s="140"/>
      <c r="E425" s="140"/>
      <c r="F425" s="140"/>
      <c r="G425" s="140"/>
      <c r="H425" s="140"/>
      <c r="I425" s="140"/>
      <c r="J425" s="140"/>
      <c r="K425" s="140"/>
      <c r="L425" s="140"/>
      <c r="M425" s="140"/>
      <c r="N425" s="140"/>
      <c r="O425" s="140"/>
      <c r="P425" s="140"/>
      <c r="Q425" s="140"/>
      <c r="R425" s="140"/>
      <c r="S425" s="140"/>
      <c r="T425" s="140"/>
      <c r="U425" s="140"/>
      <c r="V425" s="140"/>
      <c r="W425" s="140"/>
      <c r="X425" s="140"/>
      <c r="Y425" s="140"/>
      <c r="Z425" s="140"/>
      <c r="AA425" s="140"/>
      <c r="AB425" s="140"/>
      <c r="AC425" s="140"/>
      <c r="AD425" s="140"/>
      <c r="AE425" s="140"/>
      <c r="AF425" s="140"/>
      <c r="AG425" s="140"/>
      <c r="AH425" s="140"/>
      <c r="AI425" s="140"/>
      <c r="AJ425" s="140"/>
      <c r="AK425" s="140"/>
      <c r="AL425" s="140"/>
      <c r="AM425" s="140"/>
      <c r="AN425" s="140"/>
      <c r="AO425" s="140"/>
      <c r="AP425" s="140"/>
      <c r="AQ425" s="140"/>
      <c r="AR425" s="140"/>
      <c r="AS425" s="140"/>
      <c r="AT425" s="140"/>
      <c r="AU425" s="140"/>
      <c r="AV425" s="140"/>
      <c r="AW425" s="140"/>
      <c r="AX425" s="140"/>
      <c r="AY425" s="140"/>
      <c r="AZ425" s="140"/>
      <c r="BA425" s="140"/>
      <c r="BB425" s="140"/>
      <c r="BC425" s="140"/>
      <c r="BD425" s="140"/>
      <c r="BE425" s="140"/>
      <c r="BF425" s="140"/>
      <c r="BG425" s="140"/>
      <c r="BH425" s="140"/>
      <c r="BI425" s="140"/>
      <c r="BJ425" s="140"/>
      <c r="BK425" s="140"/>
      <c r="BL425" s="140"/>
      <c r="BM425" s="140"/>
      <c r="BN425" s="140"/>
      <c r="BO425" s="140"/>
      <c r="BP425" s="140"/>
      <c r="BQ425" s="140"/>
      <c r="BR425" s="140"/>
      <c r="BS425" s="140"/>
      <c r="BT425" s="140"/>
      <c r="BU425" s="140"/>
      <c r="BV425" s="140"/>
      <c r="BW425" s="140"/>
      <c r="BX425" s="140"/>
      <c r="BY425" s="140"/>
    </row>
    <row r="426" ht="15.75" customHeight="1">
      <c r="A426" s="150"/>
      <c r="B426" s="140"/>
      <c r="C426" s="140"/>
      <c r="D426" s="140"/>
      <c r="E426" s="140"/>
      <c r="F426" s="140"/>
      <c r="G426" s="140"/>
      <c r="H426" s="140"/>
      <c r="I426" s="140"/>
      <c r="J426" s="140"/>
      <c r="K426" s="140"/>
      <c r="L426" s="140"/>
      <c r="M426" s="140"/>
      <c r="N426" s="140"/>
      <c r="O426" s="140"/>
      <c r="P426" s="140"/>
      <c r="Q426" s="140"/>
      <c r="R426" s="140"/>
      <c r="S426" s="140"/>
      <c r="T426" s="140"/>
      <c r="U426" s="140"/>
      <c r="V426" s="140"/>
      <c r="W426" s="140"/>
      <c r="X426" s="140"/>
      <c r="Y426" s="140"/>
      <c r="Z426" s="140"/>
      <c r="AA426" s="140"/>
      <c r="AB426" s="140"/>
      <c r="AC426" s="140"/>
      <c r="AD426" s="140"/>
      <c r="AE426" s="140"/>
      <c r="AF426" s="140"/>
      <c r="AG426" s="140"/>
      <c r="AH426" s="140"/>
      <c r="AI426" s="140"/>
      <c r="AJ426" s="140"/>
      <c r="AK426" s="140"/>
      <c r="AL426" s="140"/>
      <c r="AM426" s="140"/>
      <c r="AN426" s="140"/>
      <c r="AO426" s="140"/>
      <c r="AP426" s="140"/>
      <c r="AQ426" s="140"/>
      <c r="AR426" s="140"/>
      <c r="AS426" s="140"/>
      <c r="AT426" s="140"/>
      <c r="AU426" s="140"/>
      <c r="AV426" s="140"/>
      <c r="AW426" s="140"/>
      <c r="AX426" s="140"/>
      <c r="AY426" s="140"/>
      <c r="AZ426" s="140"/>
      <c r="BA426" s="140"/>
      <c r="BB426" s="140"/>
      <c r="BC426" s="140"/>
      <c r="BD426" s="140"/>
      <c r="BE426" s="140"/>
      <c r="BF426" s="140"/>
      <c r="BG426" s="140"/>
      <c r="BH426" s="140"/>
      <c r="BI426" s="140"/>
      <c r="BJ426" s="140"/>
      <c r="BK426" s="140"/>
      <c r="BL426" s="140"/>
      <c r="BM426" s="140"/>
      <c r="BN426" s="140"/>
      <c r="BO426" s="140"/>
      <c r="BP426" s="140"/>
      <c r="BQ426" s="140"/>
      <c r="BR426" s="140"/>
      <c r="BS426" s="140"/>
      <c r="BT426" s="140"/>
      <c r="BU426" s="140"/>
      <c r="BV426" s="140"/>
      <c r="BW426" s="140"/>
      <c r="BX426" s="140"/>
      <c r="BY426" s="140"/>
    </row>
    <row r="427" ht="15.75" customHeight="1">
      <c r="A427" s="150"/>
      <c r="B427" s="140"/>
      <c r="C427" s="140"/>
      <c r="D427" s="140"/>
      <c r="E427" s="140"/>
      <c r="F427" s="140"/>
      <c r="G427" s="140"/>
      <c r="H427" s="140"/>
      <c r="I427" s="140"/>
      <c r="J427" s="140"/>
      <c r="K427" s="140"/>
      <c r="L427" s="140"/>
      <c r="M427" s="140"/>
      <c r="N427" s="140"/>
      <c r="O427" s="140"/>
      <c r="P427" s="140"/>
      <c r="Q427" s="140"/>
      <c r="R427" s="140"/>
      <c r="S427" s="140"/>
      <c r="T427" s="140"/>
      <c r="U427" s="140"/>
      <c r="V427" s="140"/>
      <c r="W427" s="140"/>
      <c r="X427" s="140"/>
      <c r="Y427" s="140"/>
      <c r="Z427" s="140"/>
      <c r="AA427" s="140"/>
      <c r="AB427" s="140"/>
      <c r="AC427" s="140"/>
      <c r="AD427" s="140"/>
      <c r="AE427" s="140"/>
      <c r="AF427" s="140"/>
      <c r="AG427" s="140"/>
      <c r="AH427" s="140"/>
      <c r="AI427" s="140"/>
      <c r="AJ427" s="140"/>
      <c r="AK427" s="140"/>
      <c r="AL427" s="140"/>
      <c r="AM427" s="140"/>
      <c r="AN427" s="140"/>
      <c r="AO427" s="140"/>
      <c r="AP427" s="140"/>
      <c r="AQ427" s="140"/>
      <c r="AR427" s="140"/>
      <c r="AS427" s="140"/>
      <c r="AT427" s="140"/>
      <c r="AU427" s="140"/>
      <c r="AV427" s="140"/>
      <c r="AW427" s="140"/>
      <c r="AX427" s="140"/>
      <c r="AY427" s="140"/>
      <c r="AZ427" s="140"/>
      <c r="BA427" s="140"/>
      <c r="BB427" s="140"/>
      <c r="BC427" s="140"/>
      <c r="BD427" s="140"/>
      <c r="BE427" s="140"/>
      <c r="BF427" s="140"/>
      <c r="BG427" s="140"/>
      <c r="BH427" s="140"/>
      <c r="BI427" s="140"/>
      <c r="BJ427" s="140"/>
      <c r="BK427" s="140"/>
      <c r="BL427" s="140"/>
      <c r="BM427" s="140"/>
      <c r="BN427" s="140"/>
      <c r="BO427" s="140"/>
      <c r="BP427" s="140"/>
      <c r="BQ427" s="140"/>
      <c r="BR427" s="140"/>
      <c r="BS427" s="140"/>
      <c r="BT427" s="140"/>
      <c r="BU427" s="140"/>
      <c r="BV427" s="140"/>
      <c r="BW427" s="140"/>
      <c r="BX427" s="140"/>
      <c r="BY427" s="140"/>
    </row>
    <row r="428" ht="15.75" customHeight="1">
      <c r="A428" s="150"/>
      <c r="B428" s="140"/>
      <c r="C428" s="140"/>
      <c r="D428" s="140"/>
      <c r="E428" s="140"/>
      <c r="F428" s="140"/>
      <c r="G428" s="140"/>
      <c r="H428" s="140"/>
      <c r="I428" s="140"/>
      <c r="J428" s="140"/>
      <c r="K428" s="140"/>
      <c r="L428" s="140"/>
      <c r="M428" s="140"/>
      <c r="N428" s="140"/>
      <c r="O428" s="140"/>
      <c r="P428" s="140"/>
      <c r="Q428" s="140"/>
      <c r="R428" s="140"/>
      <c r="S428" s="140"/>
      <c r="T428" s="140"/>
      <c r="U428" s="140"/>
      <c r="V428" s="140"/>
      <c r="W428" s="140"/>
      <c r="X428" s="140"/>
      <c r="Y428" s="140"/>
      <c r="Z428" s="140"/>
      <c r="AA428" s="140"/>
      <c r="AB428" s="140"/>
      <c r="AC428" s="140"/>
      <c r="AD428" s="140"/>
      <c r="AE428" s="140"/>
      <c r="AF428" s="140"/>
      <c r="AG428" s="140"/>
      <c r="AH428" s="140"/>
      <c r="AI428" s="140"/>
      <c r="AJ428" s="140"/>
      <c r="AK428" s="140"/>
      <c r="AL428" s="140"/>
      <c r="AM428" s="140"/>
      <c r="AN428" s="140"/>
      <c r="AO428" s="140"/>
      <c r="AP428" s="140"/>
      <c r="AQ428" s="140"/>
      <c r="AR428" s="140"/>
      <c r="AS428" s="140"/>
      <c r="AT428" s="140"/>
      <c r="AU428" s="140"/>
      <c r="AV428" s="140"/>
      <c r="AW428" s="140"/>
      <c r="AX428" s="140"/>
      <c r="AY428" s="140"/>
      <c r="AZ428" s="140"/>
      <c r="BA428" s="140"/>
      <c r="BB428" s="140"/>
      <c r="BC428" s="140"/>
      <c r="BD428" s="140"/>
      <c r="BE428" s="140"/>
      <c r="BF428" s="140"/>
      <c r="BG428" s="140"/>
      <c r="BH428" s="140"/>
      <c r="BI428" s="140"/>
      <c r="BJ428" s="140"/>
      <c r="BK428" s="140"/>
      <c r="BL428" s="140"/>
      <c r="BM428" s="140"/>
      <c r="BN428" s="140"/>
      <c r="BO428" s="140"/>
      <c r="BP428" s="140"/>
      <c r="BQ428" s="140"/>
      <c r="BR428" s="140"/>
      <c r="BS428" s="140"/>
      <c r="BT428" s="140"/>
      <c r="BU428" s="140"/>
      <c r="BV428" s="140"/>
      <c r="BW428" s="140"/>
      <c r="BX428" s="140"/>
      <c r="BY428" s="140"/>
    </row>
    <row r="429" ht="15.75" customHeight="1">
      <c r="A429" s="150"/>
      <c r="B429" s="140"/>
      <c r="C429" s="140"/>
      <c r="D429" s="140"/>
      <c r="E429" s="140"/>
      <c r="F429" s="140"/>
      <c r="G429" s="140"/>
      <c r="H429" s="140"/>
      <c r="I429" s="140"/>
      <c r="J429" s="140"/>
      <c r="K429" s="140"/>
      <c r="L429" s="140"/>
      <c r="M429" s="140"/>
      <c r="N429" s="140"/>
      <c r="O429" s="140"/>
      <c r="P429" s="140"/>
      <c r="Q429" s="140"/>
      <c r="R429" s="140"/>
      <c r="S429" s="140"/>
      <c r="T429" s="140"/>
      <c r="U429" s="140"/>
      <c r="V429" s="140"/>
      <c r="W429" s="140"/>
      <c r="X429" s="140"/>
      <c r="Y429" s="140"/>
      <c r="Z429" s="140"/>
      <c r="AA429" s="140"/>
      <c r="AB429" s="140"/>
      <c r="AC429" s="140"/>
      <c r="AD429" s="140"/>
      <c r="AE429" s="140"/>
      <c r="AF429" s="140"/>
      <c r="AG429" s="140"/>
      <c r="AH429" s="140"/>
      <c r="AI429" s="140"/>
      <c r="AJ429" s="140"/>
      <c r="AK429" s="140"/>
      <c r="AL429" s="140"/>
      <c r="AM429" s="140"/>
      <c r="AN429" s="140"/>
      <c r="AO429" s="140"/>
      <c r="AP429" s="140"/>
      <c r="AQ429" s="140"/>
      <c r="AR429" s="140"/>
      <c r="AS429" s="140"/>
      <c r="AT429" s="140"/>
      <c r="AU429" s="140"/>
      <c r="AV429" s="140"/>
      <c r="AW429" s="140"/>
      <c r="AX429" s="140"/>
      <c r="AY429" s="140"/>
      <c r="AZ429" s="140"/>
      <c r="BA429" s="140"/>
      <c r="BB429" s="140"/>
      <c r="BC429" s="140"/>
      <c r="BD429" s="140"/>
      <c r="BE429" s="140"/>
      <c r="BF429" s="140"/>
      <c r="BG429" s="140"/>
      <c r="BH429" s="140"/>
      <c r="BI429" s="140"/>
      <c r="BJ429" s="140"/>
      <c r="BK429" s="140"/>
      <c r="BL429" s="140"/>
      <c r="BM429" s="140"/>
      <c r="BN429" s="140"/>
      <c r="BO429" s="140"/>
      <c r="BP429" s="140"/>
      <c r="BQ429" s="140"/>
      <c r="BR429" s="140"/>
      <c r="BS429" s="140"/>
      <c r="BT429" s="140"/>
      <c r="BU429" s="140"/>
      <c r="BV429" s="140"/>
      <c r="BW429" s="140"/>
      <c r="BX429" s="140"/>
      <c r="BY429" s="140"/>
    </row>
    <row r="430" ht="15.75" customHeight="1">
      <c r="A430" s="150"/>
      <c r="B430" s="140"/>
      <c r="C430" s="140"/>
      <c r="D430" s="140"/>
      <c r="E430" s="140"/>
      <c r="F430" s="140"/>
      <c r="G430" s="140"/>
      <c r="H430" s="140"/>
      <c r="I430" s="140"/>
      <c r="J430" s="140"/>
      <c r="K430" s="140"/>
      <c r="L430" s="140"/>
      <c r="M430" s="140"/>
      <c r="N430" s="140"/>
      <c r="O430" s="140"/>
      <c r="P430" s="140"/>
      <c r="Q430" s="140"/>
      <c r="R430" s="140"/>
      <c r="S430" s="140"/>
      <c r="T430" s="140"/>
      <c r="U430" s="140"/>
      <c r="V430" s="140"/>
      <c r="W430" s="140"/>
      <c r="X430" s="140"/>
      <c r="Y430" s="140"/>
      <c r="Z430" s="140"/>
      <c r="AA430" s="140"/>
      <c r="AB430" s="140"/>
      <c r="AC430" s="140"/>
      <c r="AD430" s="140"/>
      <c r="AE430" s="140"/>
      <c r="AF430" s="140"/>
      <c r="AG430" s="140"/>
      <c r="AH430" s="140"/>
      <c r="AI430" s="140"/>
      <c r="AJ430" s="140"/>
      <c r="AK430" s="140"/>
      <c r="AL430" s="140"/>
      <c r="AM430" s="140"/>
      <c r="AN430" s="140"/>
      <c r="AO430" s="140"/>
      <c r="AP430" s="140"/>
      <c r="AQ430" s="140"/>
      <c r="AR430" s="140"/>
      <c r="AS430" s="140"/>
      <c r="AT430" s="140"/>
      <c r="AU430" s="140"/>
      <c r="AV430" s="140"/>
      <c r="AW430" s="140"/>
      <c r="AX430" s="140"/>
      <c r="AY430" s="140"/>
      <c r="AZ430" s="140"/>
      <c r="BA430" s="140"/>
      <c r="BB430" s="140"/>
      <c r="BC430" s="140"/>
      <c r="BD430" s="140"/>
      <c r="BE430" s="140"/>
      <c r="BF430" s="140"/>
      <c r="BG430" s="140"/>
      <c r="BH430" s="140"/>
      <c r="BI430" s="140"/>
      <c r="BJ430" s="140"/>
      <c r="BK430" s="140"/>
      <c r="BL430" s="140"/>
      <c r="BM430" s="140"/>
      <c r="BN430" s="140"/>
      <c r="BO430" s="140"/>
      <c r="BP430" s="140"/>
      <c r="BQ430" s="140"/>
      <c r="BR430" s="140"/>
      <c r="BS430" s="140"/>
      <c r="BT430" s="140"/>
      <c r="BU430" s="140"/>
      <c r="BV430" s="140"/>
      <c r="BW430" s="140"/>
      <c r="BX430" s="140"/>
      <c r="BY430" s="140"/>
    </row>
    <row r="431" ht="15.75" customHeight="1">
      <c r="A431" s="150"/>
      <c r="B431" s="140"/>
      <c r="C431" s="140"/>
      <c r="D431" s="140"/>
      <c r="E431" s="140"/>
      <c r="F431" s="140"/>
      <c r="G431" s="140"/>
      <c r="H431" s="140"/>
      <c r="I431" s="140"/>
      <c r="J431" s="140"/>
      <c r="K431" s="140"/>
      <c r="L431" s="140"/>
      <c r="M431" s="140"/>
      <c r="N431" s="140"/>
      <c r="O431" s="140"/>
      <c r="P431" s="140"/>
      <c r="Q431" s="140"/>
      <c r="R431" s="140"/>
      <c r="S431" s="140"/>
      <c r="T431" s="140"/>
      <c r="U431" s="140"/>
      <c r="V431" s="140"/>
      <c r="W431" s="140"/>
      <c r="X431" s="140"/>
      <c r="Y431" s="140"/>
      <c r="Z431" s="140"/>
      <c r="AA431" s="140"/>
      <c r="AB431" s="140"/>
      <c r="AC431" s="140"/>
      <c r="AD431" s="140"/>
      <c r="AE431" s="140"/>
      <c r="AF431" s="140"/>
      <c r="AG431" s="140"/>
      <c r="AH431" s="140"/>
      <c r="AI431" s="140"/>
      <c r="AJ431" s="140"/>
      <c r="AK431" s="140"/>
      <c r="AL431" s="140"/>
      <c r="AM431" s="140"/>
      <c r="AN431" s="140"/>
      <c r="AO431" s="140"/>
      <c r="AP431" s="140"/>
      <c r="AQ431" s="140"/>
      <c r="AR431" s="140"/>
      <c r="AS431" s="140"/>
      <c r="AT431" s="140"/>
      <c r="AU431" s="140"/>
      <c r="AV431" s="140"/>
      <c r="AW431" s="140"/>
      <c r="AX431" s="140"/>
      <c r="AY431" s="140"/>
      <c r="AZ431" s="140"/>
      <c r="BA431" s="140"/>
      <c r="BB431" s="140"/>
      <c r="BC431" s="140"/>
      <c r="BD431" s="140"/>
      <c r="BE431" s="140"/>
      <c r="BF431" s="140"/>
      <c r="BG431" s="140"/>
      <c r="BH431" s="140"/>
      <c r="BI431" s="140"/>
      <c r="BJ431" s="140"/>
      <c r="BK431" s="140"/>
      <c r="BL431" s="140"/>
      <c r="BM431" s="140"/>
      <c r="BN431" s="140"/>
      <c r="BO431" s="140"/>
      <c r="BP431" s="140"/>
      <c r="BQ431" s="140"/>
      <c r="BR431" s="140"/>
      <c r="BS431" s="140"/>
      <c r="BT431" s="140"/>
      <c r="BU431" s="140"/>
      <c r="BV431" s="140"/>
      <c r="BW431" s="140"/>
      <c r="BX431" s="140"/>
      <c r="BY431" s="140"/>
    </row>
    <row r="432" ht="15.75" customHeight="1">
      <c r="A432" s="150"/>
      <c r="B432" s="140"/>
      <c r="C432" s="140"/>
      <c r="D432" s="140"/>
      <c r="E432" s="140"/>
      <c r="F432" s="140"/>
      <c r="G432" s="140"/>
      <c r="H432" s="140"/>
      <c r="I432" s="140"/>
      <c r="J432" s="140"/>
      <c r="K432" s="140"/>
      <c r="L432" s="140"/>
      <c r="M432" s="140"/>
      <c r="N432" s="140"/>
      <c r="O432" s="140"/>
      <c r="P432" s="140"/>
      <c r="Q432" s="140"/>
      <c r="R432" s="140"/>
      <c r="S432" s="140"/>
      <c r="T432" s="140"/>
      <c r="U432" s="140"/>
      <c r="V432" s="140"/>
      <c r="W432" s="140"/>
      <c r="X432" s="140"/>
      <c r="Y432" s="140"/>
      <c r="Z432" s="140"/>
      <c r="AA432" s="140"/>
      <c r="AB432" s="140"/>
      <c r="AC432" s="140"/>
      <c r="AD432" s="140"/>
      <c r="AE432" s="140"/>
      <c r="AF432" s="140"/>
      <c r="AG432" s="140"/>
      <c r="AH432" s="140"/>
      <c r="AI432" s="140"/>
      <c r="AJ432" s="140"/>
      <c r="AK432" s="140"/>
      <c r="AL432" s="140"/>
      <c r="AM432" s="140"/>
      <c r="AN432" s="140"/>
      <c r="AO432" s="140"/>
      <c r="AP432" s="140"/>
      <c r="AQ432" s="140"/>
      <c r="AR432" s="140"/>
      <c r="AS432" s="140"/>
      <c r="AT432" s="140"/>
      <c r="AU432" s="140"/>
      <c r="AV432" s="140"/>
      <c r="AW432" s="140"/>
      <c r="AX432" s="140"/>
      <c r="AY432" s="140"/>
      <c r="AZ432" s="140"/>
      <c r="BA432" s="140"/>
      <c r="BB432" s="140"/>
      <c r="BC432" s="140"/>
      <c r="BD432" s="140"/>
      <c r="BE432" s="140"/>
      <c r="BF432" s="140"/>
      <c r="BG432" s="140"/>
      <c r="BH432" s="140"/>
      <c r="BI432" s="140"/>
      <c r="BJ432" s="140"/>
      <c r="BK432" s="140"/>
      <c r="BL432" s="140"/>
      <c r="BM432" s="140"/>
      <c r="BN432" s="140"/>
      <c r="BO432" s="140"/>
      <c r="BP432" s="140"/>
      <c r="BQ432" s="140"/>
      <c r="BR432" s="140"/>
      <c r="BS432" s="140"/>
      <c r="BT432" s="140"/>
      <c r="BU432" s="140"/>
      <c r="BV432" s="140"/>
      <c r="BW432" s="140"/>
      <c r="BX432" s="140"/>
      <c r="BY432" s="140"/>
    </row>
    <row r="433" ht="15.75" customHeight="1">
      <c r="A433" s="150"/>
      <c r="B433" s="140"/>
      <c r="C433" s="140"/>
      <c r="D433" s="140"/>
      <c r="E433" s="140"/>
      <c r="F433" s="140"/>
      <c r="G433" s="140"/>
      <c r="H433" s="140"/>
      <c r="I433" s="140"/>
      <c r="J433" s="140"/>
      <c r="K433" s="140"/>
      <c r="L433" s="140"/>
      <c r="M433" s="140"/>
      <c r="N433" s="140"/>
      <c r="O433" s="140"/>
      <c r="P433" s="140"/>
      <c r="Q433" s="140"/>
      <c r="R433" s="140"/>
      <c r="S433" s="140"/>
      <c r="T433" s="140"/>
      <c r="U433" s="140"/>
      <c r="V433" s="140"/>
      <c r="W433" s="140"/>
      <c r="X433" s="140"/>
      <c r="Y433" s="140"/>
      <c r="Z433" s="140"/>
      <c r="AA433" s="140"/>
      <c r="AB433" s="140"/>
      <c r="AC433" s="140"/>
      <c r="AD433" s="140"/>
      <c r="AE433" s="140"/>
      <c r="AF433" s="140"/>
      <c r="AG433" s="140"/>
      <c r="AH433" s="140"/>
      <c r="AI433" s="140"/>
      <c r="AJ433" s="140"/>
      <c r="AK433" s="140"/>
      <c r="AL433" s="140"/>
      <c r="AM433" s="140"/>
      <c r="AN433" s="140"/>
      <c r="AO433" s="140"/>
      <c r="AP433" s="140"/>
      <c r="AQ433" s="140"/>
      <c r="AR433" s="140"/>
      <c r="AS433" s="140"/>
      <c r="AT433" s="140"/>
      <c r="AU433" s="140"/>
      <c r="AV433" s="140"/>
      <c r="AW433" s="140"/>
      <c r="AX433" s="140"/>
      <c r="AY433" s="140"/>
      <c r="AZ433" s="140"/>
      <c r="BA433" s="140"/>
      <c r="BB433" s="140"/>
      <c r="BC433" s="140"/>
      <c r="BD433" s="140"/>
      <c r="BE433" s="140"/>
      <c r="BF433" s="140"/>
      <c r="BG433" s="140"/>
      <c r="BH433" s="140"/>
      <c r="BI433" s="140"/>
      <c r="BJ433" s="140"/>
      <c r="BK433" s="140"/>
      <c r="BL433" s="140"/>
      <c r="BM433" s="140"/>
      <c r="BN433" s="140"/>
      <c r="BO433" s="140"/>
      <c r="BP433" s="140"/>
      <c r="BQ433" s="140"/>
      <c r="BR433" s="140"/>
      <c r="BS433" s="140"/>
      <c r="BT433" s="140"/>
      <c r="BU433" s="140"/>
      <c r="BV433" s="140"/>
      <c r="BW433" s="140"/>
      <c r="BX433" s="140"/>
      <c r="BY433" s="140"/>
    </row>
    <row r="434" ht="15.75" customHeight="1">
      <c r="A434" s="150"/>
      <c r="B434" s="140"/>
      <c r="C434" s="140"/>
      <c r="D434" s="140"/>
      <c r="E434" s="140"/>
      <c r="F434" s="140"/>
      <c r="G434" s="140"/>
      <c r="H434" s="140"/>
      <c r="I434" s="140"/>
      <c r="J434" s="140"/>
      <c r="K434" s="140"/>
      <c r="L434" s="140"/>
      <c r="M434" s="140"/>
      <c r="N434" s="140"/>
      <c r="O434" s="140"/>
      <c r="P434" s="140"/>
      <c r="Q434" s="140"/>
      <c r="R434" s="140"/>
      <c r="S434" s="140"/>
      <c r="T434" s="140"/>
      <c r="U434" s="140"/>
      <c r="V434" s="140"/>
      <c r="W434" s="140"/>
      <c r="X434" s="140"/>
      <c r="Y434" s="140"/>
      <c r="Z434" s="140"/>
      <c r="AA434" s="140"/>
      <c r="AB434" s="140"/>
      <c r="AC434" s="140"/>
      <c r="AD434" s="140"/>
      <c r="AE434" s="140"/>
      <c r="AF434" s="140"/>
      <c r="AG434" s="140"/>
      <c r="AH434" s="140"/>
      <c r="AI434" s="140"/>
      <c r="AJ434" s="140"/>
      <c r="AK434" s="140"/>
      <c r="AL434" s="140"/>
      <c r="AM434" s="140"/>
      <c r="AN434" s="140"/>
      <c r="AO434" s="140"/>
      <c r="AP434" s="140"/>
      <c r="AQ434" s="140"/>
      <c r="AR434" s="140"/>
      <c r="AS434" s="140"/>
      <c r="AT434" s="140"/>
      <c r="AU434" s="140"/>
      <c r="AV434" s="140"/>
      <c r="AW434" s="140"/>
      <c r="AX434" s="140"/>
      <c r="AY434" s="140"/>
      <c r="AZ434" s="140"/>
      <c r="BA434" s="140"/>
      <c r="BB434" s="140"/>
      <c r="BC434" s="140"/>
      <c r="BD434" s="140"/>
      <c r="BE434" s="140"/>
      <c r="BF434" s="140"/>
      <c r="BG434" s="140"/>
      <c r="BH434" s="140"/>
      <c r="BI434" s="140"/>
      <c r="BJ434" s="140"/>
      <c r="BK434" s="140"/>
      <c r="BL434" s="140"/>
      <c r="BM434" s="140"/>
      <c r="BN434" s="140"/>
      <c r="BO434" s="140"/>
      <c r="BP434" s="140"/>
      <c r="BQ434" s="140"/>
      <c r="BR434" s="140"/>
      <c r="BS434" s="140"/>
      <c r="BT434" s="140"/>
      <c r="BU434" s="140"/>
      <c r="BV434" s="140"/>
      <c r="BW434" s="140"/>
      <c r="BX434" s="140"/>
      <c r="BY434" s="140"/>
    </row>
    <row r="435" ht="15.75" customHeight="1">
      <c r="A435" s="150"/>
      <c r="B435" s="140"/>
      <c r="C435" s="140"/>
      <c r="D435" s="140"/>
      <c r="E435" s="140"/>
      <c r="F435" s="140"/>
      <c r="G435" s="140"/>
      <c r="H435" s="140"/>
      <c r="I435" s="140"/>
      <c r="J435" s="140"/>
      <c r="K435" s="140"/>
      <c r="L435" s="140"/>
      <c r="M435" s="140"/>
      <c r="N435" s="140"/>
      <c r="O435" s="140"/>
      <c r="P435" s="140"/>
      <c r="Q435" s="140"/>
      <c r="R435" s="140"/>
      <c r="S435" s="140"/>
      <c r="T435" s="140"/>
      <c r="U435" s="140"/>
      <c r="V435" s="140"/>
      <c r="W435" s="140"/>
      <c r="X435" s="140"/>
      <c r="Y435" s="140"/>
      <c r="Z435" s="140"/>
      <c r="AA435" s="140"/>
      <c r="AB435" s="140"/>
      <c r="AC435" s="140"/>
      <c r="AD435" s="140"/>
      <c r="AE435" s="140"/>
      <c r="AF435" s="140"/>
      <c r="AG435" s="140"/>
      <c r="AH435" s="140"/>
      <c r="AI435" s="140"/>
      <c r="AJ435" s="140"/>
      <c r="AK435" s="140"/>
      <c r="AL435" s="140"/>
      <c r="AM435" s="140"/>
      <c r="AN435" s="140"/>
      <c r="AO435" s="140"/>
      <c r="AP435" s="140"/>
      <c r="AQ435" s="140"/>
      <c r="AR435" s="140"/>
      <c r="AS435" s="140"/>
      <c r="AT435" s="140"/>
      <c r="AU435" s="140"/>
      <c r="AV435" s="140"/>
      <c r="AW435" s="140"/>
      <c r="AX435" s="140"/>
      <c r="AY435" s="140"/>
      <c r="AZ435" s="140"/>
      <c r="BA435" s="140"/>
      <c r="BB435" s="140"/>
      <c r="BC435" s="140"/>
      <c r="BD435" s="140"/>
      <c r="BE435" s="140"/>
      <c r="BF435" s="140"/>
      <c r="BG435" s="140"/>
      <c r="BH435" s="140"/>
      <c r="BI435" s="140"/>
      <c r="BJ435" s="140"/>
      <c r="BK435" s="140"/>
      <c r="BL435" s="140"/>
      <c r="BM435" s="140"/>
      <c r="BN435" s="140"/>
      <c r="BO435" s="140"/>
      <c r="BP435" s="140"/>
      <c r="BQ435" s="140"/>
      <c r="BR435" s="140"/>
      <c r="BS435" s="140"/>
      <c r="BT435" s="140"/>
      <c r="BU435" s="140"/>
      <c r="BV435" s="140"/>
      <c r="BW435" s="140"/>
      <c r="BX435" s="140"/>
      <c r="BY435" s="140"/>
    </row>
    <row r="436" ht="15.75" customHeight="1">
      <c r="A436" s="150"/>
      <c r="B436" s="140"/>
      <c r="C436" s="140"/>
      <c r="D436" s="140"/>
      <c r="E436" s="140"/>
      <c r="F436" s="140"/>
      <c r="G436" s="140"/>
      <c r="H436" s="140"/>
      <c r="I436" s="140"/>
      <c r="J436" s="140"/>
      <c r="K436" s="140"/>
      <c r="L436" s="140"/>
      <c r="M436" s="140"/>
      <c r="N436" s="140"/>
      <c r="O436" s="140"/>
      <c r="P436" s="140"/>
      <c r="Q436" s="140"/>
      <c r="R436" s="140"/>
      <c r="S436" s="140"/>
      <c r="T436" s="140"/>
      <c r="U436" s="140"/>
      <c r="V436" s="140"/>
      <c r="W436" s="140"/>
      <c r="X436" s="140"/>
      <c r="Y436" s="140"/>
      <c r="Z436" s="140"/>
      <c r="AA436" s="140"/>
      <c r="AB436" s="140"/>
      <c r="AC436" s="140"/>
      <c r="AD436" s="140"/>
      <c r="AE436" s="140"/>
      <c r="AF436" s="140"/>
      <c r="AG436" s="140"/>
      <c r="AH436" s="140"/>
      <c r="AI436" s="140"/>
      <c r="AJ436" s="140"/>
      <c r="AK436" s="140"/>
      <c r="AL436" s="140"/>
      <c r="AM436" s="140"/>
      <c r="AN436" s="140"/>
      <c r="AO436" s="140"/>
      <c r="AP436" s="140"/>
      <c r="AQ436" s="140"/>
      <c r="AR436" s="140"/>
      <c r="AS436" s="140"/>
      <c r="AT436" s="140"/>
      <c r="AU436" s="140"/>
      <c r="AV436" s="140"/>
      <c r="AW436" s="140"/>
      <c r="AX436" s="140"/>
      <c r="AY436" s="140"/>
      <c r="AZ436" s="140"/>
      <c r="BA436" s="140"/>
      <c r="BB436" s="140"/>
      <c r="BC436" s="140"/>
      <c r="BD436" s="140"/>
      <c r="BE436" s="140"/>
      <c r="BF436" s="140"/>
      <c r="BG436" s="140"/>
      <c r="BH436" s="140"/>
      <c r="BI436" s="140"/>
      <c r="BJ436" s="140"/>
      <c r="BK436" s="140"/>
      <c r="BL436" s="140"/>
      <c r="BM436" s="140"/>
      <c r="BN436" s="140"/>
      <c r="BO436" s="140"/>
      <c r="BP436" s="140"/>
      <c r="BQ436" s="140"/>
      <c r="BR436" s="140"/>
      <c r="BS436" s="140"/>
      <c r="BT436" s="140"/>
      <c r="BU436" s="140"/>
      <c r="BV436" s="140"/>
      <c r="BW436" s="140"/>
      <c r="BX436" s="140"/>
      <c r="BY436" s="140"/>
    </row>
    <row r="437" ht="15.75" customHeight="1">
      <c r="A437" s="150"/>
      <c r="B437" s="140"/>
      <c r="C437" s="140"/>
      <c r="D437" s="140"/>
      <c r="E437" s="140"/>
      <c r="F437" s="140"/>
      <c r="G437" s="140"/>
      <c r="H437" s="140"/>
      <c r="I437" s="140"/>
      <c r="J437" s="140"/>
      <c r="K437" s="140"/>
      <c r="L437" s="140"/>
      <c r="M437" s="140"/>
      <c r="N437" s="140"/>
      <c r="O437" s="140"/>
      <c r="P437" s="140"/>
      <c r="Q437" s="140"/>
      <c r="R437" s="140"/>
      <c r="S437" s="140"/>
      <c r="T437" s="140"/>
      <c r="U437" s="140"/>
      <c r="V437" s="140"/>
      <c r="W437" s="140"/>
      <c r="X437" s="140"/>
      <c r="Y437" s="140"/>
      <c r="Z437" s="140"/>
      <c r="AA437" s="140"/>
      <c r="AB437" s="140"/>
      <c r="AC437" s="140"/>
      <c r="AD437" s="140"/>
      <c r="AE437" s="140"/>
      <c r="AF437" s="140"/>
      <c r="AG437" s="140"/>
      <c r="AH437" s="140"/>
      <c r="AI437" s="140"/>
      <c r="AJ437" s="140"/>
      <c r="AK437" s="140"/>
      <c r="AL437" s="140"/>
      <c r="AM437" s="140"/>
      <c r="AN437" s="140"/>
      <c r="AO437" s="140"/>
      <c r="AP437" s="140"/>
      <c r="AQ437" s="140"/>
      <c r="AR437" s="140"/>
      <c r="AS437" s="140"/>
      <c r="AT437" s="140"/>
      <c r="AU437" s="140"/>
      <c r="AV437" s="140"/>
      <c r="AW437" s="140"/>
      <c r="AX437" s="140"/>
      <c r="AY437" s="140"/>
      <c r="AZ437" s="140"/>
      <c r="BA437" s="140"/>
      <c r="BB437" s="140"/>
      <c r="BC437" s="140"/>
      <c r="BD437" s="140"/>
      <c r="BE437" s="140"/>
      <c r="BF437" s="140"/>
      <c r="BG437" s="140"/>
      <c r="BH437" s="140"/>
      <c r="BI437" s="140"/>
      <c r="BJ437" s="140"/>
      <c r="BK437" s="140"/>
      <c r="BL437" s="140"/>
      <c r="BM437" s="140"/>
      <c r="BN437" s="140"/>
      <c r="BO437" s="140"/>
      <c r="BP437" s="140"/>
      <c r="BQ437" s="140"/>
      <c r="BR437" s="140"/>
      <c r="BS437" s="140"/>
      <c r="BT437" s="140"/>
      <c r="BU437" s="140"/>
      <c r="BV437" s="140"/>
      <c r="BW437" s="140"/>
      <c r="BX437" s="140"/>
      <c r="BY437" s="140"/>
    </row>
    <row r="438" ht="15.75" customHeight="1">
      <c r="A438" s="150"/>
      <c r="B438" s="140"/>
      <c r="C438" s="140"/>
      <c r="D438" s="140"/>
      <c r="E438" s="140"/>
      <c r="F438" s="140"/>
      <c r="G438" s="140"/>
      <c r="H438" s="140"/>
      <c r="I438" s="140"/>
      <c r="J438" s="140"/>
      <c r="K438" s="140"/>
      <c r="L438" s="140"/>
      <c r="M438" s="140"/>
      <c r="N438" s="140"/>
      <c r="O438" s="140"/>
      <c r="P438" s="140"/>
      <c r="Q438" s="140"/>
      <c r="R438" s="140"/>
      <c r="S438" s="140"/>
      <c r="T438" s="140"/>
      <c r="U438" s="140"/>
      <c r="V438" s="140"/>
      <c r="W438" s="140"/>
      <c r="X438" s="140"/>
      <c r="Y438" s="140"/>
      <c r="Z438" s="140"/>
      <c r="AA438" s="140"/>
      <c r="AB438" s="140"/>
      <c r="AC438" s="140"/>
      <c r="AD438" s="140"/>
      <c r="AE438" s="140"/>
      <c r="AF438" s="140"/>
      <c r="AG438" s="140"/>
      <c r="AH438" s="140"/>
      <c r="AI438" s="140"/>
      <c r="AJ438" s="140"/>
      <c r="AK438" s="140"/>
      <c r="AL438" s="140"/>
      <c r="AM438" s="140"/>
      <c r="AN438" s="140"/>
      <c r="AO438" s="140"/>
      <c r="AP438" s="140"/>
      <c r="AQ438" s="140"/>
      <c r="AR438" s="140"/>
      <c r="AS438" s="140"/>
      <c r="AT438" s="140"/>
      <c r="AU438" s="140"/>
      <c r="AV438" s="140"/>
      <c r="AW438" s="140"/>
      <c r="AX438" s="140"/>
      <c r="AY438" s="140"/>
      <c r="AZ438" s="140"/>
      <c r="BA438" s="140"/>
      <c r="BB438" s="140"/>
      <c r="BC438" s="140"/>
      <c r="BD438" s="140"/>
      <c r="BE438" s="140"/>
      <c r="BF438" s="140"/>
      <c r="BG438" s="140"/>
      <c r="BH438" s="140"/>
      <c r="BI438" s="140"/>
      <c r="BJ438" s="140"/>
      <c r="BK438" s="140"/>
      <c r="BL438" s="140"/>
      <c r="BM438" s="140"/>
      <c r="BN438" s="140"/>
      <c r="BO438" s="140"/>
      <c r="BP438" s="140"/>
      <c r="BQ438" s="140"/>
      <c r="BR438" s="140"/>
      <c r="BS438" s="140"/>
      <c r="BT438" s="140"/>
      <c r="BU438" s="140"/>
      <c r="BV438" s="140"/>
      <c r="BW438" s="140"/>
      <c r="BX438" s="140"/>
      <c r="BY438" s="140"/>
    </row>
    <row r="439" ht="15.75" customHeight="1">
      <c r="A439" s="150"/>
      <c r="B439" s="140"/>
      <c r="C439" s="140"/>
      <c r="D439" s="140"/>
      <c r="E439" s="140"/>
      <c r="F439" s="140"/>
      <c r="G439" s="140"/>
      <c r="H439" s="140"/>
      <c r="I439" s="140"/>
      <c r="J439" s="140"/>
      <c r="K439" s="140"/>
      <c r="L439" s="140"/>
      <c r="M439" s="140"/>
      <c r="N439" s="140"/>
      <c r="O439" s="140"/>
      <c r="P439" s="140"/>
      <c r="Q439" s="140"/>
      <c r="R439" s="140"/>
      <c r="S439" s="140"/>
      <c r="T439" s="140"/>
      <c r="U439" s="140"/>
      <c r="V439" s="140"/>
      <c r="W439" s="140"/>
      <c r="X439" s="140"/>
      <c r="Y439" s="140"/>
      <c r="Z439" s="140"/>
      <c r="AA439" s="140"/>
      <c r="AB439" s="140"/>
      <c r="AC439" s="140"/>
      <c r="AD439" s="140"/>
      <c r="AE439" s="140"/>
      <c r="AF439" s="140"/>
      <c r="AG439" s="140"/>
      <c r="AH439" s="140"/>
      <c r="AI439" s="140"/>
      <c r="AJ439" s="140"/>
      <c r="AK439" s="140"/>
      <c r="AL439" s="140"/>
      <c r="AM439" s="140"/>
      <c r="AN439" s="140"/>
      <c r="AO439" s="140"/>
      <c r="AP439" s="140"/>
      <c r="AQ439" s="140"/>
      <c r="AR439" s="140"/>
      <c r="AS439" s="140"/>
      <c r="AT439" s="140"/>
      <c r="AU439" s="140"/>
      <c r="AV439" s="140"/>
      <c r="AW439" s="140"/>
      <c r="AX439" s="140"/>
      <c r="AY439" s="140"/>
      <c r="AZ439" s="140"/>
      <c r="BA439" s="140"/>
      <c r="BB439" s="140"/>
      <c r="BC439" s="140"/>
      <c r="BD439" s="140"/>
      <c r="BE439" s="140"/>
      <c r="BF439" s="140"/>
      <c r="BG439" s="140"/>
      <c r="BH439" s="140"/>
      <c r="BI439" s="140"/>
      <c r="BJ439" s="140"/>
      <c r="BK439" s="140"/>
      <c r="BL439" s="140"/>
      <c r="BM439" s="140"/>
      <c r="BN439" s="140"/>
      <c r="BO439" s="140"/>
      <c r="BP439" s="140"/>
      <c r="BQ439" s="140"/>
      <c r="BR439" s="140"/>
      <c r="BS439" s="140"/>
      <c r="BT439" s="140"/>
      <c r="BU439" s="140"/>
      <c r="BV439" s="140"/>
      <c r="BW439" s="140"/>
      <c r="BX439" s="140"/>
      <c r="BY439" s="140"/>
    </row>
    <row r="440" ht="15.75" customHeight="1">
      <c r="A440" s="150"/>
      <c r="B440" s="140"/>
      <c r="C440" s="140"/>
      <c r="D440" s="140"/>
      <c r="E440" s="140"/>
      <c r="F440" s="140"/>
      <c r="G440" s="140"/>
      <c r="H440" s="140"/>
      <c r="I440" s="140"/>
      <c r="J440" s="140"/>
      <c r="K440" s="140"/>
      <c r="L440" s="140"/>
      <c r="M440" s="140"/>
      <c r="N440" s="140"/>
      <c r="O440" s="140"/>
      <c r="P440" s="140"/>
      <c r="Q440" s="140"/>
      <c r="R440" s="140"/>
      <c r="S440" s="140"/>
      <c r="T440" s="140"/>
      <c r="U440" s="140"/>
      <c r="V440" s="140"/>
      <c r="W440" s="140"/>
      <c r="X440" s="140"/>
      <c r="Y440" s="140"/>
      <c r="Z440" s="140"/>
      <c r="AA440" s="140"/>
      <c r="AB440" s="140"/>
      <c r="AC440" s="140"/>
      <c r="AD440" s="140"/>
      <c r="AE440" s="140"/>
      <c r="AF440" s="140"/>
      <c r="AG440" s="140"/>
      <c r="AH440" s="140"/>
      <c r="AI440" s="140"/>
      <c r="AJ440" s="140"/>
      <c r="AK440" s="140"/>
      <c r="AL440" s="140"/>
      <c r="AM440" s="140"/>
      <c r="AN440" s="140"/>
      <c r="AO440" s="140"/>
      <c r="AP440" s="140"/>
      <c r="AQ440" s="140"/>
      <c r="AR440" s="140"/>
      <c r="AS440" s="140"/>
      <c r="AT440" s="140"/>
      <c r="AU440" s="140"/>
      <c r="AV440" s="140"/>
      <c r="AW440" s="140"/>
      <c r="AX440" s="140"/>
      <c r="AY440" s="140"/>
      <c r="AZ440" s="140"/>
      <c r="BA440" s="140"/>
      <c r="BB440" s="140"/>
      <c r="BC440" s="140"/>
      <c r="BD440" s="140"/>
      <c r="BE440" s="140"/>
      <c r="BF440" s="140"/>
      <c r="BG440" s="140"/>
      <c r="BH440" s="140"/>
      <c r="BI440" s="140"/>
      <c r="BJ440" s="140"/>
      <c r="BK440" s="140"/>
      <c r="BL440" s="140"/>
      <c r="BM440" s="140"/>
      <c r="BN440" s="140"/>
      <c r="BO440" s="140"/>
      <c r="BP440" s="140"/>
      <c r="BQ440" s="140"/>
      <c r="BR440" s="140"/>
      <c r="BS440" s="140"/>
      <c r="BT440" s="140"/>
      <c r="BU440" s="140"/>
      <c r="BV440" s="140"/>
      <c r="BW440" s="140"/>
      <c r="BX440" s="140"/>
      <c r="BY440" s="140"/>
    </row>
    <row r="441" ht="15.75" customHeight="1">
      <c r="A441" s="150"/>
      <c r="B441" s="140"/>
      <c r="C441" s="140"/>
      <c r="D441" s="140"/>
      <c r="E441" s="140"/>
      <c r="F441" s="140"/>
      <c r="G441" s="140"/>
      <c r="H441" s="140"/>
      <c r="I441" s="140"/>
      <c r="J441" s="140"/>
      <c r="K441" s="140"/>
      <c r="L441" s="140"/>
      <c r="M441" s="140"/>
      <c r="N441" s="140"/>
      <c r="O441" s="140"/>
      <c r="P441" s="140"/>
      <c r="Q441" s="140"/>
      <c r="R441" s="140"/>
      <c r="S441" s="140"/>
      <c r="T441" s="140"/>
      <c r="U441" s="140"/>
      <c r="V441" s="140"/>
      <c r="W441" s="140"/>
      <c r="X441" s="140"/>
      <c r="Y441" s="140"/>
      <c r="Z441" s="140"/>
      <c r="AA441" s="140"/>
      <c r="AB441" s="140"/>
      <c r="AC441" s="140"/>
      <c r="AD441" s="140"/>
      <c r="AE441" s="140"/>
      <c r="AF441" s="140"/>
      <c r="AG441" s="140"/>
      <c r="AH441" s="140"/>
      <c r="AI441" s="140"/>
      <c r="AJ441" s="140"/>
      <c r="AK441" s="140"/>
      <c r="AL441" s="140"/>
      <c r="AM441" s="140"/>
      <c r="AN441" s="140"/>
      <c r="AO441" s="140"/>
      <c r="AP441" s="140"/>
      <c r="AQ441" s="140"/>
      <c r="AR441" s="140"/>
      <c r="AS441" s="140"/>
      <c r="AT441" s="140"/>
      <c r="AU441" s="140"/>
      <c r="AV441" s="140"/>
      <c r="AW441" s="140"/>
      <c r="AX441" s="140"/>
      <c r="AY441" s="140"/>
      <c r="AZ441" s="140"/>
      <c r="BA441" s="140"/>
      <c r="BB441" s="140"/>
      <c r="BC441" s="140"/>
      <c r="BD441" s="140"/>
      <c r="BE441" s="140"/>
      <c r="BF441" s="140"/>
      <c r="BG441" s="140"/>
      <c r="BH441" s="140"/>
      <c r="BI441" s="140"/>
      <c r="BJ441" s="140"/>
      <c r="BK441" s="140"/>
      <c r="BL441" s="140"/>
      <c r="BM441" s="140"/>
      <c r="BN441" s="140"/>
      <c r="BO441" s="140"/>
      <c r="BP441" s="140"/>
      <c r="BQ441" s="140"/>
      <c r="BR441" s="140"/>
      <c r="BS441" s="140"/>
      <c r="BT441" s="140"/>
      <c r="BU441" s="140"/>
      <c r="BV441" s="140"/>
      <c r="BW441" s="140"/>
      <c r="BX441" s="140"/>
      <c r="BY441" s="140"/>
    </row>
    <row r="442" ht="15.75" customHeight="1">
      <c r="A442" s="150"/>
      <c r="B442" s="140"/>
      <c r="C442" s="140"/>
      <c r="D442" s="140"/>
      <c r="E442" s="140"/>
      <c r="F442" s="140"/>
      <c r="G442" s="140"/>
      <c r="H442" s="140"/>
      <c r="I442" s="140"/>
      <c r="J442" s="140"/>
      <c r="K442" s="140"/>
      <c r="L442" s="140"/>
      <c r="M442" s="140"/>
      <c r="N442" s="140"/>
      <c r="O442" s="140"/>
      <c r="P442" s="140"/>
      <c r="Q442" s="140"/>
      <c r="R442" s="140"/>
      <c r="S442" s="140"/>
      <c r="T442" s="140"/>
      <c r="U442" s="140"/>
      <c r="V442" s="140"/>
      <c r="W442" s="140"/>
      <c r="X442" s="140"/>
      <c r="Y442" s="140"/>
      <c r="Z442" s="140"/>
      <c r="AA442" s="140"/>
      <c r="AB442" s="140"/>
      <c r="AC442" s="140"/>
      <c r="AD442" s="140"/>
      <c r="AE442" s="140"/>
      <c r="AF442" s="140"/>
      <c r="AG442" s="140"/>
      <c r="AH442" s="140"/>
      <c r="AI442" s="140"/>
      <c r="AJ442" s="140"/>
      <c r="AK442" s="140"/>
      <c r="AL442" s="140"/>
      <c r="AM442" s="140"/>
      <c r="AN442" s="140"/>
      <c r="AO442" s="140"/>
      <c r="AP442" s="140"/>
      <c r="AQ442" s="140"/>
      <c r="AR442" s="140"/>
      <c r="AS442" s="140"/>
      <c r="AT442" s="140"/>
      <c r="AU442" s="140"/>
      <c r="AV442" s="140"/>
      <c r="AW442" s="140"/>
      <c r="AX442" s="140"/>
      <c r="AY442" s="140"/>
      <c r="AZ442" s="140"/>
      <c r="BA442" s="140"/>
      <c r="BB442" s="140"/>
      <c r="BC442" s="140"/>
      <c r="BD442" s="140"/>
      <c r="BE442" s="140"/>
      <c r="BF442" s="140"/>
      <c r="BG442" s="140"/>
      <c r="BH442" s="140"/>
      <c r="BI442" s="140"/>
      <c r="BJ442" s="140"/>
      <c r="BK442" s="140"/>
      <c r="BL442" s="140"/>
      <c r="BM442" s="140"/>
      <c r="BN442" s="140"/>
      <c r="BO442" s="140"/>
      <c r="BP442" s="140"/>
      <c r="BQ442" s="140"/>
      <c r="BR442" s="140"/>
      <c r="BS442" s="140"/>
      <c r="BT442" s="140"/>
      <c r="BU442" s="140"/>
      <c r="BV442" s="140"/>
      <c r="BW442" s="140"/>
      <c r="BX442" s="140"/>
      <c r="BY442" s="140"/>
    </row>
    <row r="443" ht="15.75" customHeight="1">
      <c r="A443" s="150"/>
      <c r="B443" s="140"/>
      <c r="C443" s="140"/>
      <c r="D443" s="140"/>
      <c r="E443" s="140"/>
      <c r="F443" s="140"/>
      <c r="G443" s="140"/>
      <c r="H443" s="140"/>
      <c r="I443" s="140"/>
      <c r="J443" s="140"/>
      <c r="K443" s="140"/>
      <c r="L443" s="140"/>
      <c r="M443" s="140"/>
      <c r="N443" s="140"/>
      <c r="O443" s="140"/>
      <c r="P443" s="140"/>
      <c r="Q443" s="140"/>
      <c r="R443" s="140"/>
      <c r="S443" s="140"/>
      <c r="T443" s="140"/>
      <c r="U443" s="140"/>
      <c r="V443" s="140"/>
      <c r="W443" s="140"/>
      <c r="X443" s="140"/>
      <c r="Y443" s="140"/>
      <c r="Z443" s="140"/>
      <c r="AA443" s="140"/>
      <c r="AB443" s="140"/>
      <c r="AC443" s="140"/>
      <c r="AD443" s="140"/>
      <c r="AE443" s="140"/>
      <c r="AF443" s="140"/>
      <c r="AG443" s="140"/>
      <c r="AH443" s="140"/>
      <c r="AI443" s="140"/>
      <c r="AJ443" s="140"/>
      <c r="AK443" s="140"/>
      <c r="AL443" s="140"/>
      <c r="AM443" s="140"/>
      <c r="AN443" s="140"/>
      <c r="AO443" s="140"/>
      <c r="AP443" s="140"/>
      <c r="AQ443" s="140"/>
      <c r="AR443" s="140"/>
      <c r="AS443" s="140"/>
      <c r="AT443" s="140"/>
      <c r="AU443" s="140"/>
      <c r="AV443" s="140"/>
      <c r="AW443" s="140"/>
      <c r="AX443" s="140"/>
      <c r="AY443" s="140"/>
      <c r="AZ443" s="140"/>
      <c r="BA443" s="140"/>
      <c r="BB443" s="140"/>
      <c r="BC443" s="140"/>
      <c r="BD443" s="140"/>
      <c r="BE443" s="140"/>
      <c r="BF443" s="140"/>
      <c r="BG443" s="140"/>
      <c r="BH443" s="140"/>
      <c r="BI443" s="140"/>
      <c r="BJ443" s="140"/>
      <c r="BK443" s="140"/>
      <c r="BL443" s="140"/>
      <c r="BM443" s="140"/>
      <c r="BN443" s="140"/>
      <c r="BO443" s="140"/>
      <c r="BP443" s="140"/>
      <c r="BQ443" s="140"/>
      <c r="BR443" s="140"/>
      <c r="BS443" s="140"/>
      <c r="BT443" s="140"/>
      <c r="BU443" s="140"/>
      <c r="BV443" s="140"/>
      <c r="BW443" s="140"/>
      <c r="BX443" s="140"/>
      <c r="BY443" s="140"/>
    </row>
    <row r="444" ht="15.75" customHeight="1">
      <c r="A444" s="150"/>
      <c r="B444" s="140"/>
      <c r="C444" s="140"/>
      <c r="D444" s="140"/>
      <c r="E444" s="140"/>
      <c r="F444" s="140"/>
      <c r="G444" s="140"/>
      <c r="H444" s="140"/>
      <c r="I444" s="140"/>
      <c r="J444" s="140"/>
      <c r="K444" s="140"/>
      <c r="L444" s="140"/>
      <c r="M444" s="140"/>
      <c r="N444" s="140"/>
      <c r="O444" s="140"/>
      <c r="P444" s="140"/>
      <c r="Q444" s="140"/>
      <c r="R444" s="140"/>
      <c r="S444" s="140"/>
      <c r="T444" s="140"/>
      <c r="U444" s="140"/>
      <c r="V444" s="140"/>
      <c r="W444" s="140"/>
      <c r="X444" s="140"/>
      <c r="Y444" s="140"/>
      <c r="Z444" s="140"/>
      <c r="AA444" s="140"/>
      <c r="AB444" s="140"/>
      <c r="AC444" s="140"/>
      <c r="AD444" s="140"/>
      <c r="AE444" s="140"/>
      <c r="AF444" s="140"/>
      <c r="AG444" s="140"/>
      <c r="AH444" s="140"/>
      <c r="AI444" s="140"/>
      <c r="AJ444" s="140"/>
      <c r="AK444" s="140"/>
      <c r="AL444" s="140"/>
      <c r="AM444" s="140"/>
      <c r="AN444" s="140"/>
      <c r="AO444" s="140"/>
      <c r="AP444" s="140"/>
      <c r="AQ444" s="140"/>
      <c r="AR444" s="140"/>
      <c r="AS444" s="140"/>
      <c r="AT444" s="140"/>
      <c r="AU444" s="140"/>
      <c r="AV444" s="140"/>
      <c r="AW444" s="140"/>
      <c r="AX444" s="140"/>
      <c r="AY444" s="140"/>
      <c r="AZ444" s="140"/>
      <c r="BA444" s="140"/>
      <c r="BB444" s="140"/>
      <c r="BC444" s="140"/>
      <c r="BD444" s="140"/>
      <c r="BE444" s="140"/>
      <c r="BF444" s="140"/>
      <c r="BG444" s="140"/>
      <c r="BH444" s="140"/>
      <c r="BI444" s="140"/>
      <c r="BJ444" s="140"/>
      <c r="BK444" s="140"/>
      <c r="BL444" s="140"/>
      <c r="BM444" s="140"/>
      <c r="BN444" s="140"/>
      <c r="BO444" s="140"/>
      <c r="BP444" s="140"/>
      <c r="BQ444" s="140"/>
      <c r="BR444" s="140"/>
      <c r="BS444" s="140"/>
      <c r="BT444" s="140"/>
      <c r="BU444" s="140"/>
      <c r="BV444" s="140"/>
      <c r="BW444" s="140"/>
      <c r="BX444" s="140"/>
      <c r="BY444" s="140"/>
    </row>
    <row r="445" ht="15.75" customHeight="1">
      <c r="A445" s="150"/>
      <c r="B445" s="140"/>
      <c r="C445" s="140"/>
      <c r="D445" s="140"/>
      <c r="E445" s="140"/>
      <c r="F445" s="140"/>
      <c r="G445" s="140"/>
      <c r="H445" s="140"/>
      <c r="I445" s="140"/>
      <c r="J445" s="140"/>
      <c r="K445" s="140"/>
      <c r="L445" s="140"/>
      <c r="M445" s="140"/>
      <c r="N445" s="140"/>
      <c r="O445" s="140"/>
      <c r="P445" s="140"/>
      <c r="Q445" s="140"/>
      <c r="R445" s="140"/>
      <c r="S445" s="140"/>
      <c r="T445" s="140"/>
      <c r="U445" s="140"/>
      <c r="V445" s="140"/>
      <c r="W445" s="140"/>
      <c r="X445" s="140"/>
      <c r="Y445" s="140"/>
      <c r="Z445" s="140"/>
      <c r="AA445" s="140"/>
      <c r="AB445" s="140"/>
      <c r="AC445" s="140"/>
      <c r="AD445" s="140"/>
      <c r="AE445" s="140"/>
      <c r="AF445" s="140"/>
      <c r="AG445" s="140"/>
      <c r="AH445" s="140"/>
      <c r="AI445" s="140"/>
      <c r="AJ445" s="140"/>
      <c r="AK445" s="140"/>
      <c r="AL445" s="140"/>
      <c r="AM445" s="140"/>
      <c r="AN445" s="140"/>
      <c r="AO445" s="140"/>
      <c r="AP445" s="140"/>
      <c r="AQ445" s="140"/>
      <c r="AR445" s="140"/>
      <c r="AS445" s="140"/>
      <c r="AT445" s="140"/>
      <c r="AU445" s="140"/>
      <c r="AV445" s="140"/>
      <c r="AW445" s="140"/>
      <c r="AX445" s="140"/>
      <c r="AY445" s="140"/>
      <c r="AZ445" s="140"/>
      <c r="BA445" s="140"/>
      <c r="BB445" s="140"/>
      <c r="BC445" s="140"/>
      <c r="BD445" s="140"/>
      <c r="BE445" s="140"/>
      <c r="BF445" s="140"/>
      <c r="BG445" s="140"/>
      <c r="BH445" s="140"/>
      <c r="BI445" s="140"/>
      <c r="BJ445" s="140"/>
      <c r="BK445" s="140"/>
      <c r="BL445" s="140"/>
      <c r="BM445" s="140"/>
      <c r="BN445" s="140"/>
      <c r="BO445" s="140"/>
      <c r="BP445" s="140"/>
      <c r="BQ445" s="140"/>
      <c r="BR445" s="140"/>
      <c r="BS445" s="140"/>
      <c r="BT445" s="140"/>
      <c r="BU445" s="140"/>
      <c r="BV445" s="140"/>
      <c r="BW445" s="140"/>
      <c r="BX445" s="140"/>
      <c r="BY445" s="140"/>
    </row>
    <row r="446" ht="15.75" customHeight="1">
      <c r="A446" s="150"/>
      <c r="B446" s="140"/>
      <c r="C446" s="140"/>
      <c r="D446" s="140"/>
      <c r="E446" s="140"/>
      <c r="F446" s="140"/>
      <c r="G446" s="140"/>
      <c r="H446" s="140"/>
      <c r="I446" s="140"/>
      <c r="J446" s="140"/>
      <c r="K446" s="140"/>
      <c r="L446" s="140"/>
      <c r="M446" s="140"/>
      <c r="N446" s="140"/>
      <c r="O446" s="140"/>
      <c r="P446" s="140"/>
      <c r="Q446" s="140"/>
      <c r="R446" s="140"/>
      <c r="S446" s="140"/>
      <c r="T446" s="140"/>
      <c r="U446" s="140"/>
      <c r="V446" s="140"/>
      <c r="W446" s="140"/>
      <c r="X446" s="140"/>
      <c r="Y446" s="140"/>
      <c r="Z446" s="140"/>
      <c r="AA446" s="140"/>
      <c r="AB446" s="140"/>
      <c r="AC446" s="140"/>
      <c r="AD446" s="140"/>
      <c r="AE446" s="140"/>
      <c r="AF446" s="140"/>
      <c r="AG446" s="140"/>
      <c r="AH446" s="140"/>
      <c r="AI446" s="140"/>
      <c r="AJ446" s="140"/>
      <c r="AK446" s="140"/>
      <c r="AL446" s="140"/>
      <c r="AM446" s="140"/>
      <c r="AN446" s="140"/>
      <c r="AO446" s="140"/>
      <c r="AP446" s="140"/>
      <c r="AQ446" s="140"/>
      <c r="AR446" s="140"/>
      <c r="AS446" s="140"/>
      <c r="AT446" s="140"/>
      <c r="AU446" s="140"/>
      <c r="AV446" s="140"/>
      <c r="AW446" s="140"/>
      <c r="AX446" s="140"/>
      <c r="AY446" s="140"/>
      <c r="AZ446" s="140"/>
      <c r="BA446" s="140"/>
      <c r="BB446" s="140"/>
      <c r="BC446" s="140"/>
      <c r="BD446" s="140"/>
      <c r="BE446" s="140"/>
      <c r="BF446" s="140"/>
      <c r="BG446" s="140"/>
      <c r="BH446" s="140"/>
      <c r="BI446" s="140"/>
      <c r="BJ446" s="140"/>
      <c r="BK446" s="140"/>
      <c r="BL446" s="140"/>
      <c r="BM446" s="140"/>
      <c r="BN446" s="140"/>
      <c r="BO446" s="140"/>
      <c r="BP446" s="140"/>
      <c r="BQ446" s="140"/>
      <c r="BR446" s="140"/>
      <c r="BS446" s="140"/>
      <c r="BT446" s="140"/>
      <c r="BU446" s="140"/>
      <c r="BV446" s="140"/>
      <c r="BW446" s="140"/>
      <c r="BX446" s="140"/>
      <c r="BY446" s="140"/>
    </row>
    <row r="447" ht="15.75" customHeight="1">
      <c r="A447" s="150"/>
      <c r="B447" s="140"/>
      <c r="C447" s="140"/>
      <c r="D447" s="140"/>
      <c r="E447" s="140"/>
      <c r="F447" s="140"/>
      <c r="G447" s="140"/>
      <c r="H447" s="140"/>
      <c r="I447" s="140"/>
      <c r="J447" s="140"/>
      <c r="K447" s="140"/>
      <c r="L447" s="140"/>
      <c r="M447" s="140"/>
      <c r="N447" s="140"/>
      <c r="O447" s="140"/>
      <c r="P447" s="140"/>
      <c r="Q447" s="140"/>
      <c r="R447" s="140"/>
      <c r="S447" s="140"/>
      <c r="T447" s="140"/>
      <c r="U447" s="140"/>
      <c r="V447" s="140"/>
      <c r="W447" s="140"/>
      <c r="X447" s="140"/>
      <c r="Y447" s="140"/>
      <c r="Z447" s="140"/>
      <c r="AA447" s="140"/>
      <c r="AB447" s="140"/>
      <c r="AC447" s="140"/>
      <c r="AD447" s="140"/>
      <c r="AE447" s="140"/>
      <c r="AF447" s="140"/>
      <c r="AG447" s="140"/>
      <c r="AH447" s="140"/>
      <c r="AI447" s="140"/>
      <c r="AJ447" s="140"/>
      <c r="AK447" s="140"/>
      <c r="AL447" s="140"/>
      <c r="AM447" s="140"/>
      <c r="AN447" s="140"/>
      <c r="AO447" s="140"/>
      <c r="AP447" s="140"/>
      <c r="AQ447" s="140"/>
      <c r="AR447" s="140"/>
      <c r="AS447" s="140"/>
      <c r="AT447" s="140"/>
      <c r="AU447" s="140"/>
      <c r="AV447" s="140"/>
      <c r="AW447" s="140"/>
      <c r="AX447" s="140"/>
      <c r="AY447" s="140"/>
      <c r="AZ447" s="140"/>
      <c r="BA447" s="140"/>
      <c r="BB447" s="140"/>
      <c r="BC447" s="140"/>
      <c r="BD447" s="140"/>
      <c r="BE447" s="140"/>
      <c r="BF447" s="140"/>
      <c r="BG447" s="140"/>
      <c r="BH447" s="140"/>
      <c r="BI447" s="140"/>
      <c r="BJ447" s="140"/>
      <c r="BK447" s="140"/>
      <c r="BL447" s="140"/>
      <c r="BM447" s="140"/>
      <c r="BN447" s="140"/>
      <c r="BO447" s="140"/>
      <c r="BP447" s="140"/>
      <c r="BQ447" s="140"/>
      <c r="BR447" s="140"/>
      <c r="BS447" s="140"/>
      <c r="BT447" s="140"/>
      <c r="BU447" s="140"/>
      <c r="BV447" s="140"/>
      <c r="BW447" s="140"/>
      <c r="BX447" s="140"/>
      <c r="BY447" s="140"/>
    </row>
    <row r="448" ht="15.75" customHeight="1">
      <c r="A448" s="150"/>
      <c r="B448" s="140"/>
      <c r="C448" s="140"/>
      <c r="D448" s="140"/>
      <c r="E448" s="140"/>
      <c r="F448" s="140"/>
      <c r="G448" s="140"/>
      <c r="H448" s="140"/>
      <c r="I448" s="140"/>
      <c r="J448" s="140"/>
      <c r="K448" s="140"/>
      <c r="L448" s="140"/>
      <c r="M448" s="140"/>
      <c r="N448" s="140"/>
      <c r="O448" s="140"/>
      <c r="P448" s="140"/>
      <c r="Q448" s="140"/>
      <c r="R448" s="140"/>
      <c r="S448" s="140"/>
      <c r="T448" s="140"/>
      <c r="U448" s="140"/>
      <c r="V448" s="140"/>
      <c r="W448" s="140"/>
      <c r="X448" s="140"/>
      <c r="Y448" s="140"/>
      <c r="Z448" s="140"/>
      <c r="AA448" s="140"/>
      <c r="AB448" s="140"/>
      <c r="AC448" s="140"/>
      <c r="AD448" s="140"/>
      <c r="AE448" s="140"/>
      <c r="AF448" s="140"/>
      <c r="AG448" s="140"/>
      <c r="AH448" s="140"/>
      <c r="AI448" s="140"/>
      <c r="AJ448" s="140"/>
      <c r="AK448" s="140"/>
      <c r="AL448" s="140"/>
      <c r="AM448" s="140"/>
      <c r="AN448" s="140"/>
      <c r="AO448" s="140"/>
      <c r="AP448" s="140"/>
      <c r="AQ448" s="140"/>
      <c r="AR448" s="140"/>
      <c r="AS448" s="140"/>
      <c r="AT448" s="140"/>
      <c r="AU448" s="140"/>
      <c r="AV448" s="140"/>
      <c r="AW448" s="140"/>
      <c r="AX448" s="140"/>
      <c r="AY448" s="140"/>
      <c r="AZ448" s="140"/>
      <c r="BA448" s="140"/>
      <c r="BB448" s="140"/>
      <c r="BC448" s="140"/>
      <c r="BD448" s="140"/>
      <c r="BE448" s="140"/>
      <c r="BF448" s="140"/>
      <c r="BG448" s="140"/>
      <c r="BH448" s="140"/>
      <c r="BI448" s="140"/>
      <c r="BJ448" s="140"/>
      <c r="BK448" s="140"/>
      <c r="BL448" s="140"/>
      <c r="BM448" s="140"/>
      <c r="BN448" s="140"/>
      <c r="BO448" s="140"/>
      <c r="BP448" s="140"/>
      <c r="BQ448" s="140"/>
      <c r="BR448" s="140"/>
      <c r="BS448" s="140"/>
      <c r="BT448" s="140"/>
      <c r="BU448" s="140"/>
      <c r="BV448" s="140"/>
      <c r="BW448" s="140"/>
      <c r="BX448" s="140"/>
      <c r="BY448" s="140"/>
    </row>
    <row r="449" ht="15.75" customHeight="1">
      <c r="A449" s="150"/>
      <c r="B449" s="140"/>
      <c r="C449" s="140"/>
      <c r="D449" s="140"/>
      <c r="E449" s="140"/>
      <c r="F449" s="140"/>
      <c r="G449" s="140"/>
      <c r="H449" s="140"/>
      <c r="I449" s="140"/>
      <c r="J449" s="140"/>
      <c r="K449" s="140"/>
      <c r="L449" s="140"/>
      <c r="M449" s="140"/>
      <c r="N449" s="140"/>
      <c r="O449" s="140"/>
      <c r="P449" s="140"/>
      <c r="Q449" s="140"/>
      <c r="R449" s="140"/>
      <c r="S449" s="140"/>
      <c r="T449" s="140"/>
      <c r="U449" s="140"/>
      <c r="V449" s="140"/>
      <c r="W449" s="140"/>
      <c r="X449" s="140"/>
      <c r="Y449" s="140"/>
      <c r="Z449" s="140"/>
      <c r="AA449" s="140"/>
      <c r="AB449" s="140"/>
      <c r="AC449" s="140"/>
      <c r="AD449" s="140"/>
      <c r="AE449" s="140"/>
      <c r="AF449" s="140"/>
      <c r="AG449" s="140"/>
      <c r="AH449" s="140"/>
      <c r="AI449" s="140"/>
      <c r="AJ449" s="140"/>
      <c r="AK449" s="140"/>
      <c r="AL449" s="140"/>
      <c r="AM449" s="140"/>
      <c r="AN449" s="140"/>
      <c r="AO449" s="140"/>
      <c r="AP449" s="140"/>
      <c r="AQ449" s="140"/>
      <c r="AR449" s="140"/>
      <c r="AS449" s="140"/>
      <c r="AT449" s="140"/>
      <c r="AU449" s="140"/>
      <c r="AV449" s="140"/>
      <c r="AW449" s="140"/>
      <c r="AX449" s="140"/>
      <c r="AY449" s="140"/>
      <c r="AZ449" s="140"/>
      <c r="BA449" s="140"/>
      <c r="BB449" s="140"/>
      <c r="BC449" s="140"/>
      <c r="BD449" s="140"/>
      <c r="BE449" s="140"/>
      <c r="BF449" s="140"/>
      <c r="BG449" s="140"/>
      <c r="BH449" s="140"/>
      <c r="BI449" s="140"/>
      <c r="BJ449" s="140"/>
      <c r="BK449" s="140"/>
      <c r="BL449" s="140"/>
      <c r="BM449" s="140"/>
      <c r="BN449" s="140"/>
      <c r="BO449" s="140"/>
      <c r="BP449" s="140"/>
      <c r="BQ449" s="140"/>
      <c r="BR449" s="140"/>
      <c r="BS449" s="140"/>
      <c r="BT449" s="140"/>
      <c r="BU449" s="140"/>
      <c r="BV449" s="140"/>
      <c r="BW449" s="140"/>
      <c r="BX449" s="140"/>
      <c r="BY449" s="140"/>
    </row>
    <row r="450" ht="15.75" customHeight="1">
      <c r="A450" s="150"/>
      <c r="B450" s="140"/>
      <c r="C450" s="140"/>
      <c r="D450" s="140"/>
      <c r="E450" s="140"/>
      <c r="F450" s="140"/>
      <c r="G450" s="140"/>
      <c r="H450" s="140"/>
      <c r="I450" s="140"/>
      <c r="J450" s="140"/>
      <c r="K450" s="140"/>
      <c r="L450" s="140"/>
      <c r="M450" s="140"/>
      <c r="N450" s="140"/>
      <c r="O450" s="140"/>
      <c r="P450" s="140"/>
      <c r="Q450" s="140"/>
      <c r="R450" s="140"/>
      <c r="S450" s="140"/>
      <c r="T450" s="140"/>
      <c r="U450" s="140"/>
      <c r="V450" s="140"/>
      <c r="W450" s="140"/>
      <c r="X450" s="140"/>
      <c r="Y450" s="140"/>
      <c r="Z450" s="140"/>
      <c r="AA450" s="140"/>
      <c r="AB450" s="140"/>
      <c r="AC450" s="140"/>
      <c r="AD450" s="140"/>
      <c r="AE450" s="140"/>
      <c r="AF450" s="140"/>
      <c r="AG450" s="140"/>
      <c r="AH450" s="140"/>
      <c r="AI450" s="140"/>
      <c r="AJ450" s="140"/>
      <c r="AK450" s="140"/>
      <c r="AL450" s="140"/>
      <c r="AM450" s="140"/>
      <c r="AN450" s="140"/>
      <c r="AO450" s="140"/>
      <c r="AP450" s="140"/>
      <c r="AQ450" s="140"/>
      <c r="AR450" s="140"/>
      <c r="AS450" s="140"/>
      <c r="AT450" s="140"/>
      <c r="AU450" s="140"/>
      <c r="AV450" s="140"/>
      <c r="AW450" s="140"/>
      <c r="AX450" s="140"/>
      <c r="AY450" s="140"/>
      <c r="AZ450" s="140"/>
      <c r="BA450" s="140"/>
      <c r="BB450" s="140"/>
      <c r="BC450" s="140"/>
      <c r="BD450" s="140"/>
      <c r="BE450" s="140"/>
      <c r="BF450" s="140"/>
      <c r="BG450" s="140"/>
      <c r="BH450" s="140"/>
      <c r="BI450" s="140"/>
      <c r="BJ450" s="140"/>
      <c r="BK450" s="140"/>
      <c r="BL450" s="140"/>
      <c r="BM450" s="140"/>
      <c r="BN450" s="140"/>
      <c r="BO450" s="140"/>
      <c r="BP450" s="140"/>
      <c r="BQ450" s="140"/>
      <c r="BR450" s="140"/>
      <c r="BS450" s="140"/>
      <c r="BT450" s="140"/>
      <c r="BU450" s="140"/>
      <c r="BV450" s="140"/>
      <c r="BW450" s="140"/>
      <c r="BX450" s="140"/>
      <c r="BY450" s="140"/>
    </row>
    <row r="451" ht="15.75" customHeight="1">
      <c r="A451" s="150"/>
      <c r="B451" s="140"/>
      <c r="C451" s="140"/>
      <c r="D451" s="140"/>
      <c r="E451" s="140"/>
      <c r="F451" s="140"/>
      <c r="G451" s="140"/>
      <c r="H451" s="140"/>
      <c r="I451" s="140"/>
      <c r="J451" s="140"/>
      <c r="K451" s="140"/>
      <c r="L451" s="140"/>
      <c r="M451" s="140"/>
      <c r="N451" s="140"/>
      <c r="O451" s="140"/>
      <c r="P451" s="140"/>
      <c r="Q451" s="140"/>
      <c r="R451" s="140"/>
      <c r="S451" s="140"/>
      <c r="T451" s="140"/>
      <c r="U451" s="140"/>
      <c r="V451" s="140"/>
      <c r="W451" s="140"/>
      <c r="X451" s="140"/>
      <c r="Y451" s="140"/>
      <c r="Z451" s="140"/>
      <c r="AA451" s="140"/>
      <c r="AB451" s="140"/>
      <c r="AC451" s="140"/>
      <c r="AD451" s="140"/>
      <c r="AE451" s="140"/>
      <c r="AF451" s="140"/>
      <c r="AG451" s="140"/>
      <c r="AH451" s="140"/>
      <c r="AI451" s="140"/>
      <c r="AJ451" s="140"/>
      <c r="AK451" s="140"/>
      <c r="AL451" s="140"/>
      <c r="AM451" s="140"/>
      <c r="AN451" s="140"/>
      <c r="AO451" s="140"/>
      <c r="AP451" s="140"/>
      <c r="AQ451" s="140"/>
      <c r="AR451" s="140"/>
      <c r="AS451" s="140"/>
      <c r="AT451" s="140"/>
      <c r="AU451" s="140"/>
      <c r="AV451" s="140"/>
      <c r="AW451" s="140"/>
      <c r="AX451" s="140"/>
      <c r="AY451" s="140"/>
      <c r="AZ451" s="140"/>
      <c r="BA451" s="140"/>
      <c r="BB451" s="140"/>
      <c r="BC451" s="140"/>
      <c r="BD451" s="140"/>
      <c r="BE451" s="140"/>
      <c r="BF451" s="140"/>
      <c r="BG451" s="140"/>
      <c r="BH451" s="140"/>
      <c r="BI451" s="140"/>
      <c r="BJ451" s="140"/>
      <c r="BK451" s="140"/>
      <c r="BL451" s="140"/>
      <c r="BM451" s="140"/>
      <c r="BN451" s="140"/>
      <c r="BO451" s="140"/>
      <c r="BP451" s="140"/>
      <c r="BQ451" s="140"/>
      <c r="BR451" s="140"/>
      <c r="BS451" s="140"/>
      <c r="BT451" s="140"/>
      <c r="BU451" s="140"/>
      <c r="BV451" s="140"/>
      <c r="BW451" s="140"/>
      <c r="BX451" s="140"/>
      <c r="BY451" s="140"/>
    </row>
    <row r="452" ht="15.75" customHeight="1">
      <c r="A452" s="150"/>
      <c r="B452" s="140"/>
      <c r="C452" s="140"/>
      <c r="D452" s="140"/>
      <c r="E452" s="140"/>
      <c r="F452" s="140"/>
      <c r="G452" s="140"/>
      <c r="H452" s="140"/>
      <c r="I452" s="140"/>
      <c r="J452" s="140"/>
      <c r="K452" s="140"/>
      <c r="L452" s="140"/>
      <c r="M452" s="140"/>
      <c r="N452" s="140"/>
      <c r="O452" s="140"/>
      <c r="P452" s="140"/>
      <c r="Q452" s="140"/>
      <c r="R452" s="140"/>
      <c r="S452" s="140"/>
      <c r="T452" s="140"/>
      <c r="U452" s="140"/>
      <c r="V452" s="140"/>
      <c r="W452" s="140"/>
      <c r="X452" s="140"/>
      <c r="Y452" s="140"/>
      <c r="Z452" s="140"/>
      <c r="AA452" s="140"/>
      <c r="AB452" s="140"/>
      <c r="AC452" s="140"/>
      <c r="AD452" s="140"/>
      <c r="AE452" s="140"/>
      <c r="AF452" s="140"/>
      <c r="AG452" s="140"/>
      <c r="AH452" s="140"/>
      <c r="AI452" s="140"/>
      <c r="AJ452" s="140"/>
      <c r="AK452" s="140"/>
      <c r="AL452" s="140"/>
      <c r="AM452" s="140"/>
      <c r="AN452" s="140"/>
      <c r="AO452" s="140"/>
      <c r="AP452" s="140"/>
      <c r="AQ452" s="140"/>
      <c r="AR452" s="140"/>
      <c r="AS452" s="140"/>
      <c r="AT452" s="140"/>
      <c r="AU452" s="140"/>
      <c r="AV452" s="140"/>
      <c r="AW452" s="140"/>
      <c r="AX452" s="140"/>
      <c r="AY452" s="140"/>
      <c r="AZ452" s="140"/>
      <c r="BA452" s="140"/>
      <c r="BB452" s="140"/>
      <c r="BC452" s="140"/>
      <c r="BD452" s="140"/>
      <c r="BE452" s="140"/>
      <c r="BF452" s="140"/>
      <c r="BG452" s="140"/>
      <c r="BH452" s="140"/>
      <c r="BI452" s="140"/>
      <c r="BJ452" s="140"/>
      <c r="BK452" s="140"/>
      <c r="BL452" s="140"/>
      <c r="BM452" s="140"/>
      <c r="BN452" s="140"/>
      <c r="BO452" s="140"/>
      <c r="BP452" s="140"/>
      <c r="BQ452" s="140"/>
      <c r="BR452" s="140"/>
      <c r="BS452" s="140"/>
      <c r="BT452" s="140"/>
      <c r="BU452" s="140"/>
      <c r="BV452" s="140"/>
      <c r="BW452" s="140"/>
      <c r="BX452" s="140"/>
      <c r="BY452" s="140"/>
    </row>
    <row r="453" ht="15.75" customHeight="1">
      <c r="A453" s="150"/>
      <c r="B453" s="140"/>
      <c r="C453" s="140"/>
      <c r="D453" s="140"/>
      <c r="E453" s="140"/>
      <c r="F453" s="140"/>
      <c r="G453" s="140"/>
      <c r="H453" s="140"/>
      <c r="I453" s="140"/>
      <c r="J453" s="140"/>
      <c r="K453" s="140"/>
      <c r="L453" s="140"/>
      <c r="M453" s="140"/>
      <c r="N453" s="140"/>
      <c r="O453" s="140"/>
      <c r="P453" s="140"/>
      <c r="Q453" s="140"/>
      <c r="R453" s="140"/>
      <c r="S453" s="140"/>
      <c r="T453" s="140"/>
      <c r="U453" s="140"/>
      <c r="V453" s="140"/>
      <c r="W453" s="140"/>
      <c r="X453" s="140"/>
      <c r="Y453" s="140"/>
      <c r="Z453" s="140"/>
      <c r="AA453" s="140"/>
      <c r="AB453" s="140"/>
      <c r="AC453" s="140"/>
      <c r="AD453" s="140"/>
      <c r="AE453" s="140"/>
      <c r="AF453" s="140"/>
      <c r="AG453" s="140"/>
      <c r="AH453" s="140"/>
      <c r="AI453" s="140"/>
      <c r="AJ453" s="140"/>
      <c r="AK453" s="140"/>
      <c r="AL453" s="140"/>
      <c r="AM453" s="140"/>
      <c r="AN453" s="140"/>
      <c r="AO453" s="140"/>
      <c r="AP453" s="140"/>
      <c r="AQ453" s="140"/>
      <c r="AR453" s="140"/>
      <c r="AS453" s="140"/>
      <c r="AT453" s="140"/>
      <c r="AU453" s="140"/>
      <c r="AV453" s="140"/>
      <c r="AW453" s="140"/>
      <c r="AX453" s="140"/>
      <c r="AY453" s="140"/>
      <c r="AZ453" s="140"/>
      <c r="BA453" s="140"/>
      <c r="BB453" s="140"/>
      <c r="BC453" s="140"/>
      <c r="BD453" s="140"/>
      <c r="BE453" s="140"/>
      <c r="BF453" s="140"/>
      <c r="BG453" s="140"/>
      <c r="BH453" s="140"/>
      <c r="BI453" s="140"/>
      <c r="BJ453" s="140"/>
      <c r="BK453" s="140"/>
      <c r="BL453" s="140"/>
      <c r="BM453" s="140"/>
      <c r="BN453" s="140"/>
      <c r="BO453" s="140"/>
      <c r="BP453" s="140"/>
      <c r="BQ453" s="140"/>
      <c r="BR453" s="140"/>
      <c r="BS453" s="140"/>
      <c r="BT453" s="140"/>
      <c r="BU453" s="140"/>
      <c r="BV453" s="140"/>
      <c r="BW453" s="140"/>
      <c r="BX453" s="140"/>
      <c r="BY453" s="140"/>
    </row>
    <row r="454" ht="15.75" customHeight="1">
      <c r="A454" s="150"/>
      <c r="B454" s="140"/>
      <c r="C454" s="140"/>
      <c r="D454" s="140"/>
      <c r="E454" s="140"/>
      <c r="F454" s="140"/>
      <c r="G454" s="140"/>
      <c r="H454" s="140"/>
      <c r="I454" s="140"/>
      <c r="J454" s="140"/>
      <c r="K454" s="140"/>
      <c r="L454" s="140"/>
      <c r="M454" s="140"/>
      <c r="N454" s="140"/>
      <c r="O454" s="140"/>
      <c r="P454" s="140"/>
      <c r="Q454" s="140"/>
      <c r="R454" s="140"/>
      <c r="S454" s="140"/>
      <c r="T454" s="140"/>
      <c r="U454" s="140"/>
      <c r="V454" s="140"/>
      <c r="W454" s="140"/>
      <c r="X454" s="140"/>
      <c r="Y454" s="140"/>
      <c r="Z454" s="140"/>
      <c r="AA454" s="140"/>
      <c r="AB454" s="140"/>
      <c r="AC454" s="140"/>
      <c r="AD454" s="140"/>
      <c r="AE454" s="140"/>
      <c r="AF454" s="140"/>
      <c r="AG454" s="140"/>
      <c r="AH454" s="140"/>
      <c r="AI454" s="140"/>
      <c r="AJ454" s="140"/>
      <c r="AK454" s="140"/>
      <c r="AL454" s="140"/>
      <c r="AM454" s="140"/>
      <c r="AN454" s="140"/>
      <c r="AO454" s="140"/>
      <c r="AP454" s="140"/>
      <c r="AQ454" s="140"/>
      <c r="AR454" s="140"/>
      <c r="AS454" s="140"/>
      <c r="AT454" s="140"/>
      <c r="AU454" s="140"/>
      <c r="AV454" s="140"/>
      <c r="AW454" s="140"/>
      <c r="AX454" s="140"/>
      <c r="AY454" s="140"/>
      <c r="AZ454" s="140"/>
      <c r="BA454" s="140"/>
      <c r="BB454" s="140"/>
      <c r="BC454" s="140"/>
      <c r="BD454" s="140"/>
      <c r="BE454" s="140"/>
      <c r="BF454" s="140"/>
      <c r="BG454" s="140"/>
      <c r="BH454" s="140"/>
      <c r="BI454" s="140"/>
      <c r="BJ454" s="140"/>
      <c r="BK454" s="140"/>
      <c r="BL454" s="140"/>
      <c r="BM454" s="140"/>
      <c r="BN454" s="140"/>
      <c r="BO454" s="140"/>
      <c r="BP454" s="140"/>
      <c r="BQ454" s="140"/>
      <c r="BR454" s="140"/>
      <c r="BS454" s="140"/>
      <c r="BT454" s="140"/>
      <c r="BU454" s="140"/>
      <c r="BV454" s="140"/>
      <c r="BW454" s="140"/>
      <c r="BX454" s="140"/>
      <c r="BY454" s="140"/>
    </row>
    <row r="455" ht="15.75" customHeight="1">
      <c r="A455" s="150"/>
      <c r="B455" s="140"/>
      <c r="C455" s="140"/>
      <c r="D455" s="140"/>
      <c r="E455" s="140"/>
      <c r="F455" s="140"/>
      <c r="G455" s="140"/>
      <c r="H455" s="140"/>
      <c r="I455" s="140"/>
      <c r="J455" s="140"/>
      <c r="K455" s="140"/>
      <c r="L455" s="140"/>
      <c r="M455" s="140"/>
      <c r="N455" s="140"/>
      <c r="O455" s="140"/>
      <c r="P455" s="140"/>
      <c r="Q455" s="140"/>
      <c r="R455" s="140"/>
      <c r="S455" s="140"/>
      <c r="T455" s="140"/>
      <c r="U455" s="140"/>
      <c r="V455" s="140"/>
      <c r="W455" s="140"/>
      <c r="X455" s="140"/>
      <c r="Y455" s="140"/>
      <c r="Z455" s="140"/>
      <c r="AA455" s="140"/>
      <c r="AB455" s="140"/>
      <c r="AC455" s="140"/>
      <c r="AD455" s="140"/>
      <c r="AE455" s="140"/>
      <c r="AF455" s="140"/>
      <c r="AG455" s="140"/>
      <c r="AH455" s="140"/>
      <c r="AI455" s="140"/>
      <c r="AJ455" s="140"/>
      <c r="AK455" s="140"/>
      <c r="AL455" s="140"/>
      <c r="AM455" s="140"/>
      <c r="AN455" s="140"/>
      <c r="AO455" s="140"/>
      <c r="AP455" s="140"/>
      <c r="AQ455" s="140"/>
      <c r="AR455" s="140"/>
      <c r="AS455" s="140"/>
      <c r="AT455" s="140"/>
      <c r="AU455" s="140"/>
      <c r="AV455" s="140"/>
      <c r="AW455" s="140"/>
      <c r="AX455" s="140"/>
      <c r="AY455" s="140"/>
      <c r="AZ455" s="140"/>
      <c r="BA455" s="140"/>
      <c r="BB455" s="140"/>
      <c r="BC455" s="140"/>
      <c r="BD455" s="140"/>
      <c r="BE455" s="140"/>
      <c r="BF455" s="140"/>
      <c r="BG455" s="140"/>
      <c r="BH455" s="140"/>
      <c r="BI455" s="140"/>
      <c r="BJ455" s="140"/>
      <c r="BK455" s="140"/>
      <c r="BL455" s="140"/>
      <c r="BM455" s="140"/>
      <c r="BN455" s="140"/>
      <c r="BO455" s="140"/>
      <c r="BP455" s="140"/>
      <c r="BQ455" s="140"/>
      <c r="BR455" s="140"/>
      <c r="BS455" s="140"/>
      <c r="BT455" s="140"/>
      <c r="BU455" s="140"/>
      <c r="BV455" s="140"/>
      <c r="BW455" s="140"/>
      <c r="BX455" s="140"/>
      <c r="BY455" s="140"/>
    </row>
    <row r="456" ht="15.75" customHeight="1">
      <c r="A456" s="150"/>
      <c r="B456" s="140"/>
      <c r="C456" s="140"/>
      <c r="D456" s="140"/>
      <c r="E456" s="140"/>
      <c r="F456" s="140"/>
      <c r="G456" s="140"/>
      <c r="H456" s="140"/>
      <c r="I456" s="140"/>
      <c r="J456" s="140"/>
      <c r="K456" s="140"/>
      <c r="L456" s="140"/>
      <c r="M456" s="140"/>
      <c r="N456" s="140"/>
      <c r="O456" s="140"/>
      <c r="P456" s="140"/>
      <c r="Q456" s="140"/>
      <c r="R456" s="140"/>
      <c r="S456" s="140"/>
      <c r="T456" s="140"/>
      <c r="U456" s="140"/>
      <c r="V456" s="140"/>
      <c r="W456" s="140"/>
      <c r="X456" s="140"/>
      <c r="Y456" s="140"/>
      <c r="Z456" s="140"/>
      <c r="AA456" s="140"/>
      <c r="AB456" s="140"/>
      <c r="AC456" s="140"/>
      <c r="AD456" s="140"/>
      <c r="AE456" s="140"/>
      <c r="AF456" s="140"/>
      <c r="AG456" s="140"/>
      <c r="AH456" s="140"/>
      <c r="AI456" s="140"/>
      <c r="AJ456" s="140"/>
      <c r="AK456" s="140"/>
      <c r="AL456" s="140"/>
      <c r="AM456" s="140"/>
      <c r="AN456" s="140"/>
      <c r="AO456" s="140"/>
      <c r="AP456" s="140"/>
      <c r="AQ456" s="140"/>
      <c r="AR456" s="140"/>
      <c r="AS456" s="140"/>
      <c r="AT456" s="140"/>
      <c r="AU456" s="140"/>
      <c r="AV456" s="140"/>
      <c r="AW456" s="140"/>
      <c r="AX456" s="140"/>
      <c r="AY456" s="140"/>
      <c r="AZ456" s="140"/>
      <c r="BA456" s="140"/>
      <c r="BB456" s="140"/>
      <c r="BC456" s="140"/>
      <c r="BD456" s="140"/>
      <c r="BE456" s="140"/>
      <c r="BF456" s="140"/>
      <c r="BG456" s="140"/>
      <c r="BH456" s="140"/>
      <c r="BI456" s="140"/>
      <c r="BJ456" s="140"/>
      <c r="BK456" s="140"/>
      <c r="BL456" s="140"/>
      <c r="BM456" s="140"/>
      <c r="BN456" s="140"/>
      <c r="BO456" s="140"/>
      <c r="BP456" s="140"/>
      <c r="BQ456" s="140"/>
      <c r="BR456" s="140"/>
      <c r="BS456" s="140"/>
      <c r="BT456" s="140"/>
      <c r="BU456" s="140"/>
      <c r="BV456" s="140"/>
      <c r="BW456" s="140"/>
      <c r="BX456" s="140"/>
      <c r="BY456" s="140"/>
    </row>
    <row r="457" ht="15.75" customHeight="1">
      <c r="A457" s="150"/>
      <c r="B457" s="140"/>
      <c r="C457" s="140"/>
      <c r="D457" s="140"/>
      <c r="E457" s="140"/>
      <c r="F457" s="140"/>
      <c r="G457" s="140"/>
      <c r="H457" s="140"/>
      <c r="I457" s="140"/>
      <c r="J457" s="140"/>
      <c r="K457" s="140"/>
      <c r="L457" s="140"/>
      <c r="M457" s="140"/>
      <c r="N457" s="140"/>
      <c r="O457" s="140"/>
      <c r="P457" s="140"/>
      <c r="Q457" s="140"/>
      <c r="R457" s="140"/>
      <c r="S457" s="140"/>
      <c r="T457" s="140"/>
      <c r="U457" s="140"/>
      <c r="V457" s="140"/>
      <c r="W457" s="140"/>
      <c r="X457" s="140"/>
      <c r="Y457" s="140"/>
      <c r="Z457" s="140"/>
      <c r="AA457" s="140"/>
      <c r="AB457" s="140"/>
      <c r="AC457" s="140"/>
      <c r="AD457" s="140"/>
      <c r="AE457" s="140"/>
      <c r="AF457" s="140"/>
      <c r="AG457" s="140"/>
      <c r="AH457" s="140"/>
      <c r="AI457" s="140"/>
      <c r="AJ457" s="140"/>
      <c r="AK457" s="140"/>
      <c r="AL457" s="140"/>
      <c r="AM457" s="140"/>
      <c r="AN457" s="140"/>
      <c r="AO457" s="140"/>
      <c r="AP457" s="140"/>
      <c r="AQ457" s="140"/>
      <c r="AR457" s="140"/>
      <c r="AS457" s="140"/>
      <c r="AT457" s="140"/>
      <c r="AU457" s="140"/>
      <c r="AV457" s="140"/>
      <c r="AW457" s="140"/>
      <c r="AX457" s="140"/>
      <c r="AY457" s="140"/>
      <c r="AZ457" s="140"/>
      <c r="BA457" s="140"/>
      <c r="BB457" s="140"/>
      <c r="BC457" s="140"/>
      <c r="BD457" s="140"/>
      <c r="BE457" s="140"/>
      <c r="BF457" s="140"/>
      <c r="BG457" s="140"/>
      <c r="BH457" s="140"/>
      <c r="BI457" s="140"/>
      <c r="BJ457" s="140"/>
      <c r="BK457" s="140"/>
      <c r="BL457" s="140"/>
      <c r="BM457" s="140"/>
      <c r="BN457" s="140"/>
      <c r="BO457" s="140"/>
      <c r="BP457" s="140"/>
      <c r="BQ457" s="140"/>
      <c r="BR457" s="140"/>
      <c r="BS457" s="140"/>
      <c r="BT457" s="140"/>
      <c r="BU457" s="140"/>
      <c r="BV457" s="140"/>
      <c r="BW457" s="140"/>
      <c r="BX457" s="140"/>
      <c r="BY457" s="140"/>
    </row>
    <row r="458" ht="15.75" customHeight="1">
      <c r="A458" s="150"/>
      <c r="B458" s="140"/>
      <c r="C458" s="140"/>
      <c r="D458" s="140"/>
      <c r="E458" s="140"/>
      <c r="F458" s="140"/>
      <c r="G458" s="140"/>
      <c r="H458" s="140"/>
      <c r="I458" s="140"/>
      <c r="J458" s="140"/>
      <c r="K458" s="140"/>
      <c r="L458" s="140"/>
      <c r="M458" s="140"/>
      <c r="N458" s="140"/>
      <c r="O458" s="140"/>
      <c r="P458" s="140"/>
      <c r="Q458" s="140"/>
      <c r="R458" s="140"/>
      <c r="S458" s="140"/>
      <c r="T458" s="140"/>
      <c r="U458" s="140"/>
      <c r="V458" s="140"/>
      <c r="W458" s="140"/>
      <c r="X458" s="140"/>
      <c r="Y458" s="140"/>
      <c r="Z458" s="140"/>
      <c r="AA458" s="140"/>
      <c r="AB458" s="140"/>
      <c r="AC458" s="140"/>
      <c r="AD458" s="140"/>
      <c r="AE458" s="140"/>
      <c r="AF458" s="140"/>
      <c r="AG458" s="140"/>
      <c r="AH458" s="140"/>
      <c r="AI458" s="140"/>
      <c r="AJ458" s="140"/>
      <c r="AK458" s="140"/>
      <c r="AL458" s="140"/>
      <c r="AM458" s="140"/>
      <c r="AN458" s="140"/>
      <c r="AO458" s="140"/>
      <c r="AP458" s="140"/>
      <c r="AQ458" s="140"/>
      <c r="AR458" s="140"/>
      <c r="AS458" s="140"/>
      <c r="AT458" s="140"/>
      <c r="AU458" s="140"/>
      <c r="AV458" s="140"/>
      <c r="AW458" s="140"/>
      <c r="AX458" s="140"/>
      <c r="AY458" s="140"/>
      <c r="AZ458" s="140"/>
      <c r="BA458" s="140"/>
      <c r="BB458" s="140"/>
      <c r="BC458" s="140"/>
      <c r="BD458" s="140"/>
      <c r="BE458" s="140"/>
      <c r="BF458" s="140"/>
      <c r="BG458" s="140"/>
      <c r="BH458" s="140"/>
      <c r="BI458" s="140"/>
      <c r="BJ458" s="140"/>
      <c r="BK458" s="140"/>
      <c r="BL458" s="140"/>
      <c r="BM458" s="140"/>
      <c r="BN458" s="140"/>
      <c r="BO458" s="140"/>
      <c r="BP458" s="140"/>
      <c r="BQ458" s="140"/>
      <c r="BR458" s="140"/>
      <c r="BS458" s="140"/>
      <c r="BT458" s="140"/>
      <c r="BU458" s="140"/>
      <c r="BV458" s="140"/>
      <c r="BW458" s="140"/>
      <c r="BX458" s="140"/>
      <c r="BY458" s="140"/>
    </row>
    <row r="459" ht="15.75" customHeight="1">
      <c r="A459" s="150"/>
      <c r="B459" s="140"/>
      <c r="C459" s="140"/>
      <c r="D459" s="140"/>
      <c r="E459" s="140"/>
      <c r="F459" s="140"/>
      <c r="G459" s="140"/>
      <c r="H459" s="140"/>
      <c r="I459" s="140"/>
      <c r="J459" s="140"/>
      <c r="K459" s="140"/>
      <c r="L459" s="140"/>
      <c r="M459" s="140"/>
      <c r="N459" s="140"/>
      <c r="O459" s="140"/>
      <c r="P459" s="140"/>
      <c r="Q459" s="140"/>
      <c r="R459" s="140"/>
      <c r="S459" s="140"/>
      <c r="T459" s="140"/>
      <c r="U459" s="140"/>
      <c r="V459" s="140"/>
      <c r="W459" s="140"/>
      <c r="X459" s="140"/>
      <c r="Y459" s="140"/>
      <c r="Z459" s="140"/>
      <c r="AA459" s="140"/>
      <c r="AB459" s="140"/>
      <c r="AC459" s="140"/>
      <c r="AD459" s="140"/>
      <c r="AE459" s="140"/>
      <c r="AF459" s="140"/>
      <c r="AG459" s="140"/>
      <c r="AH459" s="140"/>
      <c r="AI459" s="140"/>
      <c r="AJ459" s="140"/>
      <c r="AK459" s="140"/>
      <c r="AL459" s="140"/>
      <c r="AM459" s="140"/>
      <c r="AN459" s="140"/>
      <c r="AO459" s="140"/>
      <c r="AP459" s="140"/>
      <c r="AQ459" s="140"/>
      <c r="AR459" s="140"/>
      <c r="AS459" s="140"/>
      <c r="AT459" s="140"/>
      <c r="AU459" s="140"/>
      <c r="AV459" s="140"/>
      <c r="AW459" s="140"/>
      <c r="AX459" s="140"/>
      <c r="AY459" s="140"/>
      <c r="AZ459" s="140"/>
      <c r="BA459" s="140"/>
      <c r="BB459" s="140"/>
      <c r="BC459" s="140"/>
      <c r="BD459" s="140"/>
      <c r="BE459" s="140"/>
      <c r="BF459" s="140"/>
      <c r="BG459" s="140"/>
      <c r="BH459" s="140"/>
      <c r="BI459" s="140"/>
      <c r="BJ459" s="140"/>
      <c r="BK459" s="140"/>
      <c r="BL459" s="140"/>
      <c r="BM459" s="140"/>
      <c r="BN459" s="140"/>
      <c r="BO459" s="140"/>
      <c r="BP459" s="140"/>
      <c r="BQ459" s="140"/>
      <c r="BR459" s="140"/>
      <c r="BS459" s="140"/>
      <c r="BT459" s="140"/>
      <c r="BU459" s="140"/>
      <c r="BV459" s="140"/>
      <c r="BW459" s="140"/>
      <c r="BX459" s="140"/>
      <c r="BY459" s="140"/>
    </row>
    <row r="460" ht="15.75" customHeight="1">
      <c r="A460" s="150"/>
      <c r="B460" s="140"/>
      <c r="C460" s="140"/>
      <c r="D460" s="140"/>
      <c r="E460" s="140"/>
      <c r="F460" s="140"/>
      <c r="G460" s="140"/>
      <c r="H460" s="140"/>
      <c r="I460" s="140"/>
      <c r="J460" s="140"/>
      <c r="K460" s="140"/>
      <c r="L460" s="140"/>
      <c r="M460" s="140"/>
      <c r="N460" s="140"/>
      <c r="O460" s="140"/>
      <c r="P460" s="140"/>
      <c r="Q460" s="140"/>
      <c r="R460" s="140"/>
      <c r="S460" s="140"/>
      <c r="T460" s="140"/>
      <c r="U460" s="140"/>
      <c r="V460" s="140"/>
      <c r="W460" s="140"/>
      <c r="X460" s="140"/>
      <c r="Y460" s="140"/>
      <c r="Z460" s="140"/>
      <c r="AA460" s="140"/>
      <c r="AB460" s="140"/>
      <c r="AC460" s="140"/>
      <c r="AD460" s="140"/>
      <c r="AE460" s="140"/>
      <c r="AF460" s="140"/>
      <c r="AG460" s="140"/>
      <c r="AH460" s="140"/>
      <c r="AI460" s="140"/>
      <c r="AJ460" s="140"/>
      <c r="AK460" s="140"/>
      <c r="AL460" s="140"/>
      <c r="AM460" s="140"/>
      <c r="AN460" s="140"/>
      <c r="AO460" s="140"/>
      <c r="AP460" s="140"/>
      <c r="AQ460" s="140"/>
      <c r="AR460" s="140"/>
      <c r="AS460" s="140"/>
      <c r="AT460" s="140"/>
      <c r="AU460" s="140"/>
      <c r="AV460" s="140"/>
      <c r="AW460" s="140"/>
      <c r="AX460" s="140"/>
      <c r="AY460" s="140"/>
      <c r="AZ460" s="140"/>
      <c r="BA460" s="140"/>
      <c r="BB460" s="140"/>
      <c r="BC460" s="140"/>
      <c r="BD460" s="140"/>
      <c r="BE460" s="140"/>
      <c r="BF460" s="140"/>
      <c r="BG460" s="140"/>
      <c r="BH460" s="140"/>
      <c r="BI460" s="140"/>
      <c r="BJ460" s="140"/>
      <c r="BK460" s="140"/>
      <c r="BL460" s="140"/>
      <c r="BM460" s="140"/>
      <c r="BN460" s="140"/>
      <c r="BO460" s="140"/>
      <c r="BP460" s="140"/>
      <c r="BQ460" s="140"/>
      <c r="BR460" s="140"/>
      <c r="BS460" s="140"/>
      <c r="BT460" s="140"/>
      <c r="BU460" s="140"/>
      <c r="BV460" s="140"/>
      <c r="BW460" s="140"/>
      <c r="BX460" s="140"/>
      <c r="BY460" s="140"/>
    </row>
    <row r="461" ht="15.75" customHeight="1">
      <c r="A461" s="150"/>
      <c r="B461" s="140"/>
      <c r="C461" s="140"/>
      <c r="D461" s="140"/>
      <c r="E461" s="140"/>
      <c r="F461" s="140"/>
      <c r="G461" s="140"/>
      <c r="H461" s="140"/>
      <c r="I461" s="140"/>
      <c r="J461" s="140"/>
      <c r="K461" s="140"/>
      <c r="L461" s="140"/>
      <c r="M461" s="140"/>
      <c r="N461" s="140"/>
      <c r="O461" s="140"/>
      <c r="P461" s="140"/>
      <c r="Q461" s="140"/>
      <c r="R461" s="140"/>
      <c r="S461" s="140"/>
      <c r="T461" s="140"/>
      <c r="U461" s="140"/>
      <c r="V461" s="140"/>
      <c r="W461" s="140"/>
      <c r="X461" s="140"/>
      <c r="Y461" s="140"/>
      <c r="Z461" s="140"/>
      <c r="AA461" s="140"/>
      <c r="AB461" s="140"/>
      <c r="AC461" s="140"/>
      <c r="AD461" s="140"/>
      <c r="AE461" s="140"/>
      <c r="AF461" s="140"/>
      <c r="AG461" s="140"/>
      <c r="AH461" s="140"/>
      <c r="AI461" s="140"/>
      <c r="AJ461" s="140"/>
      <c r="AK461" s="140"/>
      <c r="AL461" s="140"/>
      <c r="AM461" s="140"/>
      <c r="AN461" s="140"/>
      <c r="AO461" s="140"/>
      <c r="AP461" s="140"/>
      <c r="AQ461" s="140"/>
      <c r="AR461" s="140"/>
      <c r="AS461" s="140"/>
      <c r="AT461" s="140"/>
      <c r="AU461" s="140"/>
      <c r="AV461" s="140"/>
      <c r="AW461" s="140"/>
      <c r="AX461" s="140"/>
      <c r="AY461" s="140"/>
      <c r="AZ461" s="140"/>
      <c r="BA461" s="140"/>
      <c r="BB461" s="140"/>
      <c r="BC461" s="140"/>
      <c r="BD461" s="140"/>
      <c r="BE461" s="140"/>
      <c r="BF461" s="140"/>
      <c r="BG461" s="140"/>
      <c r="BH461" s="140"/>
      <c r="BI461" s="140"/>
      <c r="BJ461" s="140"/>
      <c r="BK461" s="140"/>
      <c r="BL461" s="140"/>
      <c r="BM461" s="140"/>
      <c r="BN461" s="140"/>
      <c r="BO461" s="140"/>
      <c r="BP461" s="140"/>
      <c r="BQ461" s="140"/>
      <c r="BR461" s="140"/>
      <c r="BS461" s="140"/>
      <c r="BT461" s="140"/>
      <c r="BU461" s="140"/>
      <c r="BV461" s="140"/>
      <c r="BW461" s="140"/>
      <c r="BX461" s="140"/>
      <c r="BY461" s="140"/>
    </row>
    <row r="462" ht="15.75" customHeight="1">
      <c r="A462" s="150"/>
      <c r="B462" s="140"/>
      <c r="C462" s="140"/>
      <c r="D462" s="140"/>
      <c r="E462" s="140"/>
      <c r="F462" s="140"/>
      <c r="G462" s="140"/>
      <c r="H462" s="140"/>
      <c r="I462" s="140"/>
      <c r="J462" s="140"/>
      <c r="K462" s="140"/>
      <c r="L462" s="140"/>
      <c r="M462" s="140"/>
      <c r="N462" s="140"/>
      <c r="O462" s="140"/>
      <c r="P462" s="140"/>
      <c r="Q462" s="140"/>
      <c r="R462" s="140"/>
      <c r="S462" s="140"/>
      <c r="T462" s="140"/>
      <c r="U462" s="140"/>
      <c r="V462" s="140"/>
      <c r="W462" s="140"/>
      <c r="X462" s="140"/>
      <c r="Y462" s="140"/>
      <c r="Z462" s="140"/>
      <c r="AA462" s="140"/>
      <c r="AB462" s="140"/>
      <c r="AC462" s="140"/>
      <c r="AD462" s="140"/>
      <c r="AE462" s="140"/>
      <c r="AF462" s="140"/>
      <c r="AG462" s="140"/>
      <c r="AH462" s="140"/>
      <c r="AI462" s="140"/>
      <c r="AJ462" s="140"/>
      <c r="AK462" s="140"/>
      <c r="AL462" s="140"/>
      <c r="AM462" s="140"/>
      <c r="AN462" s="140"/>
      <c r="AO462" s="140"/>
      <c r="AP462" s="140"/>
      <c r="AQ462" s="140"/>
      <c r="AR462" s="140"/>
      <c r="AS462" s="140"/>
      <c r="AT462" s="140"/>
      <c r="AU462" s="140"/>
      <c r="AV462" s="140"/>
      <c r="AW462" s="140"/>
      <c r="AX462" s="140"/>
      <c r="AY462" s="140"/>
      <c r="AZ462" s="140"/>
      <c r="BA462" s="140"/>
      <c r="BB462" s="140"/>
      <c r="BC462" s="140"/>
      <c r="BD462" s="140"/>
      <c r="BE462" s="140"/>
      <c r="BF462" s="140"/>
      <c r="BG462" s="140"/>
      <c r="BH462" s="140"/>
      <c r="BI462" s="140"/>
      <c r="BJ462" s="140"/>
      <c r="BK462" s="140"/>
      <c r="BL462" s="140"/>
      <c r="BM462" s="140"/>
      <c r="BN462" s="140"/>
      <c r="BO462" s="140"/>
      <c r="BP462" s="140"/>
      <c r="BQ462" s="140"/>
      <c r="BR462" s="140"/>
      <c r="BS462" s="140"/>
      <c r="BT462" s="140"/>
      <c r="BU462" s="140"/>
      <c r="BV462" s="140"/>
      <c r="BW462" s="140"/>
      <c r="BX462" s="140"/>
      <c r="BY462" s="140"/>
    </row>
    <row r="463" ht="15.75" customHeight="1">
      <c r="A463" s="150"/>
      <c r="B463" s="140"/>
      <c r="C463" s="140"/>
      <c r="D463" s="140"/>
      <c r="E463" s="140"/>
      <c r="F463" s="140"/>
      <c r="G463" s="140"/>
      <c r="H463" s="140"/>
      <c r="I463" s="140"/>
      <c r="J463" s="140"/>
      <c r="K463" s="140"/>
      <c r="L463" s="140"/>
      <c r="M463" s="140"/>
      <c r="N463" s="140"/>
      <c r="O463" s="140"/>
      <c r="P463" s="140"/>
      <c r="Q463" s="140"/>
      <c r="R463" s="140"/>
      <c r="S463" s="140"/>
      <c r="T463" s="140"/>
      <c r="U463" s="140"/>
      <c r="V463" s="140"/>
      <c r="W463" s="140"/>
      <c r="X463" s="140"/>
      <c r="Y463" s="140"/>
      <c r="Z463" s="140"/>
      <c r="AA463" s="140"/>
      <c r="AB463" s="140"/>
      <c r="AC463" s="140"/>
      <c r="AD463" s="140"/>
      <c r="AE463" s="140"/>
      <c r="AF463" s="140"/>
      <c r="AG463" s="140"/>
      <c r="AH463" s="140"/>
      <c r="AI463" s="140"/>
      <c r="AJ463" s="140"/>
      <c r="AK463" s="140"/>
      <c r="AL463" s="140"/>
      <c r="AM463" s="140"/>
      <c r="AN463" s="140"/>
      <c r="AO463" s="140"/>
      <c r="AP463" s="140"/>
      <c r="AQ463" s="140"/>
      <c r="AR463" s="140"/>
      <c r="AS463" s="140"/>
      <c r="AT463" s="140"/>
      <c r="AU463" s="140"/>
      <c r="AV463" s="140"/>
      <c r="AW463" s="140"/>
      <c r="AX463" s="140"/>
      <c r="AY463" s="140"/>
      <c r="AZ463" s="140"/>
      <c r="BA463" s="140"/>
      <c r="BB463" s="140"/>
      <c r="BC463" s="140"/>
      <c r="BD463" s="140"/>
      <c r="BE463" s="140"/>
      <c r="BF463" s="140"/>
      <c r="BG463" s="140"/>
      <c r="BH463" s="140"/>
      <c r="BI463" s="140"/>
      <c r="BJ463" s="140"/>
      <c r="BK463" s="140"/>
      <c r="BL463" s="140"/>
      <c r="BM463" s="140"/>
      <c r="BN463" s="140"/>
      <c r="BO463" s="140"/>
      <c r="BP463" s="140"/>
      <c r="BQ463" s="140"/>
      <c r="BR463" s="140"/>
      <c r="BS463" s="140"/>
      <c r="BT463" s="140"/>
      <c r="BU463" s="140"/>
      <c r="BV463" s="140"/>
      <c r="BW463" s="140"/>
      <c r="BX463" s="140"/>
      <c r="BY463" s="140"/>
    </row>
    <row r="464" ht="15.75" customHeight="1">
      <c r="A464" s="150"/>
      <c r="B464" s="140"/>
      <c r="C464" s="140"/>
      <c r="D464" s="140"/>
      <c r="E464" s="140"/>
      <c r="F464" s="140"/>
      <c r="G464" s="140"/>
      <c r="H464" s="140"/>
      <c r="I464" s="140"/>
      <c r="J464" s="140"/>
      <c r="K464" s="140"/>
      <c r="L464" s="140"/>
      <c r="M464" s="140"/>
      <c r="N464" s="140"/>
      <c r="O464" s="140"/>
      <c r="P464" s="140"/>
      <c r="Q464" s="140"/>
      <c r="R464" s="140"/>
      <c r="S464" s="140"/>
      <c r="T464" s="140"/>
      <c r="U464" s="140"/>
      <c r="V464" s="140"/>
      <c r="W464" s="140"/>
      <c r="X464" s="140"/>
      <c r="Y464" s="140"/>
      <c r="Z464" s="140"/>
      <c r="AA464" s="140"/>
      <c r="AB464" s="140"/>
      <c r="AC464" s="140"/>
      <c r="AD464" s="140"/>
      <c r="AE464" s="140"/>
      <c r="AF464" s="140"/>
      <c r="AG464" s="140"/>
      <c r="AH464" s="140"/>
      <c r="AI464" s="140"/>
      <c r="AJ464" s="140"/>
      <c r="AK464" s="140"/>
      <c r="AL464" s="140"/>
      <c r="AM464" s="140"/>
      <c r="AN464" s="140"/>
      <c r="AO464" s="140"/>
      <c r="AP464" s="140"/>
      <c r="AQ464" s="140"/>
      <c r="AR464" s="140"/>
      <c r="AS464" s="140"/>
      <c r="AT464" s="140"/>
      <c r="AU464" s="140"/>
      <c r="AV464" s="140"/>
      <c r="AW464" s="140"/>
      <c r="AX464" s="140"/>
      <c r="AY464" s="140"/>
      <c r="AZ464" s="140"/>
      <c r="BA464" s="140"/>
      <c r="BB464" s="140"/>
      <c r="BC464" s="140"/>
      <c r="BD464" s="140"/>
      <c r="BE464" s="140"/>
      <c r="BF464" s="140"/>
      <c r="BG464" s="140"/>
      <c r="BH464" s="140"/>
      <c r="BI464" s="140"/>
      <c r="BJ464" s="140"/>
      <c r="BK464" s="140"/>
      <c r="BL464" s="140"/>
      <c r="BM464" s="140"/>
      <c r="BN464" s="140"/>
      <c r="BO464" s="140"/>
      <c r="BP464" s="140"/>
      <c r="BQ464" s="140"/>
      <c r="BR464" s="140"/>
      <c r="BS464" s="140"/>
      <c r="BT464" s="140"/>
      <c r="BU464" s="140"/>
      <c r="BV464" s="140"/>
      <c r="BW464" s="140"/>
      <c r="BX464" s="140"/>
      <c r="BY464" s="140"/>
    </row>
    <row r="465" ht="15.75" customHeight="1">
      <c r="A465" s="150"/>
      <c r="B465" s="140"/>
      <c r="C465" s="140"/>
      <c r="D465" s="140"/>
      <c r="E465" s="140"/>
      <c r="F465" s="140"/>
      <c r="G465" s="140"/>
      <c r="H465" s="140"/>
      <c r="I465" s="140"/>
      <c r="J465" s="140"/>
      <c r="K465" s="140"/>
      <c r="L465" s="140"/>
      <c r="M465" s="140"/>
      <c r="N465" s="140"/>
      <c r="O465" s="140"/>
      <c r="P465" s="140"/>
      <c r="Q465" s="140"/>
      <c r="R465" s="140"/>
      <c r="S465" s="140"/>
      <c r="T465" s="140"/>
      <c r="U465" s="140"/>
      <c r="V465" s="140"/>
      <c r="W465" s="140"/>
      <c r="X465" s="140"/>
      <c r="Y465" s="140"/>
      <c r="Z465" s="140"/>
      <c r="AA465" s="140"/>
      <c r="AB465" s="140"/>
      <c r="AC465" s="140"/>
      <c r="AD465" s="140"/>
      <c r="AE465" s="140"/>
      <c r="AF465" s="140"/>
      <c r="AG465" s="140"/>
      <c r="AH465" s="140"/>
      <c r="AI465" s="140"/>
      <c r="AJ465" s="140"/>
      <c r="AK465" s="140"/>
      <c r="AL465" s="140"/>
      <c r="AM465" s="140"/>
      <c r="AN465" s="140"/>
      <c r="AO465" s="140"/>
      <c r="AP465" s="140"/>
      <c r="AQ465" s="140"/>
      <c r="AR465" s="140"/>
      <c r="AS465" s="140"/>
      <c r="AT465" s="140"/>
      <c r="AU465" s="140"/>
      <c r="AV465" s="140"/>
      <c r="AW465" s="140"/>
      <c r="AX465" s="140"/>
      <c r="AY465" s="140"/>
      <c r="AZ465" s="140"/>
      <c r="BA465" s="140"/>
      <c r="BB465" s="140"/>
      <c r="BC465" s="140"/>
      <c r="BD465" s="140"/>
      <c r="BE465" s="140"/>
      <c r="BF465" s="140"/>
      <c r="BG465" s="140"/>
      <c r="BH465" s="140"/>
      <c r="BI465" s="140"/>
      <c r="BJ465" s="140"/>
      <c r="BK465" s="140"/>
      <c r="BL465" s="140"/>
      <c r="BM465" s="140"/>
      <c r="BN465" s="140"/>
      <c r="BO465" s="140"/>
      <c r="BP465" s="140"/>
      <c r="BQ465" s="140"/>
      <c r="BR465" s="140"/>
      <c r="BS465" s="140"/>
      <c r="BT465" s="140"/>
      <c r="BU465" s="140"/>
      <c r="BV465" s="140"/>
      <c r="BW465" s="140"/>
      <c r="BX465" s="140"/>
      <c r="BY465" s="140"/>
    </row>
    <row r="466" ht="15.75" customHeight="1">
      <c r="A466" s="150"/>
      <c r="B466" s="140"/>
      <c r="C466" s="140"/>
      <c r="D466" s="140"/>
      <c r="E466" s="140"/>
      <c r="F466" s="140"/>
      <c r="G466" s="140"/>
      <c r="H466" s="140"/>
      <c r="I466" s="140"/>
      <c r="J466" s="140"/>
      <c r="K466" s="140"/>
      <c r="L466" s="140"/>
      <c r="M466" s="140"/>
      <c r="N466" s="140"/>
      <c r="O466" s="140"/>
      <c r="P466" s="140"/>
      <c r="Q466" s="140"/>
      <c r="R466" s="140"/>
      <c r="S466" s="140"/>
      <c r="T466" s="140"/>
      <c r="U466" s="140"/>
      <c r="V466" s="140"/>
      <c r="W466" s="140"/>
      <c r="X466" s="140"/>
      <c r="Y466" s="140"/>
      <c r="Z466" s="140"/>
      <c r="AA466" s="140"/>
      <c r="AB466" s="140"/>
      <c r="AC466" s="140"/>
      <c r="AD466" s="140"/>
      <c r="AE466" s="140"/>
      <c r="AF466" s="140"/>
      <c r="AG466" s="140"/>
      <c r="AH466" s="140"/>
      <c r="AI466" s="140"/>
      <c r="AJ466" s="140"/>
      <c r="AK466" s="140"/>
      <c r="AL466" s="140"/>
      <c r="AM466" s="140"/>
      <c r="AN466" s="140"/>
      <c r="AO466" s="140"/>
      <c r="AP466" s="140"/>
      <c r="AQ466" s="140"/>
      <c r="AR466" s="140"/>
      <c r="AS466" s="140"/>
      <c r="AT466" s="140"/>
      <c r="AU466" s="140"/>
      <c r="AV466" s="140"/>
      <c r="AW466" s="140"/>
      <c r="AX466" s="140"/>
      <c r="AY466" s="140"/>
      <c r="AZ466" s="140"/>
      <c r="BA466" s="140"/>
      <c r="BB466" s="140"/>
      <c r="BC466" s="140"/>
      <c r="BD466" s="140"/>
      <c r="BE466" s="140"/>
      <c r="BF466" s="140"/>
      <c r="BG466" s="140"/>
      <c r="BH466" s="140"/>
      <c r="BI466" s="140"/>
      <c r="BJ466" s="140"/>
      <c r="BK466" s="140"/>
      <c r="BL466" s="140"/>
      <c r="BM466" s="140"/>
      <c r="BN466" s="140"/>
      <c r="BO466" s="140"/>
      <c r="BP466" s="140"/>
      <c r="BQ466" s="140"/>
      <c r="BR466" s="140"/>
      <c r="BS466" s="140"/>
      <c r="BT466" s="140"/>
      <c r="BU466" s="140"/>
      <c r="BV466" s="140"/>
      <c r="BW466" s="140"/>
      <c r="BX466" s="140"/>
      <c r="BY466" s="140"/>
    </row>
    <row r="467" ht="15.75" customHeight="1">
      <c r="A467" s="150"/>
      <c r="B467" s="140"/>
      <c r="C467" s="140"/>
      <c r="D467" s="140"/>
      <c r="E467" s="140"/>
      <c r="F467" s="140"/>
      <c r="G467" s="140"/>
      <c r="H467" s="140"/>
      <c r="I467" s="140"/>
      <c r="J467" s="140"/>
      <c r="K467" s="140"/>
      <c r="L467" s="140"/>
      <c r="M467" s="140"/>
      <c r="N467" s="140"/>
      <c r="O467" s="140"/>
      <c r="P467" s="140"/>
      <c r="Q467" s="140"/>
      <c r="R467" s="140"/>
      <c r="S467" s="140"/>
      <c r="T467" s="140"/>
      <c r="U467" s="140"/>
      <c r="V467" s="140"/>
      <c r="W467" s="140"/>
      <c r="X467" s="140"/>
      <c r="Y467" s="140"/>
      <c r="Z467" s="140"/>
      <c r="AA467" s="140"/>
      <c r="AB467" s="140"/>
      <c r="AC467" s="140"/>
      <c r="AD467" s="140"/>
      <c r="AE467" s="140"/>
      <c r="AF467" s="140"/>
      <c r="AG467" s="140"/>
      <c r="AH467" s="140"/>
      <c r="AI467" s="140"/>
      <c r="AJ467" s="140"/>
      <c r="AK467" s="140"/>
      <c r="AL467" s="140"/>
      <c r="AM467" s="140"/>
      <c r="AN467" s="140"/>
      <c r="AO467" s="140"/>
      <c r="AP467" s="140"/>
      <c r="AQ467" s="140"/>
      <c r="AR467" s="140"/>
      <c r="AS467" s="140"/>
      <c r="AT467" s="140"/>
      <c r="AU467" s="140"/>
      <c r="AV467" s="140"/>
      <c r="AW467" s="140"/>
      <c r="AX467" s="140"/>
      <c r="AY467" s="140"/>
      <c r="AZ467" s="140"/>
      <c r="BA467" s="140"/>
      <c r="BB467" s="140"/>
      <c r="BC467" s="140"/>
      <c r="BD467" s="140"/>
      <c r="BE467" s="140"/>
      <c r="BF467" s="140"/>
      <c r="BG467" s="140"/>
      <c r="BH467" s="140"/>
      <c r="BI467" s="140"/>
      <c r="BJ467" s="140"/>
      <c r="BK467" s="140"/>
      <c r="BL467" s="140"/>
      <c r="BM467" s="140"/>
      <c r="BN467" s="140"/>
      <c r="BO467" s="140"/>
      <c r="BP467" s="140"/>
      <c r="BQ467" s="140"/>
      <c r="BR467" s="140"/>
      <c r="BS467" s="140"/>
      <c r="BT467" s="140"/>
      <c r="BU467" s="140"/>
      <c r="BV467" s="140"/>
      <c r="BW467" s="140"/>
      <c r="BX467" s="140"/>
      <c r="BY467" s="140"/>
    </row>
    <row r="468" ht="15.75" customHeight="1">
      <c r="A468" s="150"/>
      <c r="B468" s="140"/>
      <c r="C468" s="140"/>
      <c r="D468" s="140"/>
      <c r="E468" s="140"/>
      <c r="F468" s="140"/>
      <c r="G468" s="140"/>
      <c r="H468" s="140"/>
      <c r="I468" s="140"/>
      <c r="J468" s="140"/>
      <c r="K468" s="140"/>
      <c r="L468" s="140"/>
      <c r="M468" s="140"/>
      <c r="N468" s="140"/>
      <c r="O468" s="140"/>
      <c r="P468" s="140"/>
      <c r="Q468" s="140"/>
      <c r="R468" s="140"/>
      <c r="S468" s="140"/>
      <c r="T468" s="140"/>
      <c r="U468" s="140"/>
      <c r="V468" s="140"/>
      <c r="W468" s="140"/>
      <c r="X468" s="140"/>
      <c r="Y468" s="140"/>
      <c r="Z468" s="140"/>
      <c r="AA468" s="140"/>
      <c r="AB468" s="140"/>
      <c r="AC468" s="140"/>
      <c r="AD468" s="140"/>
      <c r="AE468" s="140"/>
      <c r="AF468" s="140"/>
      <c r="AG468" s="140"/>
      <c r="AH468" s="140"/>
      <c r="AI468" s="140"/>
      <c r="AJ468" s="140"/>
      <c r="AK468" s="140"/>
      <c r="AL468" s="140"/>
      <c r="AM468" s="140"/>
      <c r="AN468" s="140"/>
      <c r="AO468" s="140"/>
      <c r="AP468" s="140"/>
      <c r="AQ468" s="140"/>
      <c r="AR468" s="140"/>
      <c r="AS468" s="140"/>
      <c r="AT468" s="140"/>
      <c r="AU468" s="140"/>
      <c r="AV468" s="140"/>
      <c r="AW468" s="140"/>
      <c r="AX468" s="140"/>
      <c r="AY468" s="140"/>
      <c r="AZ468" s="140"/>
      <c r="BA468" s="140"/>
      <c r="BB468" s="140"/>
      <c r="BC468" s="140"/>
      <c r="BD468" s="140"/>
      <c r="BE468" s="140"/>
      <c r="BF468" s="140"/>
      <c r="BG468" s="140"/>
      <c r="BH468" s="140"/>
      <c r="BI468" s="140"/>
      <c r="BJ468" s="140"/>
      <c r="BK468" s="140"/>
      <c r="BL468" s="140"/>
      <c r="BM468" s="140"/>
      <c r="BN468" s="140"/>
      <c r="BO468" s="140"/>
      <c r="BP468" s="140"/>
      <c r="BQ468" s="140"/>
      <c r="BR468" s="140"/>
      <c r="BS468" s="140"/>
      <c r="BT468" s="140"/>
      <c r="BU468" s="140"/>
      <c r="BV468" s="140"/>
      <c r="BW468" s="140"/>
      <c r="BX468" s="140"/>
      <c r="BY468" s="140"/>
    </row>
    <row r="469" ht="15.75" customHeight="1">
      <c r="A469" s="150"/>
      <c r="B469" s="140"/>
      <c r="C469" s="140"/>
      <c r="D469" s="140"/>
      <c r="E469" s="140"/>
      <c r="F469" s="140"/>
      <c r="G469" s="140"/>
      <c r="H469" s="140"/>
      <c r="I469" s="140"/>
      <c r="J469" s="140"/>
      <c r="K469" s="140"/>
      <c r="L469" s="140"/>
      <c r="M469" s="140"/>
      <c r="N469" s="140"/>
      <c r="O469" s="140"/>
      <c r="P469" s="140"/>
      <c r="Q469" s="140"/>
      <c r="R469" s="140"/>
      <c r="S469" s="140"/>
      <c r="T469" s="140"/>
      <c r="U469" s="140"/>
      <c r="V469" s="140"/>
      <c r="W469" s="140"/>
      <c r="X469" s="140"/>
      <c r="Y469" s="140"/>
      <c r="Z469" s="140"/>
      <c r="AA469" s="140"/>
      <c r="AB469" s="140"/>
      <c r="AC469" s="140"/>
      <c r="AD469" s="140"/>
      <c r="AE469" s="140"/>
      <c r="AF469" s="140"/>
      <c r="AG469" s="140"/>
      <c r="AH469" s="140"/>
      <c r="AI469" s="140"/>
      <c r="AJ469" s="140"/>
      <c r="AK469" s="140"/>
      <c r="AL469" s="140"/>
      <c r="AM469" s="140"/>
      <c r="AN469" s="140"/>
      <c r="AO469" s="140"/>
      <c r="AP469" s="140"/>
      <c r="AQ469" s="140"/>
      <c r="AR469" s="140"/>
      <c r="AS469" s="140"/>
      <c r="AT469" s="140"/>
      <c r="AU469" s="140"/>
      <c r="AV469" s="140"/>
      <c r="AW469" s="140"/>
      <c r="AX469" s="140"/>
      <c r="AY469" s="140"/>
      <c r="AZ469" s="140"/>
      <c r="BA469" s="140"/>
      <c r="BB469" s="140"/>
      <c r="BC469" s="140"/>
      <c r="BD469" s="140"/>
      <c r="BE469" s="140"/>
      <c r="BF469" s="140"/>
      <c r="BG469" s="140"/>
      <c r="BH469" s="140"/>
      <c r="BI469" s="140"/>
      <c r="BJ469" s="140"/>
      <c r="BK469" s="140"/>
      <c r="BL469" s="140"/>
      <c r="BM469" s="140"/>
      <c r="BN469" s="140"/>
      <c r="BO469" s="140"/>
      <c r="BP469" s="140"/>
      <c r="BQ469" s="140"/>
      <c r="BR469" s="140"/>
      <c r="BS469" s="140"/>
      <c r="BT469" s="140"/>
      <c r="BU469" s="140"/>
      <c r="BV469" s="140"/>
      <c r="BW469" s="140"/>
      <c r="BX469" s="140"/>
      <c r="BY469" s="140"/>
    </row>
    <row r="470" ht="15.75" customHeight="1">
      <c r="A470" s="150"/>
      <c r="B470" s="140"/>
      <c r="C470" s="140"/>
      <c r="D470" s="140"/>
      <c r="E470" s="140"/>
      <c r="F470" s="140"/>
      <c r="G470" s="140"/>
      <c r="H470" s="140"/>
      <c r="I470" s="140"/>
      <c r="J470" s="140"/>
      <c r="K470" s="140"/>
      <c r="L470" s="140"/>
      <c r="M470" s="140"/>
      <c r="N470" s="140"/>
      <c r="O470" s="140"/>
      <c r="P470" s="140"/>
      <c r="Q470" s="140"/>
      <c r="R470" s="140"/>
      <c r="S470" s="140"/>
      <c r="T470" s="140"/>
      <c r="U470" s="140"/>
      <c r="V470" s="140"/>
      <c r="W470" s="140"/>
      <c r="X470" s="140"/>
      <c r="Y470" s="140"/>
      <c r="Z470" s="140"/>
      <c r="AA470" s="140"/>
      <c r="AB470" s="140"/>
      <c r="AC470" s="140"/>
      <c r="AD470" s="140"/>
      <c r="AE470" s="140"/>
      <c r="AF470" s="140"/>
      <c r="AG470" s="140"/>
      <c r="AH470" s="140"/>
      <c r="AI470" s="140"/>
      <c r="AJ470" s="140"/>
      <c r="AK470" s="140"/>
      <c r="AL470" s="140"/>
      <c r="AM470" s="140"/>
      <c r="AN470" s="140"/>
      <c r="AO470" s="140"/>
      <c r="AP470" s="140"/>
      <c r="AQ470" s="140"/>
      <c r="AR470" s="140"/>
      <c r="AS470" s="140"/>
      <c r="AT470" s="140"/>
      <c r="AU470" s="140"/>
      <c r="AV470" s="140"/>
      <c r="AW470" s="140"/>
      <c r="AX470" s="140"/>
      <c r="AY470" s="140"/>
      <c r="AZ470" s="140"/>
      <c r="BA470" s="140"/>
      <c r="BB470" s="140"/>
      <c r="BC470" s="140"/>
      <c r="BD470" s="140"/>
      <c r="BE470" s="140"/>
      <c r="BF470" s="140"/>
      <c r="BG470" s="140"/>
      <c r="BH470" s="140"/>
      <c r="BI470" s="140"/>
      <c r="BJ470" s="140"/>
      <c r="BK470" s="140"/>
      <c r="BL470" s="140"/>
      <c r="BM470" s="140"/>
      <c r="BN470" s="140"/>
      <c r="BO470" s="140"/>
      <c r="BP470" s="140"/>
      <c r="BQ470" s="140"/>
      <c r="BR470" s="140"/>
      <c r="BS470" s="140"/>
      <c r="BT470" s="140"/>
      <c r="BU470" s="140"/>
      <c r="BV470" s="140"/>
      <c r="BW470" s="140"/>
      <c r="BX470" s="140"/>
      <c r="BY470" s="140"/>
    </row>
    <row r="471" ht="15.75" customHeight="1">
      <c r="A471" s="150"/>
      <c r="B471" s="140"/>
      <c r="C471" s="140"/>
      <c r="D471" s="140"/>
      <c r="E471" s="140"/>
      <c r="F471" s="140"/>
      <c r="G471" s="140"/>
      <c r="H471" s="140"/>
      <c r="I471" s="140"/>
      <c r="J471" s="140"/>
      <c r="K471" s="140"/>
      <c r="L471" s="140"/>
      <c r="M471" s="140"/>
      <c r="N471" s="140"/>
      <c r="O471" s="140"/>
      <c r="P471" s="140"/>
      <c r="Q471" s="140"/>
      <c r="R471" s="140"/>
      <c r="S471" s="140"/>
      <c r="T471" s="140"/>
      <c r="U471" s="140"/>
      <c r="V471" s="140"/>
      <c r="W471" s="140"/>
      <c r="X471" s="140"/>
      <c r="Y471" s="140"/>
      <c r="Z471" s="140"/>
      <c r="AA471" s="140"/>
      <c r="AB471" s="140"/>
      <c r="AC471" s="140"/>
      <c r="AD471" s="140"/>
      <c r="AE471" s="140"/>
      <c r="AF471" s="140"/>
      <c r="AG471" s="140"/>
      <c r="AH471" s="140"/>
      <c r="AI471" s="140"/>
      <c r="AJ471" s="140"/>
      <c r="AK471" s="140"/>
      <c r="AL471" s="140"/>
      <c r="AM471" s="140"/>
      <c r="AN471" s="140"/>
      <c r="AO471" s="140"/>
      <c r="AP471" s="140"/>
      <c r="AQ471" s="140"/>
      <c r="AR471" s="140"/>
      <c r="AS471" s="140"/>
      <c r="AT471" s="140"/>
      <c r="AU471" s="140"/>
      <c r="AV471" s="140"/>
      <c r="AW471" s="140"/>
      <c r="AX471" s="140"/>
      <c r="AY471" s="140"/>
      <c r="AZ471" s="140"/>
      <c r="BA471" s="140"/>
      <c r="BB471" s="140"/>
      <c r="BC471" s="140"/>
      <c r="BD471" s="140"/>
      <c r="BE471" s="140"/>
      <c r="BF471" s="140"/>
      <c r="BG471" s="140"/>
      <c r="BH471" s="140"/>
      <c r="BI471" s="140"/>
      <c r="BJ471" s="140"/>
      <c r="BK471" s="140"/>
      <c r="BL471" s="140"/>
      <c r="BM471" s="140"/>
      <c r="BN471" s="140"/>
      <c r="BO471" s="140"/>
      <c r="BP471" s="140"/>
      <c r="BQ471" s="140"/>
      <c r="BR471" s="140"/>
      <c r="BS471" s="140"/>
      <c r="BT471" s="140"/>
      <c r="BU471" s="140"/>
      <c r="BV471" s="140"/>
      <c r="BW471" s="140"/>
      <c r="BX471" s="140"/>
      <c r="BY471" s="140"/>
    </row>
  </sheetData>
  <mergeCells count="7">
    <mergeCell ref="B2:K4"/>
    <mergeCell ref="N2:W4"/>
    <mergeCell ref="Z2:AI4"/>
    <mergeCell ref="AL2:AU4"/>
    <mergeCell ref="AX2:BG4"/>
    <mergeCell ref="BQ11:BU12"/>
    <mergeCell ref="BQ21:BU22"/>
  </mergeCells>
  <printOptions/>
  <pageMargins bottom="0.75" footer="0.0" header="0.0" left="0.7" right="0.7" top="0.75"/>
  <pageSetup orientation="landscape"/>
  <drawing r:id="rId1"/>
  <tableParts count="7">
    <tablePart r:id="rId9"/>
    <tablePart r:id="rId10"/>
    <tablePart r:id="rId11"/>
    <tablePart r:id="rId12"/>
    <tablePart r:id="rId13"/>
    <tablePart r:id="rId14"/>
    <tablePart r:id="rId1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3" width="19.5"/>
    <col customWidth="1" min="4" max="4" width="16.5"/>
    <col customWidth="1" min="5" max="5" width="16.38"/>
    <col customWidth="1" min="11" max="11" width="14.5"/>
  </cols>
  <sheetData>
    <row r="1">
      <c r="A1" s="32"/>
      <c r="B1" s="150"/>
      <c r="C1" s="150"/>
      <c r="E1" s="226"/>
    </row>
    <row r="2">
      <c r="A2" s="227"/>
      <c r="B2" s="228" t="s">
        <v>250</v>
      </c>
      <c r="E2" s="226"/>
    </row>
    <row r="3">
      <c r="A3" s="227"/>
      <c r="E3" s="226"/>
    </row>
    <row r="4">
      <c r="A4" s="227"/>
      <c r="E4" s="226"/>
    </row>
    <row r="5">
      <c r="A5" s="100"/>
      <c r="B5" s="229"/>
      <c r="C5" s="229"/>
      <c r="E5" s="226"/>
    </row>
    <row r="6" ht="22.5" customHeight="1">
      <c r="A6" s="230" t="s">
        <v>251</v>
      </c>
      <c r="B6" s="231" t="s">
        <v>233</v>
      </c>
      <c r="C6" s="232" t="s">
        <v>252</v>
      </c>
      <c r="D6" s="233" t="s">
        <v>253</v>
      </c>
      <c r="E6" s="234" t="s">
        <v>254</v>
      </c>
      <c r="J6" s="235" t="s">
        <v>255</v>
      </c>
      <c r="M6" s="236" t="s">
        <v>256</v>
      </c>
    </row>
    <row r="7" ht="22.5" customHeight="1">
      <c r="A7" s="237">
        <v>45446.64583333333</v>
      </c>
      <c r="B7" s="238">
        <v>0.035688603776313346</v>
      </c>
      <c r="C7" s="238">
        <v>0.035688603776313346</v>
      </c>
      <c r="D7" s="239">
        <v>1.0</v>
      </c>
      <c r="E7" s="238">
        <f t="shared" ref="E7:E272" si="1">NORMINV(RAND(),K$7,K$8)</f>
        <v>0.008800136309</v>
      </c>
      <c r="J7" s="240" t="s">
        <v>257</v>
      </c>
      <c r="K7" s="241">
        <f>AVERAGE(C7:C271)</f>
        <v>0.001122057773</v>
      </c>
      <c r="L7" s="242"/>
      <c r="M7" s="243" t="s">
        <v>257</v>
      </c>
      <c r="N7" s="244">
        <f>AVERAGE(E7:E271)</f>
        <v>0.002283645911</v>
      </c>
    </row>
    <row r="8" ht="22.5" customHeight="1">
      <c r="A8" s="237">
        <v>45448.64583333333</v>
      </c>
      <c r="B8" s="238">
        <v>0.032191552584989104</v>
      </c>
      <c r="C8" s="238">
        <v>0.032191552584989104</v>
      </c>
      <c r="D8" s="239">
        <v>2.0</v>
      </c>
      <c r="E8" s="238">
        <f t="shared" si="1"/>
        <v>-0.009466151683</v>
      </c>
      <c r="J8" s="240" t="s">
        <v>258</v>
      </c>
      <c r="K8" s="241">
        <f>STDEV(C7:C271)</f>
        <v>0.01327231248</v>
      </c>
      <c r="L8" s="242"/>
      <c r="M8" s="243" t="s">
        <v>258</v>
      </c>
      <c r="N8" s="244">
        <f>STDEV(E7:E271)</f>
        <v>0.01313171545</v>
      </c>
    </row>
    <row r="9" ht="22.5" customHeight="1">
      <c r="A9" s="237">
        <v>45734.64583333333</v>
      </c>
      <c r="B9" s="238">
        <v>0.027666425782005004</v>
      </c>
      <c r="C9" s="238">
        <v>0.027666425782005004</v>
      </c>
      <c r="D9" s="239">
        <v>3.0</v>
      </c>
      <c r="E9" s="238">
        <f t="shared" si="1"/>
        <v>0.01430045</v>
      </c>
      <c r="J9" s="240" t="s">
        <v>259</v>
      </c>
      <c r="K9" s="241">
        <f>MIN(C7:C271)</f>
        <v>-0.1119493301</v>
      </c>
      <c r="L9" s="242"/>
      <c r="M9" s="243" t="s">
        <v>259</v>
      </c>
      <c r="N9" s="244">
        <f>MIN(E7:E271)</f>
        <v>-0.0410215625</v>
      </c>
    </row>
    <row r="10" ht="22.5" customHeight="1">
      <c r="A10" s="237">
        <v>45775.64583333333</v>
      </c>
      <c r="B10" s="238">
        <v>0.025419905285734127</v>
      </c>
      <c r="C10" s="238">
        <v>0.025419905285734127</v>
      </c>
      <c r="D10" s="239">
        <v>4.0</v>
      </c>
      <c r="E10" s="238">
        <f t="shared" si="1"/>
        <v>0.003370987044</v>
      </c>
      <c r="J10" s="240" t="s">
        <v>260</v>
      </c>
      <c r="K10" s="241">
        <f>MAX(C7:C271)</f>
        <v>0.03568860378</v>
      </c>
      <c r="L10" s="242"/>
      <c r="M10" s="243" t="s">
        <v>260</v>
      </c>
      <c r="N10" s="244">
        <f>MAX(E7:E271)</f>
        <v>0.04407362483</v>
      </c>
    </row>
    <row r="11" ht="22.5" customHeight="1">
      <c r="A11" s="237">
        <v>45449.64583333333</v>
      </c>
      <c r="B11" s="238">
        <v>0.02466604200588339</v>
      </c>
      <c r="C11" s="238">
        <v>0.02466604200588339</v>
      </c>
      <c r="D11" s="239">
        <v>5.0</v>
      </c>
      <c r="E11" s="238">
        <f t="shared" si="1"/>
        <v>-0.0002748007454</v>
      </c>
      <c r="J11" s="242"/>
      <c r="K11" s="242"/>
      <c r="L11" s="242"/>
      <c r="M11" s="242"/>
      <c r="N11" s="242"/>
    </row>
    <row r="12" ht="22.5" customHeight="1">
      <c r="A12" s="237">
        <v>45692.64583333333</v>
      </c>
      <c r="B12" s="238">
        <v>0.024467562137370242</v>
      </c>
      <c r="C12" s="238">
        <v>0.024467562137370242</v>
      </c>
      <c r="D12" s="239">
        <v>6.0</v>
      </c>
      <c r="E12" s="238">
        <f t="shared" si="1"/>
        <v>0.01343055927</v>
      </c>
      <c r="J12" s="245" t="s">
        <v>261</v>
      </c>
      <c r="K12" s="246" t="s">
        <v>262</v>
      </c>
      <c r="L12" s="242"/>
      <c r="M12" s="247" t="s">
        <v>261</v>
      </c>
      <c r="N12" s="248" t="s">
        <v>262</v>
      </c>
    </row>
    <row r="13" ht="22.5" customHeight="1">
      <c r="A13" s="237">
        <v>45428.64583333333</v>
      </c>
      <c r="B13" s="238">
        <v>0.0239727468692539</v>
      </c>
      <c r="C13" s="238">
        <v>0.0239727468692539</v>
      </c>
      <c r="D13" s="239">
        <v>7.0</v>
      </c>
      <c r="E13" s="238">
        <f t="shared" si="1"/>
        <v>-0.001870093214</v>
      </c>
      <c r="J13" s="249">
        <v>0.05</v>
      </c>
      <c r="K13" s="250">
        <f t="shared" ref="K13:K15" si="2">_xlfn.PERCENTILE.INC(C7:C271,J13)</f>
        <v>-0.01846295888</v>
      </c>
      <c r="L13" s="242"/>
      <c r="M13" s="251">
        <v>0.05</v>
      </c>
      <c r="N13" s="252">
        <f t="shared" ref="N13:N15" si="3">_xlfn.PERCENTILE.INC(E7:E271,M13)</f>
        <v>-0.01970399871</v>
      </c>
    </row>
    <row r="14" ht="22.5" customHeight="1">
      <c r="A14" s="237">
        <v>45520.64583333333</v>
      </c>
      <c r="B14" s="238">
        <v>0.022362720658988904</v>
      </c>
      <c r="C14" s="238">
        <v>0.022362720658988904</v>
      </c>
      <c r="D14" s="239">
        <v>8.0</v>
      </c>
      <c r="E14" s="238">
        <f t="shared" si="1"/>
        <v>-0.004616014303</v>
      </c>
      <c r="J14" s="249">
        <v>0.01</v>
      </c>
      <c r="K14" s="250">
        <f t="shared" si="2"/>
        <v>-0.02888124086</v>
      </c>
      <c r="L14" s="242"/>
      <c r="M14" s="251">
        <v>0.01</v>
      </c>
      <c r="N14" s="252">
        <f t="shared" si="3"/>
        <v>-0.02905443016</v>
      </c>
    </row>
    <row r="15" ht="22.5" customHeight="1">
      <c r="A15" s="237">
        <v>45461.64583333333</v>
      </c>
      <c r="B15" s="238">
        <v>0.02110383803313516</v>
      </c>
      <c r="C15" s="238">
        <v>0.02110383803313516</v>
      </c>
      <c r="D15" s="239">
        <v>9.0</v>
      </c>
      <c r="E15" s="238">
        <f t="shared" si="1"/>
        <v>0.01286784943</v>
      </c>
      <c r="J15" s="253">
        <v>0.005</v>
      </c>
      <c r="K15" s="254">
        <f t="shared" si="2"/>
        <v>-0.0313400906</v>
      </c>
      <c r="L15" s="242"/>
      <c r="M15" s="255">
        <v>0.005</v>
      </c>
      <c r="N15" s="256">
        <f t="shared" si="3"/>
        <v>-0.03690658298</v>
      </c>
    </row>
    <row r="16" ht="22.5" customHeight="1">
      <c r="A16" s="237">
        <v>45671.64583333333</v>
      </c>
      <c r="B16" s="238">
        <v>0.020884861110635297</v>
      </c>
      <c r="C16" s="238">
        <v>0.020884861110635297</v>
      </c>
      <c r="D16" s="239">
        <v>10.0</v>
      </c>
      <c r="E16" s="238">
        <f t="shared" si="1"/>
        <v>0.01600727358</v>
      </c>
      <c r="N16" s="226"/>
    </row>
    <row r="17" ht="22.5" customHeight="1">
      <c r="A17" s="237">
        <v>45758.64583333333</v>
      </c>
      <c r="B17" s="238">
        <v>0.019679194181975286</v>
      </c>
      <c r="C17" s="238">
        <v>0.019679194181975286</v>
      </c>
      <c r="D17" s="239">
        <v>11.0</v>
      </c>
      <c r="E17" s="238">
        <f t="shared" si="1"/>
        <v>0.006344364791</v>
      </c>
    </row>
    <row r="18" ht="22.5" customHeight="1">
      <c r="A18" s="237">
        <v>45727.64583333333</v>
      </c>
      <c r="B18" s="238">
        <v>0.019656440508993074</v>
      </c>
      <c r="C18" s="238">
        <v>0.019656440508993074</v>
      </c>
      <c r="D18" s="239">
        <v>12.0</v>
      </c>
      <c r="E18" s="238">
        <f t="shared" si="1"/>
        <v>0.0182021384</v>
      </c>
    </row>
    <row r="19" ht="22.5" customHeight="1">
      <c r="A19" s="237">
        <v>45499.64583333333</v>
      </c>
      <c r="B19" s="238">
        <v>0.019649890842382424</v>
      </c>
      <c r="C19" s="238">
        <v>0.019649890842382424</v>
      </c>
      <c r="D19" s="239">
        <v>13.0</v>
      </c>
      <c r="E19" s="238">
        <f t="shared" si="1"/>
        <v>0.02158584972</v>
      </c>
    </row>
    <row r="20" ht="22.5" customHeight="1">
      <c r="A20" s="237">
        <v>45594.64583333333</v>
      </c>
      <c r="B20" s="238">
        <v>0.019014903039462013</v>
      </c>
      <c r="C20" s="238">
        <v>0.019014903039462013</v>
      </c>
      <c r="D20" s="239">
        <v>14.0</v>
      </c>
      <c r="E20" s="238">
        <f t="shared" si="1"/>
        <v>0.01521109741</v>
      </c>
    </row>
    <row r="21" ht="22.5" customHeight="1">
      <c r="A21" s="237">
        <v>45474.64583333333</v>
      </c>
      <c r="B21" s="238">
        <v>0.018768136653922136</v>
      </c>
      <c r="C21" s="238">
        <v>0.018768136653922136</v>
      </c>
      <c r="D21" s="239">
        <v>15.0</v>
      </c>
      <c r="E21" s="238">
        <f t="shared" si="1"/>
        <v>0.004402630297</v>
      </c>
    </row>
    <row r="22" ht="22.5" customHeight="1">
      <c r="A22" s="237">
        <v>45476.64583333333</v>
      </c>
      <c r="B22" s="238">
        <v>0.018673880977864748</v>
      </c>
      <c r="C22" s="238">
        <v>0.018673880977864748</v>
      </c>
      <c r="D22" s="239">
        <v>16.0</v>
      </c>
      <c r="E22" s="238">
        <f t="shared" si="1"/>
        <v>0.001528651932</v>
      </c>
    </row>
    <row r="23" ht="22.5" customHeight="1">
      <c r="A23" s="237">
        <v>45426.64583333333</v>
      </c>
      <c r="B23" s="238">
        <v>0.018589983803187413</v>
      </c>
      <c r="C23" s="238">
        <v>0.018589983803187413</v>
      </c>
      <c r="D23" s="239">
        <v>17.0</v>
      </c>
      <c r="E23" s="238">
        <f t="shared" si="1"/>
        <v>0.008383609851</v>
      </c>
    </row>
    <row r="24" ht="22.5" customHeight="1">
      <c r="A24" s="237">
        <v>45618.64583333333</v>
      </c>
      <c r="B24" s="238">
        <v>0.01815745739575224</v>
      </c>
      <c r="C24" s="238">
        <v>0.01815745739575224</v>
      </c>
      <c r="D24" s="239">
        <v>18.0</v>
      </c>
      <c r="E24" s="238">
        <f t="shared" si="1"/>
        <v>-0.006615175231</v>
      </c>
    </row>
    <row r="25" ht="22.5" customHeight="1">
      <c r="A25" s="237">
        <v>45768.64583333333</v>
      </c>
      <c r="B25" s="238">
        <v>0.018157211832764315</v>
      </c>
      <c r="C25" s="238">
        <v>0.018157211832764315</v>
      </c>
      <c r="D25" s="239">
        <v>19.0</v>
      </c>
      <c r="E25" s="238">
        <f t="shared" si="1"/>
        <v>0.0002059609263</v>
      </c>
    </row>
    <row r="26" ht="22.5" customHeight="1">
      <c r="A26" s="237">
        <v>45555.64583333333</v>
      </c>
      <c r="B26" s="238">
        <v>0.01676462349051104</v>
      </c>
      <c r="C26" s="238">
        <v>0.01676462349051104</v>
      </c>
      <c r="D26" s="239">
        <v>20.0</v>
      </c>
      <c r="E26" s="238">
        <f t="shared" si="1"/>
        <v>-0.01253804518</v>
      </c>
    </row>
    <row r="27" ht="22.5" customHeight="1">
      <c r="A27" s="237">
        <v>45511.64583333333</v>
      </c>
      <c r="B27" s="238">
        <v>0.01652336794493715</v>
      </c>
      <c r="C27" s="238">
        <v>0.01652336794493715</v>
      </c>
      <c r="D27" s="239">
        <v>21.0</v>
      </c>
      <c r="E27" s="238">
        <f t="shared" si="1"/>
        <v>0.002101850559</v>
      </c>
    </row>
    <row r="28" ht="22.5" customHeight="1">
      <c r="A28" s="237">
        <v>45573.64583333333</v>
      </c>
      <c r="B28" s="238">
        <v>0.01640615358079879</v>
      </c>
      <c r="C28" s="238">
        <v>0.01640615358079879</v>
      </c>
      <c r="D28" s="239">
        <v>22.0</v>
      </c>
      <c r="E28" s="238">
        <f t="shared" si="1"/>
        <v>0.02068647994</v>
      </c>
    </row>
    <row r="29" ht="22.5" customHeight="1">
      <c r="A29" s="237">
        <v>45721.64583333333</v>
      </c>
      <c r="B29" s="238">
        <v>0.01593013189902248</v>
      </c>
      <c r="C29" s="238">
        <v>0.01593013189902248</v>
      </c>
      <c r="D29" s="239">
        <v>23.0</v>
      </c>
      <c r="E29" s="238">
        <f t="shared" si="1"/>
        <v>-0.0008192284021</v>
      </c>
    </row>
    <row r="30" ht="22.5" customHeight="1">
      <c r="A30" s="237">
        <v>45762.64583333333</v>
      </c>
      <c r="B30" s="238">
        <v>0.015835594683964154</v>
      </c>
      <c r="C30" s="238">
        <v>0.015835594683964154</v>
      </c>
      <c r="D30" s="239">
        <v>24.0</v>
      </c>
      <c r="E30" s="238">
        <f t="shared" si="1"/>
        <v>0.009510445536</v>
      </c>
    </row>
    <row r="31" ht="22.5" customHeight="1">
      <c r="A31" s="237">
        <v>45755.64583333333</v>
      </c>
      <c r="B31" s="238">
        <v>0.015614776753880143</v>
      </c>
      <c r="C31" s="238">
        <v>0.015614776753880143</v>
      </c>
      <c r="D31" s="239">
        <v>25.0</v>
      </c>
      <c r="E31" s="238">
        <f t="shared" si="1"/>
        <v>-0.01265277544</v>
      </c>
    </row>
    <row r="32" ht="22.5" customHeight="1">
      <c r="A32" s="237">
        <v>45740.64583333333</v>
      </c>
      <c r="B32" s="238">
        <v>0.015459868247779684</v>
      </c>
      <c r="C32" s="238">
        <v>0.015459868247779684</v>
      </c>
      <c r="D32" s="239">
        <v>26.0</v>
      </c>
      <c r="E32" s="238">
        <f t="shared" si="1"/>
        <v>-0.004848332762</v>
      </c>
    </row>
    <row r="33" ht="22.5" customHeight="1">
      <c r="A33" s="237">
        <v>45764.64583333333</v>
      </c>
      <c r="B33" s="238">
        <v>0.01543912443749925</v>
      </c>
      <c r="C33" s="238">
        <v>0.01543912443749925</v>
      </c>
      <c r="D33" s="239">
        <v>27.0</v>
      </c>
      <c r="E33" s="238">
        <f t="shared" si="1"/>
        <v>-0.01837343296</v>
      </c>
    </row>
    <row r="34" ht="22.5" customHeight="1">
      <c r="A34" s="237">
        <v>45495.64583333333</v>
      </c>
      <c r="B34" s="238">
        <v>0.015259199707810183</v>
      </c>
      <c r="C34" s="238">
        <v>0.015259199707810183</v>
      </c>
      <c r="D34" s="239">
        <v>28.0</v>
      </c>
      <c r="E34" s="238">
        <f t="shared" si="1"/>
        <v>0.01255440106</v>
      </c>
    </row>
    <row r="35" ht="22.5" customHeight="1">
      <c r="A35" s="237">
        <v>45387.64583333333</v>
      </c>
      <c r="B35" s="238">
        <v>0.014283186936519678</v>
      </c>
      <c r="C35" s="238">
        <v>0.014283186936519678</v>
      </c>
      <c r="D35" s="239">
        <v>29.0</v>
      </c>
      <c r="E35" s="238">
        <f t="shared" si="1"/>
        <v>0.01478582633</v>
      </c>
    </row>
    <row r="36" ht="22.5" customHeight="1">
      <c r="A36" s="237">
        <v>45593.64583333333</v>
      </c>
      <c r="B36" s="238">
        <v>0.014166860188265145</v>
      </c>
      <c r="C36" s="238">
        <v>0.014166860188265145</v>
      </c>
      <c r="D36" s="239">
        <v>30.0</v>
      </c>
      <c r="E36" s="238">
        <f t="shared" si="1"/>
        <v>0.007029103843</v>
      </c>
    </row>
    <row r="37" ht="22.5" customHeight="1">
      <c r="A37" s="237">
        <v>45677.64583333333</v>
      </c>
      <c r="B37" s="238">
        <v>0.014121017243966385</v>
      </c>
      <c r="C37" s="238">
        <v>0.014121017243966385</v>
      </c>
      <c r="D37" s="239">
        <v>31.0</v>
      </c>
      <c r="E37" s="238">
        <f t="shared" si="1"/>
        <v>-0.01126284176</v>
      </c>
    </row>
    <row r="38" ht="22.5" customHeight="1">
      <c r="A38" s="237">
        <v>45735.64583333333</v>
      </c>
      <c r="B38" s="238">
        <v>0.013904341210279347</v>
      </c>
      <c r="C38" s="238">
        <v>0.013904341210279347</v>
      </c>
      <c r="D38" s="239">
        <v>32.0</v>
      </c>
      <c r="E38" s="238">
        <f t="shared" si="1"/>
        <v>0.01170051762</v>
      </c>
    </row>
    <row r="39" ht="22.5" customHeight="1">
      <c r="A39" s="237">
        <v>45484.64583333333</v>
      </c>
      <c r="B39" s="238">
        <v>0.013722394770117424</v>
      </c>
      <c r="C39" s="238">
        <v>0.013722394770117424</v>
      </c>
      <c r="D39" s="239">
        <v>33.0</v>
      </c>
      <c r="E39" s="238">
        <f t="shared" si="1"/>
        <v>-0.0244142427</v>
      </c>
    </row>
    <row r="40" ht="22.5" customHeight="1">
      <c r="A40" s="237">
        <v>45401.64583333333</v>
      </c>
      <c r="B40" s="238">
        <v>0.013603897523991396</v>
      </c>
      <c r="C40" s="238">
        <v>0.013603897523991396</v>
      </c>
      <c r="D40" s="239">
        <v>34.0</v>
      </c>
      <c r="E40" s="238">
        <f t="shared" si="1"/>
        <v>0.009883876614</v>
      </c>
    </row>
    <row r="41" ht="22.5" customHeight="1">
      <c r="A41" s="237">
        <v>45477.64583333333</v>
      </c>
      <c r="B41" s="238">
        <v>0.013598690611076677</v>
      </c>
      <c r="C41" s="238">
        <v>0.013598690611076677</v>
      </c>
      <c r="D41" s="239">
        <v>35.0</v>
      </c>
      <c r="E41" s="238">
        <f t="shared" si="1"/>
        <v>-0.01507492408</v>
      </c>
    </row>
    <row r="42" ht="22.5" customHeight="1">
      <c r="A42" s="237">
        <v>45763.64583333333</v>
      </c>
      <c r="B42" s="238">
        <v>0.013301608686527574</v>
      </c>
      <c r="C42" s="238">
        <v>0.013301608686527574</v>
      </c>
      <c r="D42" s="239">
        <v>36.0</v>
      </c>
      <c r="E42" s="238">
        <f t="shared" si="1"/>
        <v>0.02190245982</v>
      </c>
    </row>
    <row r="43" ht="22.5" customHeight="1">
      <c r="A43" s="237">
        <v>45467.64583333333</v>
      </c>
      <c r="B43" s="238">
        <v>0.013253229134227744</v>
      </c>
      <c r="C43" s="238">
        <v>0.013253229134227744</v>
      </c>
      <c r="D43" s="239">
        <v>37.0</v>
      </c>
      <c r="E43" s="238">
        <f t="shared" si="1"/>
        <v>0.00654947262</v>
      </c>
    </row>
    <row r="44" ht="22.5" customHeight="1">
      <c r="A44" s="237">
        <v>45558.64583333333</v>
      </c>
      <c r="B44" s="238">
        <v>0.013246668846288757</v>
      </c>
      <c r="C44" s="238">
        <v>0.013246668846288757</v>
      </c>
      <c r="D44" s="239">
        <v>38.0</v>
      </c>
      <c r="E44" s="238">
        <f t="shared" si="1"/>
        <v>-0.001471113461</v>
      </c>
    </row>
    <row r="45" ht="22.5" customHeight="1">
      <c r="A45" s="237">
        <v>45719.64583333333</v>
      </c>
      <c r="B45" s="238">
        <v>0.013211029838328059</v>
      </c>
      <c r="C45" s="238">
        <v>0.013211029838328059</v>
      </c>
      <c r="D45" s="239">
        <v>39.0</v>
      </c>
      <c r="E45" s="238">
        <f t="shared" si="1"/>
        <v>-0.003557152325</v>
      </c>
    </row>
    <row r="46" ht="22.5" customHeight="1">
      <c r="A46" s="237">
        <v>45547.64583333333</v>
      </c>
      <c r="B46" s="238">
        <v>0.013166478526825674</v>
      </c>
      <c r="C46" s="238">
        <v>0.013166478526825674</v>
      </c>
      <c r="D46" s="239">
        <v>40.0</v>
      </c>
      <c r="E46" s="238">
        <f t="shared" si="1"/>
        <v>0.01063090451</v>
      </c>
    </row>
    <row r="47" ht="22.5" customHeight="1">
      <c r="A47" s="237">
        <v>45748.64583333333</v>
      </c>
      <c r="B47" s="238">
        <v>0.012780550097191219</v>
      </c>
      <c r="C47" s="238">
        <v>0.012780550097191219</v>
      </c>
      <c r="D47" s="239">
        <v>41.0</v>
      </c>
      <c r="E47" s="238">
        <f t="shared" si="1"/>
        <v>-0.0007303765619</v>
      </c>
    </row>
    <row r="48" ht="22.5" customHeight="1">
      <c r="A48" s="237">
        <v>45720.64583333333</v>
      </c>
      <c r="B48" s="238">
        <v>0.012765608033323085</v>
      </c>
      <c r="C48" s="238">
        <v>0.012765608033323085</v>
      </c>
      <c r="D48" s="239">
        <v>42.0</v>
      </c>
      <c r="E48" s="238">
        <f t="shared" si="1"/>
        <v>0.0165256125</v>
      </c>
    </row>
    <row r="49" ht="22.5" customHeight="1">
      <c r="A49" s="237">
        <v>45623.64583333333</v>
      </c>
      <c r="B49" s="238">
        <v>0.012526968324784938</v>
      </c>
      <c r="C49" s="238">
        <v>0.012526968324784938</v>
      </c>
      <c r="D49" s="239">
        <v>43.0</v>
      </c>
      <c r="E49" s="238">
        <f t="shared" si="1"/>
        <v>0.0008235521328</v>
      </c>
    </row>
    <row r="50" ht="22.5" customHeight="1">
      <c r="A50" s="237">
        <v>45673.64583333333</v>
      </c>
      <c r="B50" s="238">
        <v>0.012496885827471044</v>
      </c>
      <c r="C50" s="238">
        <v>0.012496885827471044</v>
      </c>
      <c r="D50" s="239">
        <v>44.0</v>
      </c>
      <c r="E50" s="238">
        <f t="shared" si="1"/>
        <v>0.02762098212</v>
      </c>
    </row>
    <row r="51" ht="22.5" customHeight="1">
      <c r="A51" s="237">
        <v>45411.64583333333</v>
      </c>
      <c r="B51" s="238">
        <v>0.012485914978398939</v>
      </c>
      <c r="C51" s="238">
        <v>0.012485914978398939</v>
      </c>
      <c r="D51" s="239">
        <v>45.0</v>
      </c>
      <c r="E51" s="238">
        <f t="shared" si="1"/>
        <v>0.01305878706</v>
      </c>
    </row>
    <row r="52" ht="22.5" customHeight="1">
      <c r="A52" s="237">
        <v>45436.64583333333</v>
      </c>
      <c r="B52" s="238">
        <v>0.012211551717899092</v>
      </c>
      <c r="C52" s="238">
        <v>0.012211551717899092</v>
      </c>
      <c r="D52" s="239">
        <v>46.0</v>
      </c>
      <c r="E52" s="238">
        <f t="shared" si="1"/>
        <v>-0.01825445391</v>
      </c>
    </row>
    <row r="53" ht="22.5" customHeight="1">
      <c r="A53" s="237">
        <v>45674.64583333333</v>
      </c>
      <c r="B53" s="238">
        <v>0.012055588155730138</v>
      </c>
      <c r="C53" s="238">
        <v>0.012055588155730138</v>
      </c>
      <c r="D53" s="239">
        <v>47.0</v>
      </c>
      <c r="E53" s="238">
        <f t="shared" si="1"/>
        <v>-0.013698077</v>
      </c>
    </row>
    <row r="54" ht="22.5" customHeight="1">
      <c r="A54" s="237">
        <v>45538.64583333333</v>
      </c>
      <c r="B54" s="238">
        <v>0.012035425097704217</v>
      </c>
      <c r="C54" s="238">
        <v>0.012035425097704217</v>
      </c>
      <c r="D54" s="239">
        <v>48.0</v>
      </c>
      <c r="E54" s="238">
        <f t="shared" si="1"/>
        <v>-0.008272559597</v>
      </c>
    </row>
    <row r="55" ht="22.5" customHeight="1">
      <c r="A55" s="237">
        <v>45737.64583333333</v>
      </c>
      <c r="B55" s="238">
        <v>0.011999991713853436</v>
      </c>
      <c r="C55" s="238">
        <v>0.011999991713853436</v>
      </c>
      <c r="D55" s="239">
        <v>49.0</v>
      </c>
      <c r="E55" s="238">
        <f t="shared" si="1"/>
        <v>-0.0156163389</v>
      </c>
    </row>
    <row r="56" ht="22.5" customHeight="1">
      <c r="A56" s="237">
        <v>45427.64583333333</v>
      </c>
      <c r="B56" s="238">
        <v>0.011890328178362369</v>
      </c>
      <c r="C56" s="238">
        <v>0.011890328178362369</v>
      </c>
      <c r="D56" s="239">
        <v>50.0</v>
      </c>
      <c r="E56" s="238">
        <f t="shared" si="1"/>
        <v>0.01458472807</v>
      </c>
    </row>
    <row r="57" ht="22.5" customHeight="1">
      <c r="A57" s="237">
        <v>45621.64583333333</v>
      </c>
      <c r="B57" s="238">
        <v>0.011583803759768085</v>
      </c>
      <c r="C57" s="238">
        <v>0.011583803759768085</v>
      </c>
      <c r="D57" s="239">
        <v>51.0</v>
      </c>
      <c r="E57" s="238">
        <f t="shared" si="1"/>
        <v>0.009171077275</v>
      </c>
    </row>
    <row r="58" ht="22.5" customHeight="1">
      <c r="A58" s="237">
        <v>45688.64583333333</v>
      </c>
      <c r="B58" s="238">
        <v>0.011327751892267994</v>
      </c>
      <c r="C58" s="238">
        <v>0.011327751892267994</v>
      </c>
      <c r="D58" s="239">
        <v>52.0</v>
      </c>
      <c r="E58" s="238">
        <f t="shared" si="1"/>
        <v>-0.004697113954</v>
      </c>
    </row>
    <row r="59" ht="22.5" customHeight="1">
      <c r="A59" s="237">
        <v>45407.64583333333</v>
      </c>
      <c r="B59" s="238">
        <v>0.011287667506022664</v>
      </c>
      <c r="C59" s="238">
        <v>0.011287667506022664</v>
      </c>
      <c r="D59" s="239">
        <v>53.0</v>
      </c>
      <c r="E59" s="238">
        <f t="shared" si="1"/>
        <v>-0.005687917644</v>
      </c>
    </row>
    <row r="60" ht="22.5" customHeight="1">
      <c r="A60" s="237">
        <v>45390.64583333333</v>
      </c>
      <c r="B60" s="238">
        <v>0.011213937247852747</v>
      </c>
      <c r="C60" s="238">
        <v>0.011213937247852747</v>
      </c>
      <c r="D60" s="239">
        <v>54.0</v>
      </c>
      <c r="E60" s="238">
        <f t="shared" si="1"/>
        <v>0.009924844053</v>
      </c>
    </row>
    <row r="61" ht="22.5" customHeight="1">
      <c r="A61" s="237">
        <v>45601.64583333333</v>
      </c>
      <c r="B61" s="238">
        <v>0.011161729148578152</v>
      </c>
      <c r="C61" s="238">
        <v>0.011161729148578152</v>
      </c>
      <c r="D61" s="239">
        <v>55.0</v>
      </c>
      <c r="E61" s="238">
        <f t="shared" si="1"/>
        <v>-0.01352905991</v>
      </c>
    </row>
    <row r="62" ht="22.5" customHeight="1">
      <c r="A62" s="237">
        <v>45575.64583333333</v>
      </c>
      <c r="B62" s="238">
        <v>0.010787529860246087</v>
      </c>
      <c r="C62" s="238">
        <v>0.010787529860246087</v>
      </c>
      <c r="D62" s="239">
        <v>56.0</v>
      </c>
      <c r="E62" s="238">
        <f t="shared" si="1"/>
        <v>0.01965442904</v>
      </c>
    </row>
    <row r="63" ht="22.5" customHeight="1">
      <c r="A63" s="237">
        <v>45659.64583333333</v>
      </c>
      <c r="B63" s="238">
        <v>0.010542871973200248</v>
      </c>
      <c r="C63" s="238">
        <v>0.010542871973200248</v>
      </c>
      <c r="D63" s="239">
        <v>57.0</v>
      </c>
      <c r="E63" s="238">
        <f t="shared" si="1"/>
        <v>0.01588436427</v>
      </c>
    </row>
    <row r="64" ht="22.5" customHeight="1">
      <c r="A64" s="237">
        <v>45534.64583333333</v>
      </c>
      <c r="B64" s="238">
        <v>0.010435324416172719</v>
      </c>
      <c r="C64" s="238">
        <v>0.010435324416172719</v>
      </c>
      <c r="D64" s="239">
        <v>58.0</v>
      </c>
      <c r="E64" s="238">
        <f t="shared" si="1"/>
        <v>0.01293834164</v>
      </c>
    </row>
    <row r="65" ht="22.5" customHeight="1">
      <c r="A65" s="237">
        <v>45749.64583333333</v>
      </c>
      <c r="B65" s="238">
        <v>0.010430068137660203</v>
      </c>
      <c r="C65" s="238">
        <v>0.010430068137660203</v>
      </c>
      <c r="D65" s="239">
        <v>59.0</v>
      </c>
      <c r="E65" s="238">
        <f t="shared" si="1"/>
        <v>-0.01970629008</v>
      </c>
    </row>
    <row r="66" ht="22.5" customHeight="1">
      <c r="A66" s="237">
        <v>45579.64583333333</v>
      </c>
      <c r="B66" s="238">
        <v>0.009826761239033841</v>
      </c>
      <c r="C66" s="238">
        <v>0.009826761239033841</v>
      </c>
      <c r="D66" s="239">
        <v>60.0</v>
      </c>
      <c r="E66" s="238">
        <f t="shared" si="1"/>
        <v>0.02320058561</v>
      </c>
    </row>
    <row r="67" ht="22.5" customHeight="1">
      <c r="A67" s="237">
        <v>45468.64583333333</v>
      </c>
      <c r="B67" s="238">
        <v>0.009622063973202758</v>
      </c>
      <c r="C67" s="238">
        <v>0.009622063973202758</v>
      </c>
      <c r="D67" s="239">
        <v>61.0</v>
      </c>
      <c r="E67" s="238">
        <f t="shared" si="1"/>
        <v>0.0150499481</v>
      </c>
    </row>
    <row r="68" ht="22.5" customHeight="1">
      <c r="A68" s="237">
        <v>45583.64583333333</v>
      </c>
      <c r="B68" s="238">
        <v>0.00960321389922695</v>
      </c>
      <c r="C68" s="238">
        <v>0.00960321389922695</v>
      </c>
      <c r="D68" s="239">
        <v>62.0</v>
      </c>
      <c r="E68" s="238">
        <f t="shared" si="1"/>
        <v>0.00486105251</v>
      </c>
    </row>
    <row r="69" ht="22.5" customHeight="1">
      <c r="A69" s="237">
        <v>45470.64583333333</v>
      </c>
      <c r="B69" s="238">
        <v>0.00949530304688298</v>
      </c>
      <c r="C69" s="238">
        <v>0.00949530304688298</v>
      </c>
      <c r="D69" s="239">
        <v>63.0</v>
      </c>
      <c r="E69" s="238">
        <f t="shared" si="1"/>
        <v>0.001676977051</v>
      </c>
    </row>
    <row r="70" ht="22.5" customHeight="1">
      <c r="A70" s="237">
        <v>45693.64583333333</v>
      </c>
      <c r="B70" s="238">
        <v>0.009390801517022677</v>
      </c>
      <c r="C70" s="238">
        <v>0.009390801517022677</v>
      </c>
      <c r="D70" s="239">
        <v>64.0</v>
      </c>
      <c r="E70" s="238">
        <f t="shared" si="1"/>
        <v>-0.004075816567</v>
      </c>
    </row>
    <row r="71" ht="22.5" customHeight="1">
      <c r="A71" s="237">
        <v>45631.64583333333</v>
      </c>
      <c r="B71" s="238">
        <v>0.009099188614212161</v>
      </c>
      <c r="C71" s="238">
        <v>0.009099188614212161</v>
      </c>
      <c r="D71" s="239">
        <v>65.0</v>
      </c>
      <c r="E71" s="238">
        <f t="shared" si="1"/>
        <v>0.004909591232</v>
      </c>
    </row>
    <row r="72" ht="22.5" customHeight="1">
      <c r="A72" s="237">
        <v>45580.64583333333</v>
      </c>
      <c r="B72" s="238">
        <v>0.009082334702387802</v>
      </c>
      <c r="C72" s="238">
        <v>0.009082334702387802</v>
      </c>
      <c r="D72" s="239">
        <v>66.0</v>
      </c>
      <c r="E72" s="238">
        <f t="shared" si="1"/>
        <v>-0.009138898802</v>
      </c>
    </row>
    <row r="73" ht="22.5" customHeight="1">
      <c r="A73" s="237">
        <v>45672.64583333333</v>
      </c>
      <c r="B73" s="238">
        <v>0.008927203708112513</v>
      </c>
      <c r="C73" s="238">
        <v>0.008927203708112513</v>
      </c>
      <c r="D73" s="239">
        <v>67.0</v>
      </c>
      <c r="E73" s="238">
        <f t="shared" si="1"/>
        <v>-0.01110441021</v>
      </c>
    </row>
    <row r="74" ht="22.5" customHeight="1">
      <c r="A74" s="237">
        <v>45622.64583333333</v>
      </c>
      <c r="B74" s="238">
        <v>0.008903830978790717</v>
      </c>
      <c r="C74" s="238">
        <v>0.008903830978790717</v>
      </c>
      <c r="D74" s="239">
        <v>68.0</v>
      </c>
      <c r="E74" s="238">
        <f t="shared" si="1"/>
        <v>0.02126203308</v>
      </c>
    </row>
    <row r="75" ht="22.5" customHeight="1">
      <c r="A75" s="237">
        <v>45756.64583333333</v>
      </c>
      <c r="B75" s="238">
        <v>0.008886613173864476</v>
      </c>
      <c r="C75" s="238">
        <v>0.008886613173864476</v>
      </c>
      <c r="D75" s="239">
        <v>69.0</v>
      </c>
      <c r="E75" s="238">
        <f t="shared" si="1"/>
        <v>0.01621681222</v>
      </c>
    </row>
    <row r="76" ht="22.5" customHeight="1">
      <c r="A76" s="237">
        <v>45526.64583333333</v>
      </c>
      <c r="B76" s="238">
        <v>0.008655784131184705</v>
      </c>
      <c r="C76" s="238">
        <v>0.008655784131184705</v>
      </c>
      <c r="D76" s="239">
        <v>70.0</v>
      </c>
      <c r="E76" s="238">
        <f t="shared" si="1"/>
        <v>-0.005303893323</v>
      </c>
    </row>
    <row r="77" ht="22.5" customHeight="1">
      <c r="A77" s="237">
        <v>45457.64583333333</v>
      </c>
      <c r="B77" s="238">
        <v>0.00860277288695729</v>
      </c>
      <c r="C77" s="238">
        <v>0.00860277288695729</v>
      </c>
      <c r="D77" s="239">
        <v>71.0</v>
      </c>
      <c r="E77" s="238">
        <f t="shared" si="1"/>
        <v>0.00009262794483</v>
      </c>
    </row>
    <row r="78" ht="22.5" customHeight="1">
      <c r="A78" s="237">
        <v>45707.64583333333</v>
      </c>
      <c r="B78" s="238">
        <v>0.008254774603117927</v>
      </c>
      <c r="C78" s="238">
        <v>0.008254774603117927</v>
      </c>
      <c r="D78" s="239">
        <v>72.0</v>
      </c>
      <c r="E78" s="238">
        <f t="shared" si="1"/>
        <v>0.002373528919</v>
      </c>
    </row>
    <row r="79" ht="22.5" customHeight="1">
      <c r="A79" s="237">
        <v>45687.64583333333</v>
      </c>
      <c r="B79" s="238">
        <v>0.008193931936067945</v>
      </c>
      <c r="C79" s="238">
        <v>0.008193931936067945</v>
      </c>
      <c r="D79" s="239">
        <v>73.0</v>
      </c>
      <c r="E79" s="238">
        <f t="shared" si="1"/>
        <v>0.009788982178</v>
      </c>
    </row>
    <row r="80" ht="22.5" customHeight="1">
      <c r="A80" s="237">
        <v>45433.64583333333</v>
      </c>
      <c r="B80" s="238">
        <v>0.007907608253854236</v>
      </c>
      <c r="C80" s="238">
        <v>0.007907608253854236</v>
      </c>
      <c r="D80" s="239">
        <v>74.0</v>
      </c>
      <c r="E80" s="238">
        <f t="shared" si="1"/>
        <v>-0.01442535123</v>
      </c>
    </row>
    <row r="81" ht="22.5" customHeight="1">
      <c r="A81" s="237">
        <v>45680.64583333333</v>
      </c>
      <c r="B81" s="238">
        <v>0.007749817447721997</v>
      </c>
      <c r="C81" s="238">
        <v>0.007749817447721997</v>
      </c>
      <c r="D81" s="239">
        <v>75.0</v>
      </c>
      <c r="E81" s="238">
        <f t="shared" si="1"/>
        <v>0.01237367169</v>
      </c>
    </row>
    <row r="82" ht="22.5" customHeight="1">
      <c r="A82" s="237">
        <v>45527.64583333333</v>
      </c>
      <c r="B82" s="238">
        <v>0.007586923181091417</v>
      </c>
      <c r="C82" s="238">
        <v>0.007586923181091417</v>
      </c>
      <c r="D82" s="239">
        <v>76.0</v>
      </c>
      <c r="E82" s="238">
        <f t="shared" si="1"/>
        <v>0.006851821598</v>
      </c>
    </row>
    <row r="83" ht="22.5" customHeight="1">
      <c r="A83" s="237">
        <v>45736.64583333333</v>
      </c>
      <c r="B83" s="238">
        <v>0.007577765837568562</v>
      </c>
      <c r="C83" s="238">
        <v>0.007577765837568562</v>
      </c>
      <c r="D83" s="239">
        <v>77.0</v>
      </c>
      <c r="E83" s="238">
        <f t="shared" si="1"/>
        <v>0.007733946848</v>
      </c>
    </row>
    <row r="84" ht="22.5" customHeight="1">
      <c r="A84" s="237">
        <v>45405.64583333333</v>
      </c>
      <c r="B84" s="238">
        <v>0.007553406870173116</v>
      </c>
      <c r="C84" s="238">
        <v>0.007553406870173116</v>
      </c>
      <c r="D84" s="239">
        <v>78.0</v>
      </c>
      <c r="E84" s="238">
        <f t="shared" si="1"/>
        <v>0.01423330935</v>
      </c>
    </row>
    <row r="85" ht="22.5" customHeight="1">
      <c r="A85" s="237">
        <v>45463.64583333333</v>
      </c>
      <c r="B85" s="238">
        <v>0.007399818037337063</v>
      </c>
      <c r="C85" s="238">
        <v>0.007399818037337063</v>
      </c>
      <c r="D85" s="239">
        <v>79.0</v>
      </c>
      <c r="E85" s="238">
        <f t="shared" si="1"/>
        <v>-0.01258263925</v>
      </c>
    </row>
    <row r="86" ht="22.5" customHeight="1">
      <c r="A86" s="237">
        <v>45614.64583333333</v>
      </c>
      <c r="B86" s="238">
        <v>0.00733063360514159</v>
      </c>
      <c r="C86" s="238">
        <v>0.00733063360514159</v>
      </c>
      <c r="D86" s="239">
        <v>80.0</v>
      </c>
      <c r="E86" s="238">
        <f t="shared" si="1"/>
        <v>0.003332378367</v>
      </c>
    </row>
    <row r="87" ht="22.5" customHeight="1">
      <c r="A87" s="237">
        <v>45733.64583333333</v>
      </c>
      <c r="B87" s="238">
        <v>0.007292413612499022</v>
      </c>
      <c r="C87" s="238">
        <v>0.007292413612499022</v>
      </c>
      <c r="D87" s="239">
        <v>81.0</v>
      </c>
      <c r="E87" s="238">
        <f t="shared" si="1"/>
        <v>0.02569919164</v>
      </c>
    </row>
    <row r="88" ht="22.5" customHeight="1">
      <c r="A88" s="237">
        <v>45629.64583333333</v>
      </c>
      <c r="B88" s="238">
        <v>0.007000334148781896</v>
      </c>
      <c r="C88" s="238">
        <v>0.007000334148781896</v>
      </c>
      <c r="D88" s="239">
        <v>82.0</v>
      </c>
      <c r="E88" s="238">
        <f t="shared" si="1"/>
        <v>-0.02044189319</v>
      </c>
    </row>
    <row r="89" ht="22.5" customHeight="1">
      <c r="A89" s="237">
        <v>45664.64583333333</v>
      </c>
      <c r="B89" s="238">
        <v>0.006938608409075038</v>
      </c>
      <c r="C89" s="238">
        <v>0.006938608409075038</v>
      </c>
      <c r="D89" s="239">
        <v>83.0</v>
      </c>
      <c r="E89" s="238">
        <f t="shared" si="1"/>
        <v>-0.0002762225841</v>
      </c>
    </row>
    <row r="90" ht="22.5" customHeight="1">
      <c r="A90" s="237">
        <v>45469.64583333333</v>
      </c>
      <c r="B90" s="238">
        <v>0.0065842732546217845</v>
      </c>
      <c r="C90" s="238">
        <v>0.0065842732546217845</v>
      </c>
      <c r="D90" s="239">
        <v>84.0</v>
      </c>
      <c r="E90" s="238">
        <f t="shared" si="1"/>
        <v>-0.009362671369</v>
      </c>
    </row>
    <row r="91" ht="22.5" customHeight="1">
      <c r="A91" s="237">
        <v>45657.64583333333</v>
      </c>
      <c r="B91" s="238">
        <v>0.006551498510658529</v>
      </c>
      <c r="C91" s="238">
        <v>0.006551498510658529</v>
      </c>
      <c r="D91" s="239">
        <v>85.0</v>
      </c>
      <c r="E91" s="238">
        <f t="shared" si="1"/>
        <v>-0.004295947104</v>
      </c>
    </row>
    <row r="92" ht="22.5" customHeight="1">
      <c r="A92" s="237">
        <v>45453.64583333333</v>
      </c>
      <c r="B92" s="238">
        <v>0.006527615312039384</v>
      </c>
      <c r="C92" s="238">
        <v>0.006527615312039384</v>
      </c>
      <c r="D92" s="239">
        <v>86.0</v>
      </c>
      <c r="E92" s="238">
        <f t="shared" si="1"/>
        <v>0.01130059307</v>
      </c>
    </row>
    <row r="93" ht="22.5" customHeight="1">
      <c r="A93" s="237">
        <v>45394.64583333333</v>
      </c>
      <c r="B93" s="238">
        <v>0.006476163522262543</v>
      </c>
      <c r="C93" s="238">
        <v>0.006476163522262543</v>
      </c>
      <c r="D93" s="239">
        <v>87.0</v>
      </c>
      <c r="E93" s="238">
        <f t="shared" si="1"/>
        <v>-0.02298573038</v>
      </c>
    </row>
    <row r="94" ht="22.5" customHeight="1">
      <c r="A94" s="237">
        <v>45502.64583333333</v>
      </c>
      <c r="B94" s="238">
        <v>0.006435300344120541</v>
      </c>
      <c r="C94" s="238">
        <v>0.006435300344120541</v>
      </c>
      <c r="D94" s="239">
        <v>88.0</v>
      </c>
      <c r="E94" s="238">
        <f t="shared" si="1"/>
        <v>0.0009742451256</v>
      </c>
    </row>
    <row r="95" ht="22.5" customHeight="1">
      <c r="A95" s="237">
        <v>45701.64583333333</v>
      </c>
      <c r="B95" s="238">
        <v>0.006350307314555567</v>
      </c>
      <c r="C95" s="238">
        <v>0.006350307314555567</v>
      </c>
      <c r="D95" s="239">
        <v>89.0</v>
      </c>
      <c r="E95" s="238">
        <f t="shared" si="1"/>
        <v>-0.009491662622</v>
      </c>
    </row>
    <row r="96" ht="22.5" customHeight="1">
      <c r="A96" s="237">
        <v>45420.64583333333</v>
      </c>
      <c r="B96" s="238">
        <v>0.006020259972572788</v>
      </c>
      <c r="C96" s="238">
        <v>0.006020259972572788</v>
      </c>
      <c r="D96" s="239">
        <v>90.0</v>
      </c>
      <c r="E96" s="238">
        <f t="shared" si="1"/>
        <v>-0.02151879917</v>
      </c>
    </row>
    <row r="97" ht="22.5" customHeight="1">
      <c r="A97" s="237">
        <v>45422.64583333333</v>
      </c>
      <c r="B97" s="238">
        <v>0.005836889506796708</v>
      </c>
      <c r="C97" s="238">
        <v>0.005836889506796708</v>
      </c>
      <c r="D97" s="239">
        <v>91.0</v>
      </c>
      <c r="E97" s="238">
        <f t="shared" si="1"/>
        <v>-0.0094732618</v>
      </c>
    </row>
    <row r="98" ht="22.5" customHeight="1">
      <c r="A98" s="237">
        <v>45695.64583333333</v>
      </c>
      <c r="B98" s="238">
        <v>0.005610410396231959</v>
      </c>
      <c r="C98" s="238">
        <v>0.005610410396231959</v>
      </c>
      <c r="D98" s="239">
        <v>92.0</v>
      </c>
      <c r="E98" s="238">
        <f t="shared" si="1"/>
        <v>0.0197232911</v>
      </c>
    </row>
    <row r="99" ht="22.5" customHeight="1">
      <c r="A99" s="237">
        <v>45729.64583333333</v>
      </c>
      <c r="B99" s="238">
        <v>0.005526083878798201</v>
      </c>
      <c r="C99" s="238">
        <v>0.005526083878798201</v>
      </c>
      <c r="D99" s="239">
        <v>93.0</v>
      </c>
      <c r="E99" s="238">
        <f t="shared" si="1"/>
        <v>-0.002989297253</v>
      </c>
    </row>
    <row r="100" ht="22.5" customHeight="1">
      <c r="A100" s="237">
        <v>45625.64583333333</v>
      </c>
      <c r="B100" s="238">
        <v>0.005491231491509445</v>
      </c>
      <c r="C100" s="238">
        <v>0.005491231491509445</v>
      </c>
      <c r="D100" s="239">
        <v>94.0</v>
      </c>
      <c r="E100" s="238">
        <f t="shared" si="1"/>
        <v>-0.005194999031</v>
      </c>
    </row>
    <row r="101" ht="22.5" customHeight="1">
      <c r="A101" s="237">
        <v>45742.64583333333</v>
      </c>
      <c r="B101" s="238">
        <v>0.005434898228312925</v>
      </c>
      <c r="C101" s="238">
        <v>0.005434898228312925</v>
      </c>
      <c r="D101" s="239">
        <v>95.0</v>
      </c>
      <c r="E101" s="238">
        <f t="shared" si="1"/>
        <v>0.02780816109</v>
      </c>
    </row>
    <row r="102" ht="22.5" customHeight="1">
      <c r="A102" s="237">
        <v>45545.64583333333</v>
      </c>
      <c r="B102" s="238">
        <v>0.005430156243671054</v>
      </c>
      <c r="C102" s="238">
        <v>0.005430156243671054</v>
      </c>
      <c r="D102" s="239">
        <v>96.0</v>
      </c>
      <c r="E102" s="238">
        <f t="shared" si="1"/>
        <v>-0.01065197211</v>
      </c>
    </row>
    <row r="103" ht="22.5" customHeight="1">
      <c r="A103" s="237">
        <v>45685.64583333333</v>
      </c>
      <c r="B103" s="238">
        <v>0.005026318075677818</v>
      </c>
      <c r="C103" s="238">
        <v>0.005026318075677818</v>
      </c>
      <c r="D103" s="239">
        <v>97.0</v>
      </c>
      <c r="E103" s="238">
        <f t="shared" si="1"/>
        <v>0.0110833753</v>
      </c>
    </row>
    <row r="104" ht="22.5" customHeight="1">
      <c r="A104" s="237">
        <v>45489.64583333333</v>
      </c>
      <c r="B104" s="238">
        <v>0.004995388501980566</v>
      </c>
      <c r="C104" s="238">
        <v>0.004995388501980566</v>
      </c>
      <c r="D104" s="239">
        <v>98.0</v>
      </c>
      <c r="E104" s="238">
        <f t="shared" si="1"/>
        <v>0.007579968724</v>
      </c>
    </row>
    <row r="105" ht="22.5" customHeight="1">
      <c r="A105" s="237">
        <v>45776.64583333333</v>
      </c>
      <c r="B105" s="238">
        <v>0.004892797223462421</v>
      </c>
      <c r="C105" s="238">
        <v>0.004892797223462421</v>
      </c>
      <c r="D105" s="239">
        <v>99.0</v>
      </c>
      <c r="E105" s="238">
        <f t="shared" si="1"/>
        <v>-0.008842168996</v>
      </c>
    </row>
    <row r="106" ht="22.5" customHeight="1">
      <c r="A106" s="237">
        <v>45516.64583333333</v>
      </c>
      <c r="B106" s="238">
        <v>0.0048749413329158935</v>
      </c>
      <c r="C106" s="238">
        <v>0.0048749413329158935</v>
      </c>
      <c r="D106" s="239">
        <v>100.0</v>
      </c>
      <c r="E106" s="238">
        <f t="shared" si="1"/>
        <v>-0.002508269898</v>
      </c>
    </row>
    <row r="107" ht="22.5" customHeight="1">
      <c r="A107" s="237">
        <v>45639.64583333333</v>
      </c>
      <c r="B107" s="238">
        <v>0.004734633833164295</v>
      </c>
      <c r="C107" s="238">
        <v>0.004734633833164295</v>
      </c>
      <c r="D107" s="239">
        <v>101.0</v>
      </c>
      <c r="E107" s="238">
        <f t="shared" si="1"/>
        <v>-0.00008824906659</v>
      </c>
    </row>
    <row r="108" ht="22.5" customHeight="1">
      <c r="A108" s="237">
        <v>45435.64583333333</v>
      </c>
      <c r="B108" s="238">
        <v>0.004623450451073461</v>
      </c>
      <c r="C108" s="238">
        <v>0.004623450451073461</v>
      </c>
      <c r="D108" s="239">
        <v>102.0</v>
      </c>
      <c r="E108" s="238">
        <f t="shared" si="1"/>
        <v>-0.001647083359</v>
      </c>
    </row>
    <row r="109" ht="22.5" customHeight="1">
      <c r="A109" s="237">
        <v>45743.64583333333</v>
      </c>
      <c r="B109" s="238">
        <v>0.0045794719682456676</v>
      </c>
      <c r="C109" s="238">
        <v>0.0045794719682456676</v>
      </c>
      <c r="D109" s="239">
        <v>103.0</v>
      </c>
      <c r="E109" s="238">
        <f t="shared" si="1"/>
        <v>0.003453203991</v>
      </c>
    </row>
    <row r="110" ht="22.5" customHeight="1">
      <c r="A110" s="237">
        <v>45630.64583333333</v>
      </c>
      <c r="B110" s="238">
        <v>0.004561490679991001</v>
      </c>
      <c r="C110" s="238">
        <v>0.004561490679991001</v>
      </c>
      <c r="D110" s="239">
        <v>104.0</v>
      </c>
      <c r="E110" s="238">
        <f t="shared" si="1"/>
        <v>0.0147384002</v>
      </c>
    </row>
    <row r="111" ht="22.5" customHeight="1">
      <c r="A111" s="237">
        <v>45391.64583333333</v>
      </c>
      <c r="B111" s="238">
        <v>0.004463878481151622</v>
      </c>
      <c r="C111" s="238">
        <v>0.004463878481151622</v>
      </c>
      <c r="D111" s="239">
        <v>105.0</v>
      </c>
      <c r="E111" s="238">
        <f t="shared" si="1"/>
        <v>-0.01665783168</v>
      </c>
    </row>
    <row r="112" ht="22.5" customHeight="1">
      <c r="A112" s="237">
        <v>45581.64583333333</v>
      </c>
      <c r="B112" s="238">
        <v>0.00432777532508849</v>
      </c>
      <c r="C112" s="238">
        <v>0.00432777532508849</v>
      </c>
      <c r="D112" s="239">
        <v>106.0</v>
      </c>
      <c r="E112" s="238">
        <f t="shared" si="1"/>
        <v>-0.002526818189</v>
      </c>
    </row>
    <row r="113" ht="22.5" customHeight="1">
      <c r="A113" s="237">
        <v>45488.64583333333</v>
      </c>
      <c r="B113" s="238">
        <v>0.004283192541002922</v>
      </c>
      <c r="C113" s="238">
        <v>0.004283192541002922</v>
      </c>
      <c r="D113" s="239">
        <v>107.0</v>
      </c>
      <c r="E113" s="238">
        <f t="shared" si="1"/>
        <v>-0.004321224856</v>
      </c>
    </row>
    <row r="114" ht="22.5" customHeight="1">
      <c r="A114" s="237">
        <v>45771.64583333333</v>
      </c>
      <c r="B114" s="238">
        <v>0.004226354382953837</v>
      </c>
      <c r="C114" s="238">
        <v>0.004226354382953837</v>
      </c>
      <c r="D114" s="239">
        <v>108.0</v>
      </c>
      <c r="E114" s="238">
        <f t="shared" si="1"/>
        <v>-0.003067274756</v>
      </c>
    </row>
    <row r="115" ht="22.5" customHeight="1">
      <c r="A115" s="237">
        <v>45456.64583333333</v>
      </c>
      <c r="B115" s="238">
        <v>0.0040935184171656475</v>
      </c>
      <c r="C115" s="238">
        <v>0.0040935184171656475</v>
      </c>
      <c r="D115" s="239">
        <v>109.0</v>
      </c>
      <c r="E115" s="238">
        <f t="shared" si="1"/>
        <v>0.008670203675</v>
      </c>
    </row>
    <row r="116" ht="22.5" customHeight="1">
      <c r="A116" s="237">
        <v>45524.64583333333</v>
      </c>
      <c r="B116" s="238">
        <v>0.004032105882522409</v>
      </c>
      <c r="C116" s="238">
        <v>0.004032105882522409</v>
      </c>
      <c r="D116" s="239">
        <v>110.0</v>
      </c>
      <c r="E116" s="238">
        <f t="shared" si="1"/>
        <v>-0.0392639963</v>
      </c>
    </row>
    <row r="117" ht="22.5" customHeight="1">
      <c r="A117" s="237">
        <v>45636.64583333333</v>
      </c>
      <c r="B117" s="238">
        <v>0.003797466575413234</v>
      </c>
      <c r="C117" s="238">
        <v>0.003797466575413234</v>
      </c>
      <c r="D117" s="239">
        <v>111.0</v>
      </c>
      <c r="E117" s="238">
        <f t="shared" si="1"/>
        <v>0.00295413875</v>
      </c>
    </row>
    <row r="118" ht="22.5" customHeight="1">
      <c r="A118" s="237">
        <v>45615.64583333333</v>
      </c>
      <c r="B118" s="238">
        <v>0.0036534558797579083</v>
      </c>
      <c r="C118" s="238">
        <v>0.0036534558797579083</v>
      </c>
      <c r="D118" s="239">
        <v>112.0</v>
      </c>
      <c r="E118" s="238">
        <f t="shared" si="1"/>
        <v>-0.002905449472</v>
      </c>
    </row>
    <row r="119" ht="22.5" customHeight="1">
      <c r="A119" s="237">
        <v>45450.64583333333</v>
      </c>
      <c r="B119" s="238">
        <v>0.0036465260425622816</v>
      </c>
      <c r="C119" s="238">
        <v>0.0036465260425622816</v>
      </c>
      <c r="D119" s="239">
        <v>113.0</v>
      </c>
      <c r="E119" s="238">
        <f t="shared" si="1"/>
        <v>0.009090698587</v>
      </c>
    </row>
    <row r="120" ht="22.5" customHeight="1">
      <c r="A120" s="237">
        <v>45574.64583333333</v>
      </c>
      <c r="B120" s="238">
        <v>0.0036189379397958306</v>
      </c>
      <c r="C120" s="238">
        <v>0.0036189379397958306</v>
      </c>
      <c r="D120" s="239">
        <v>114.0</v>
      </c>
      <c r="E120" s="238">
        <f t="shared" si="1"/>
        <v>-0.008156589724</v>
      </c>
    </row>
    <row r="121" ht="22.5" customHeight="1">
      <c r="A121" s="237">
        <v>45513.64583333333</v>
      </c>
      <c r="B121" s="238">
        <v>0.003504063240602197</v>
      </c>
      <c r="C121" s="238">
        <v>0.003504063240602197</v>
      </c>
      <c r="D121" s="239">
        <v>115.0</v>
      </c>
      <c r="E121" s="238">
        <f t="shared" si="1"/>
        <v>-0.0156786302</v>
      </c>
    </row>
    <row r="122" ht="22.5" customHeight="1">
      <c r="A122" s="237">
        <v>45540.64583333333</v>
      </c>
      <c r="B122" s="238">
        <v>0.003438513601455133</v>
      </c>
      <c r="C122" s="238">
        <v>0.003438513601455133</v>
      </c>
      <c r="D122" s="239">
        <v>116.0</v>
      </c>
      <c r="E122" s="238">
        <f t="shared" si="1"/>
        <v>-0.01107461823</v>
      </c>
    </row>
    <row r="123" ht="22.5" customHeight="1">
      <c r="A123" s="237">
        <v>45642.64583333333</v>
      </c>
      <c r="B123" s="238">
        <v>0.003351519358431139</v>
      </c>
      <c r="C123" s="238">
        <v>0.003351519358431139</v>
      </c>
      <c r="D123" s="239">
        <v>117.0</v>
      </c>
      <c r="E123" s="238">
        <f t="shared" si="1"/>
        <v>-0.0206712372</v>
      </c>
    </row>
    <row r="124" ht="22.5" customHeight="1">
      <c r="A124" s="237">
        <v>45635.64583333333</v>
      </c>
      <c r="B124" s="238">
        <v>0.003241493773843948</v>
      </c>
      <c r="C124" s="238">
        <v>0.003241493773843948</v>
      </c>
      <c r="D124" s="239">
        <v>118.0</v>
      </c>
      <c r="E124" s="238">
        <f t="shared" si="1"/>
        <v>-0.01363784352</v>
      </c>
    </row>
    <row r="125" ht="22.5" customHeight="1">
      <c r="A125" s="237">
        <v>45443.64583333333</v>
      </c>
      <c r="B125" s="238">
        <v>0.0032285540424070143</v>
      </c>
      <c r="C125" s="238">
        <v>0.0032285540424070143</v>
      </c>
      <c r="D125" s="239">
        <v>119.0</v>
      </c>
      <c r="E125" s="238">
        <f t="shared" si="1"/>
        <v>-0.00279891682</v>
      </c>
    </row>
    <row r="126" ht="22.5" customHeight="1">
      <c r="A126" s="237">
        <v>45561.64583333333</v>
      </c>
      <c r="B126" s="238">
        <v>0.0029286840274154943</v>
      </c>
      <c r="C126" s="238">
        <v>0.0029286840274154943</v>
      </c>
      <c r="D126" s="239">
        <v>120.0</v>
      </c>
      <c r="E126" s="238">
        <f t="shared" si="1"/>
        <v>0.01747437102</v>
      </c>
    </row>
    <row r="127" ht="22.5" customHeight="1">
      <c r="A127" s="237">
        <v>45406.64583333333</v>
      </c>
      <c r="B127" s="238">
        <v>0.0028649279262374233</v>
      </c>
      <c r="C127" s="238">
        <v>0.0028649279262374233</v>
      </c>
      <c r="D127" s="239">
        <v>121.0</v>
      </c>
      <c r="E127" s="238">
        <f t="shared" si="1"/>
        <v>-0.00074862591</v>
      </c>
    </row>
    <row r="128" ht="22.5" customHeight="1">
      <c r="A128" s="237">
        <v>45686.64583333333</v>
      </c>
      <c r="B128" s="238">
        <v>0.0028290962041316488</v>
      </c>
      <c r="C128" s="238">
        <v>0.0028290962041316488</v>
      </c>
      <c r="D128" s="239">
        <v>122.0</v>
      </c>
      <c r="E128" s="238">
        <f t="shared" si="1"/>
        <v>-0.01766796844</v>
      </c>
    </row>
    <row r="129" ht="22.5" customHeight="1">
      <c r="A129" s="237">
        <v>45544.64583333333</v>
      </c>
      <c r="B129" s="238">
        <v>0.0026757206469726863</v>
      </c>
      <c r="C129" s="238">
        <v>0.0026757206469726863</v>
      </c>
      <c r="D129" s="239">
        <v>123.0</v>
      </c>
      <c r="E129" s="238">
        <f t="shared" si="1"/>
        <v>0.01930151856</v>
      </c>
    </row>
    <row r="130" ht="22.5" customHeight="1">
      <c r="A130" s="237">
        <v>45398.64583333333</v>
      </c>
      <c r="B130" s="238">
        <v>0.0026584708384857804</v>
      </c>
      <c r="C130" s="238">
        <v>0.0026584708384857804</v>
      </c>
      <c r="D130" s="239">
        <v>124.0</v>
      </c>
      <c r="E130" s="238">
        <f t="shared" si="1"/>
        <v>0.005685667867</v>
      </c>
    </row>
    <row r="131" ht="22.5" customHeight="1">
      <c r="A131" s="237">
        <v>45523.64583333333</v>
      </c>
      <c r="B131" s="238">
        <v>0.00249938720162636</v>
      </c>
      <c r="C131" s="238">
        <v>0.00249938720162636</v>
      </c>
      <c r="D131" s="239">
        <v>125.0</v>
      </c>
      <c r="E131" s="238">
        <f t="shared" si="1"/>
        <v>-0.02752121585</v>
      </c>
    </row>
    <row r="132" ht="22.5" customHeight="1">
      <c r="A132" s="237">
        <v>45400.64583333333</v>
      </c>
      <c r="B132" s="238">
        <v>0.002316757137889398</v>
      </c>
      <c r="C132" s="238">
        <v>0.002316757137889398</v>
      </c>
      <c r="D132" s="239">
        <v>126.0</v>
      </c>
      <c r="E132" s="238">
        <f t="shared" si="1"/>
        <v>0.0004441609908</v>
      </c>
    </row>
    <row r="133" ht="22.5" customHeight="1">
      <c r="A133" s="237">
        <v>45637.64583333333</v>
      </c>
      <c r="B133" s="238">
        <v>0.002283991942108641</v>
      </c>
      <c r="C133" s="238">
        <v>0.002283991942108641</v>
      </c>
      <c r="D133" s="239">
        <v>127.0</v>
      </c>
      <c r="E133" s="238">
        <f t="shared" si="1"/>
        <v>-0.01045184599</v>
      </c>
    </row>
    <row r="134" ht="22.5" customHeight="1">
      <c r="A134" s="237">
        <v>45397.64583333333</v>
      </c>
      <c r="B134" s="238">
        <v>0.002274417387992564</v>
      </c>
      <c r="C134" s="238">
        <v>0.002274417387992564</v>
      </c>
      <c r="D134" s="239">
        <v>128.0</v>
      </c>
      <c r="E134" s="238">
        <f t="shared" si="1"/>
        <v>0.01854132332</v>
      </c>
    </row>
    <row r="135" ht="22.5" customHeight="1">
      <c r="A135" s="237">
        <v>45744.64583333333</v>
      </c>
      <c r="B135" s="238">
        <v>0.002132780619247738</v>
      </c>
      <c r="C135" s="238">
        <v>0.002132780619247738</v>
      </c>
      <c r="D135" s="239">
        <v>129.0</v>
      </c>
      <c r="E135" s="238">
        <f t="shared" si="1"/>
        <v>0.0004060063606</v>
      </c>
    </row>
    <row r="136" ht="22.5" customHeight="1">
      <c r="A136" s="237">
        <v>45429.64583333333</v>
      </c>
      <c r="B136" s="238">
        <v>0.002013572371966801</v>
      </c>
      <c r="C136" s="238">
        <v>0.002013572371966801</v>
      </c>
      <c r="D136" s="239">
        <v>130.0</v>
      </c>
      <c r="E136" s="238">
        <f t="shared" si="1"/>
        <v>0.008488506253</v>
      </c>
    </row>
    <row r="137" ht="22.5" customHeight="1">
      <c r="A137" s="237">
        <v>45652.64583333333</v>
      </c>
      <c r="B137" s="238">
        <v>0.0019615683058810582</v>
      </c>
      <c r="C137" s="238">
        <v>0.0019615683058810582</v>
      </c>
      <c r="D137" s="239">
        <v>131.0</v>
      </c>
      <c r="E137" s="238">
        <f t="shared" si="1"/>
        <v>-0.008671775287</v>
      </c>
    </row>
    <row r="138" ht="22.5" customHeight="1">
      <c r="A138" s="237">
        <v>45454.64583333333</v>
      </c>
      <c r="B138" s="238">
        <v>0.001897105622458589</v>
      </c>
      <c r="C138" s="238">
        <v>0.001897105622458589</v>
      </c>
      <c r="D138" s="239">
        <v>132.0</v>
      </c>
      <c r="E138" s="238">
        <f t="shared" si="1"/>
        <v>0.01218783229</v>
      </c>
    </row>
    <row r="139" ht="22.5" customHeight="1">
      <c r="A139" s="237">
        <v>45531.64583333333</v>
      </c>
      <c r="B139" s="238">
        <v>0.0018932052580526585</v>
      </c>
      <c r="C139" s="238">
        <v>0.0018932052580526585</v>
      </c>
      <c r="D139" s="239">
        <v>133.0</v>
      </c>
      <c r="E139" s="238">
        <f t="shared" si="1"/>
        <v>0.01434126451</v>
      </c>
    </row>
    <row r="140" ht="22.5" customHeight="1">
      <c r="A140" s="237">
        <v>45649.64583333333</v>
      </c>
      <c r="B140" s="238">
        <v>0.0017907290162666278</v>
      </c>
      <c r="C140" s="238">
        <v>0.0017907290162666278</v>
      </c>
      <c r="D140" s="239">
        <v>134.0</v>
      </c>
      <c r="E140" s="238">
        <f t="shared" si="1"/>
        <v>0.003247404215</v>
      </c>
    </row>
    <row r="141" ht="22.5" customHeight="1">
      <c r="A141" s="237">
        <v>45658.64583333333</v>
      </c>
      <c r="B141" s="238">
        <v>0.0017463194037926181</v>
      </c>
      <c r="C141" s="238">
        <v>0.0017463194037926181</v>
      </c>
      <c r="D141" s="239">
        <v>135.0</v>
      </c>
      <c r="E141" s="238">
        <f t="shared" si="1"/>
        <v>0.01029904339</v>
      </c>
    </row>
    <row r="142" ht="22.5" customHeight="1">
      <c r="A142" s="237">
        <v>45442.64583333333</v>
      </c>
      <c r="B142" s="238">
        <v>0.001502145728083772</v>
      </c>
      <c r="C142" s="238">
        <v>0.001502145728083772</v>
      </c>
      <c r="D142" s="239">
        <v>136.0</v>
      </c>
      <c r="E142" s="238">
        <f t="shared" si="1"/>
        <v>-0.01231363041</v>
      </c>
    </row>
    <row r="143" ht="22.5" customHeight="1">
      <c r="A143" s="237">
        <v>45471.64583333333</v>
      </c>
      <c r="B143" s="238">
        <v>0.0014835079122209952</v>
      </c>
      <c r="C143" s="238">
        <v>0.0014835079122209952</v>
      </c>
      <c r="D143" s="239">
        <v>137.0</v>
      </c>
      <c r="E143" s="238">
        <f t="shared" si="1"/>
        <v>-0.003371140364</v>
      </c>
    </row>
    <row r="144" ht="22.5" customHeight="1">
      <c r="A144" s="237">
        <v>45385.64583333333</v>
      </c>
      <c r="B144" s="238">
        <v>0.0014596538450155883</v>
      </c>
      <c r="C144" s="238">
        <v>0.0014596538450155883</v>
      </c>
      <c r="D144" s="239">
        <v>138.0</v>
      </c>
      <c r="E144" s="238">
        <f t="shared" si="1"/>
        <v>-0.002031131543</v>
      </c>
    </row>
    <row r="145" ht="22.5" customHeight="1">
      <c r="A145" s="237">
        <v>45602.64583333333</v>
      </c>
      <c r="B145" s="238">
        <v>0.0011405608392684955</v>
      </c>
      <c r="C145" s="238">
        <v>0.0011405608392684955</v>
      </c>
      <c r="D145" s="239">
        <v>139.0</v>
      </c>
      <c r="E145" s="238">
        <f t="shared" si="1"/>
        <v>0.02698363592</v>
      </c>
    </row>
    <row r="146" ht="22.5" customHeight="1">
      <c r="A146" s="237">
        <v>45425.64583333333</v>
      </c>
      <c r="B146" s="238">
        <v>0.001045975013887754</v>
      </c>
      <c r="C146" s="238">
        <v>0.001045975013887754</v>
      </c>
      <c r="D146" s="239">
        <v>140.0</v>
      </c>
      <c r="E146" s="238">
        <f t="shared" si="1"/>
        <v>0.01400679545</v>
      </c>
    </row>
    <row r="147" ht="22.5" customHeight="1">
      <c r="A147" s="237">
        <v>45530.64583333333</v>
      </c>
      <c r="B147" s="238">
        <v>0.001038600840111985</v>
      </c>
      <c r="C147" s="238">
        <v>0.001038600840111985</v>
      </c>
      <c r="D147" s="239">
        <v>141.0</v>
      </c>
      <c r="E147" s="238">
        <f t="shared" si="1"/>
        <v>0.008225204456</v>
      </c>
    </row>
    <row r="148" ht="22.5" customHeight="1">
      <c r="A148" s="237">
        <v>45610.64583333333</v>
      </c>
      <c r="B148" s="238">
        <v>9.119628116833093E-4</v>
      </c>
      <c r="C148" s="238">
        <v>9.119628116833093E-4</v>
      </c>
      <c r="D148" s="239">
        <v>142.0</v>
      </c>
      <c r="E148" s="238">
        <f t="shared" si="1"/>
        <v>0.003871111314</v>
      </c>
    </row>
    <row r="149" ht="22.5" customHeight="1">
      <c r="A149" s="237">
        <v>45434.64583333333</v>
      </c>
      <c r="B149" s="238">
        <v>7.555699153793108E-4</v>
      </c>
      <c r="C149" s="238">
        <v>7.555699153793108E-4</v>
      </c>
      <c r="D149" s="239">
        <v>143.0</v>
      </c>
      <c r="E149" s="238">
        <f t="shared" si="1"/>
        <v>-0.00861752988</v>
      </c>
    </row>
    <row r="150" ht="22.5" customHeight="1">
      <c r="A150" s="237">
        <v>45386.64583333333</v>
      </c>
      <c r="B150" s="238">
        <v>5.425109494635034E-4</v>
      </c>
      <c r="C150" s="238">
        <v>5.425109494635034E-4</v>
      </c>
      <c r="D150" s="239">
        <v>144.0</v>
      </c>
      <c r="E150" s="238">
        <f t="shared" si="1"/>
        <v>-0.0410215625</v>
      </c>
    </row>
    <row r="151" ht="22.5" customHeight="1">
      <c r="A151" s="237">
        <v>45384.64583333333</v>
      </c>
      <c r="B151" s="238">
        <v>4.2217514965900427E-4</v>
      </c>
      <c r="C151" s="238">
        <v>4.2217514965900427E-4</v>
      </c>
      <c r="D151" s="239">
        <v>145.0</v>
      </c>
      <c r="E151" s="238">
        <f t="shared" si="1"/>
        <v>0.02454249372</v>
      </c>
    </row>
    <row r="152" ht="22.5" customHeight="1">
      <c r="A152" s="237">
        <v>45750.64583333333</v>
      </c>
      <c r="B152" s="238">
        <v>3.7991440553429654E-4</v>
      </c>
      <c r="C152" s="238">
        <v>3.7991440553429654E-4</v>
      </c>
      <c r="D152" s="239">
        <v>146.0</v>
      </c>
      <c r="E152" s="238">
        <f t="shared" si="1"/>
        <v>-0.02148272128</v>
      </c>
    </row>
    <row r="153" ht="22.5" customHeight="1">
      <c r="A153" s="237">
        <v>45603.64583333333</v>
      </c>
      <c r="B153" s="238">
        <v>3.545685873549845E-4</v>
      </c>
      <c r="C153" s="238">
        <v>3.545685873549845E-4</v>
      </c>
      <c r="D153" s="239">
        <v>147.0</v>
      </c>
      <c r="E153" s="238">
        <f t="shared" si="1"/>
        <v>0.004819103942</v>
      </c>
    </row>
    <row r="154" ht="22.5" customHeight="1">
      <c r="A154" s="237">
        <v>45708.64583333333</v>
      </c>
      <c r="B154" s="238">
        <v>3.2070422069069683E-4</v>
      </c>
      <c r="C154" s="238">
        <v>3.2070422069069683E-4</v>
      </c>
      <c r="D154" s="239">
        <v>148.0</v>
      </c>
      <c r="E154" s="238">
        <f t="shared" si="1"/>
        <v>0.01260477115</v>
      </c>
    </row>
    <row r="155" ht="22.5" customHeight="1">
      <c r="A155" s="237">
        <v>45478.64583333333</v>
      </c>
      <c r="B155" s="238">
        <v>3.154928303449058E-4</v>
      </c>
      <c r="C155" s="238">
        <v>3.154928303449058E-4</v>
      </c>
      <c r="D155" s="239">
        <v>149.0</v>
      </c>
      <c r="E155" s="238">
        <f t="shared" si="1"/>
        <v>-0.0005534557285</v>
      </c>
    </row>
    <row r="156" ht="22.5" customHeight="1">
      <c r="A156" s="237">
        <v>45551.64583333333</v>
      </c>
      <c r="B156" s="238">
        <v>2.8765544138112473E-4</v>
      </c>
      <c r="C156" s="238">
        <v>2.8765544138112473E-4</v>
      </c>
      <c r="D156" s="239">
        <v>150.0</v>
      </c>
      <c r="E156" s="238">
        <f t="shared" si="1"/>
        <v>0.01269716075</v>
      </c>
    </row>
    <row r="157" ht="22.5" customHeight="1">
      <c r="A157" s="237">
        <v>45553.64583333333</v>
      </c>
      <c r="B157" s="238">
        <v>1.9091669418961677E-4</v>
      </c>
      <c r="C157" s="238">
        <v>1.9091669418961677E-4</v>
      </c>
      <c r="D157" s="239">
        <v>151.0</v>
      </c>
      <c r="E157" s="238">
        <f t="shared" si="1"/>
        <v>0.008986586002</v>
      </c>
    </row>
    <row r="158" ht="22.5" customHeight="1">
      <c r="A158" s="237">
        <v>45705.64583333333</v>
      </c>
      <c r="B158" s="238">
        <v>1.1469620836467324E-4</v>
      </c>
      <c r="C158" s="238">
        <v>1.1469620836467324E-4</v>
      </c>
      <c r="D158" s="239">
        <v>152.0</v>
      </c>
      <c r="E158" s="238">
        <f t="shared" si="1"/>
        <v>0.01319175862</v>
      </c>
    </row>
    <row r="159" ht="22.5" customHeight="1">
      <c r="A159" s="237">
        <v>45617.64583333333</v>
      </c>
      <c r="B159" s="238">
        <v>9.452254464501625E-7</v>
      </c>
      <c r="C159" s="238">
        <v>9.452254464501625E-7</v>
      </c>
      <c r="D159" s="239">
        <v>153.0</v>
      </c>
      <c r="E159" s="238">
        <f t="shared" si="1"/>
        <v>0.00008354320445</v>
      </c>
    </row>
    <row r="160" ht="22.5" customHeight="1">
      <c r="A160" s="237">
        <v>45383.64583333333</v>
      </c>
      <c r="B160" s="238">
        <v>0.0</v>
      </c>
      <c r="C160" s="238">
        <v>0.0</v>
      </c>
      <c r="D160" s="239">
        <v>154.0</v>
      </c>
      <c r="E160" s="238">
        <f t="shared" si="1"/>
        <v>0.003902142502</v>
      </c>
    </row>
    <row r="161" ht="22.5" customHeight="1">
      <c r="A161" s="237">
        <v>45666.64583333333</v>
      </c>
      <c r="B161" s="238">
        <v>-3.1264328697255535E-5</v>
      </c>
      <c r="C161" s="238">
        <v>-3.1264328697255535E-5</v>
      </c>
      <c r="D161" s="239">
        <v>155.0</v>
      </c>
      <c r="E161" s="238">
        <f t="shared" si="1"/>
        <v>0.002127480636</v>
      </c>
    </row>
    <row r="162" ht="22.5" customHeight="1">
      <c r="A162" s="237">
        <v>45503.64583333333</v>
      </c>
      <c r="B162" s="238">
        <v>-1.4338066845223955E-4</v>
      </c>
      <c r="C162" s="238">
        <v>-1.4338066845223955E-4</v>
      </c>
      <c r="D162" s="239">
        <v>156.0</v>
      </c>
      <c r="E162" s="238">
        <f t="shared" si="1"/>
        <v>-0.005122592405</v>
      </c>
    </row>
    <row r="163" ht="22.5" customHeight="1">
      <c r="A163" s="237">
        <v>45562.64583333333</v>
      </c>
      <c r="B163" s="238">
        <v>-2.007307295046291E-4</v>
      </c>
      <c r="C163" s="238">
        <v>-2.007307295046291E-4</v>
      </c>
      <c r="D163" s="239">
        <v>157.0</v>
      </c>
      <c r="E163" s="238">
        <f t="shared" si="1"/>
        <v>-0.008105041558</v>
      </c>
    </row>
    <row r="164" ht="22.5" customHeight="1">
      <c r="A164" s="237">
        <v>45408.64583333333</v>
      </c>
      <c r="B164" s="238">
        <v>-2.8970324499352003E-4</v>
      </c>
      <c r="C164" s="238">
        <v>-2.8970324499352003E-4</v>
      </c>
      <c r="D164" s="239">
        <v>158.0</v>
      </c>
      <c r="E164" s="238">
        <f t="shared" si="1"/>
        <v>0.01477217128</v>
      </c>
    </row>
    <row r="165" ht="22.5" customHeight="1">
      <c r="A165" s="237">
        <v>45723.64583333333</v>
      </c>
      <c r="B165" s="238">
        <v>-3.331495353389325E-4</v>
      </c>
      <c r="C165" s="238">
        <v>-3.331495353389325E-4</v>
      </c>
      <c r="D165" s="239">
        <v>159.0</v>
      </c>
      <c r="E165" s="238">
        <f t="shared" si="1"/>
        <v>0.02813861627</v>
      </c>
    </row>
    <row r="166" ht="22.5" customHeight="1">
      <c r="A166" s="237">
        <v>45628.64583333333</v>
      </c>
      <c r="B166" s="238">
        <v>-4.644931026433067E-4</v>
      </c>
      <c r="C166" s="238">
        <v>-4.644931026433067E-4</v>
      </c>
      <c r="D166" s="239">
        <v>160.0</v>
      </c>
      <c r="E166" s="238">
        <f t="shared" si="1"/>
        <v>0.02327841065</v>
      </c>
    </row>
    <row r="167" ht="22.5" customHeight="1">
      <c r="A167" s="237">
        <v>45392.64583333333</v>
      </c>
      <c r="B167" s="238">
        <v>-6.0366291328697E-4</v>
      </c>
      <c r="C167" s="238">
        <v>-6.0366291328697E-4</v>
      </c>
      <c r="D167" s="239">
        <v>161.0</v>
      </c>
      <c r="E167" s="238">
        <f t="shared" si="1"/>
        <v>0.006484616095</v>
      </c>
    </row>
    <row r="168" ht="22.5" customHeight="1">
      <c r="A168" s="237">
        <v>45532.64583333333</v>
      </c>
      <c r="B168" s="238">
        <v>-7.008352530943509E-4</v>
      </c>
      <c r="C168" s="238">
        <v>-7.008352530943509E-4</v>
      </c>
      <c r="D168" s="239">
        <v>162.0</v>
      </c>
      <c r="E168" s="238">
        <f t="shared" si="1"/>
        <v>0.009358019785</v>
      </c>
    </row>
    <row r="169" ht="22.5" customHeight="1">
      <c r="A169" s="237">
        <v>45653.64583333333</v>
      </c>
      <c r="B169" s="238">
        <v>-7.102895579302858E-4</v>
      </c>
      <c r="C169" s="238">
        <v>-7.102895579302858E-4</v>
      </c>
      <c r="D169" s="239">
        <v>163.0</v>
      </c>
      <c r="E169" s="238">
        <f t="shared" si="1"/>
        <v>0.00819725519</v>
      </c>
    </row>
    <row r="170" ht="22.5" customHeight="1">
      <c r="A170" s="237">
        <v>45482.64583333333</v>
      </c>
      <c r="B170" s="238">
        <v>-0.0010602243051284054</v>
      </c>
      <c r="C170" s="238">
        <v>-0.0010602243051284054</v>
      </c>
      <c r="D170" s="239">
        <v>164.0</v>
      </c>
      <c r="E170" s="238">
        <f t="shared" si="1"/>
        <v>-0.008942359794</v>
      </c>
    </row>
    <row r="171" ht="22.5" customHeight="1">
      <c r="A171" s="237">
        <v>45632.64583333333</v>
      </c>
      <c r="B171" s="238">
        <v>-0.0010629653664274007</v>
      </c>
      <c r="C171" s="238">
        <v>-0.0010629653664274007</v>
      </c>
      <c r="D171" s="239">
        <v>165.0</v>
      </c>
      <c r="E171" s="238">
        <f t="shared" si="1"/>
        <v>0.01835241544</v>
      </c>
    </row>
    <row r="172" ht="22.5" customHeight="1">
      <c r="A172" s="237">
        <v>45559.64583333333</v>
      </c>
      <c r="B172" s="238">
        <v>-0.001106303188437009</v>
      </c>
      <c r="C172" s="238">
        <v>-0.001106303188437009</v>
      </c>
      <c r="D172" s="239">
        <v>166.0</v>
      </c>
      <c r="E172" s="238">
        <f t="shared" si="1"/>
        <v>-0.007145098562</v>
      </c>
    </row>
    <row r="173" ht="22.5" customHeight="1">
      <c r="A173" s="237">
        <v>45404.64583333333</v>
      </c>
      <c r="B173" s="238">
        <v>-0.0012462713921149917</v>
      </c>
      <c r="C173" s="238">
        <v>-0.0012462713921149917</v>
      </c>
      <c r="D173" s="239">
        <v>167.0</v>
      </c>
      <c r="E173" s="238">
        <f t="shared" si="1"/>
        <v>0.01108728441</v>
      </c>
    </row>
    <row r="174" ht="22.5" customHeight="1">
      <c r="A174" s="237">
        <v>45650.64583333333</v>
      </c>
      <c r="B174" s="238">
        <v>-0.0012494852116962394</v>
      </c>
      <c r="C174" s="238">
        <v>-0.0012494852116962394</v>
      </c>
      <c r="D174" s="239">
        <v>168.0</v>
      </c>
      <c r="E174" s="238">
        <f t="shared" si="1"/>
        <v>-0.02146272234</v>
      </c>
    </row>
    <row r="175" ht="22.5" customHeight="1">
      <c r="A175" s="237">
        <v>45496.64583333333</v>
      </c>
      <c r="B175" s="238">
        <v>-0.0013037076275212818</v>
      </c>
      <c r="C175" s="238">
        <v>-0.0013037076275212818</v>
      </c>
      <c r="D175" s="239">
        <v>169.0</v>
      </c>
      <c r="E175" s="238">
        <f t="shared" si="1"/>
        <v>0.0032153826</v>
      </c>
    </row>
    <row r="176" ht="22.5" customHeight="1">
      <c r="A176" s="237">
        <v>45681.64583333333</v>
      </c>
      <c r="B176" s="238">
        <v>-0.001324670500049703</v>
      </c>
      <c r="C176" s="238">
        <v>-0.001324670500049703</v>
      </c>
      <c r="D176" s="239">
        <v>170.0</v>
      </c>
      <c r="E176" s="238">
        <f t="shared" si="1"/>
        <v>0.02867915635</v>
      </c>
    </row>
    <row r="177" ht="22.5" customHeight="1">
      <c r="A177" s="237">
        <v>45548.64583333333</v>
      </c>
      <c r="B177" s="238">
        <v>-0.0013406169321658933</v>
      </c>
      <c r="C177" s="238">
        <v>-0.0013406169321658933</v>
      </c>
      <c r="D177" s="239">
        <v>171.0</v>
      </c>
      <c r="E177" s="238">
        <f t="shared" si="1"/>
        <v>0.00956298984</v>
      </c>
    </row>
    <row r="178" ht="22.5" customHeight="1">
      <c r="A178" s="237">
        <v>45414.64583333333</v>
      </c>
      <c r="B178" s="238">
        <v>-0.0014218877599407212</v>
      </c>
      <c r="C178" s="238">
        <v>-0.0014218877599407212</v>
      </c>
      <c r="D178" s="239">
        <v>172.0</v>
      </c>
      <c r="E178" s="238">
        <f t="shared" si="1"/>
        <v>0.01489211591</v>
      </c>
    </row>
    <row r="179" ht="22.5" customHeight="1">
      <c r="A179" s="237">
        <v>45715.64583333333</v>
      </c>
      <c r="B179" s="238">
        <v>-0.001458401726723145</v>
      </c>
      <c r="C179" s="238">
        <v>-0.001458401726723145</v>
      </c>
      <c r="D179" s="239">
        <v>173.0</v>
      </c>
      <c r="E179" s="238">
        <f t="shared" si="1"/>
        <v>0.01790008263</v>
      </c>
    </row>
    <row r="180" ht="22.5" customHeight="1">
      <c r="A180" s="237">
        <v>45566.64583333333</v>
      </c>
      <c r="B180" s="238">
        <v>-0.0018074636341166247</v>
      </c>
      <c r="C180" s="238">
        <v>-0.0018074636341166247</v>
      </c>
      <c r="D180" s="239">
        <v>174.0</v>
      </c>
      <c r="E180" s="238">
        <f t="shared" si="1"/>
        <v>-0.003620721493</v>
      </c>
    </row>
    <row r="181" ht="22.5" customHeight="1">
      <c r="A181" s="237">
        <v>45726.64583333333</v>
      </c>
      <c r="B181" s="238">
        <v>-0.0018222224142160665</v>
      </c>
      <c r="C181" s="238">
        <v>-0.0018222224142160665</v>
      </c>
      <c r="D181" s="239">
        <v>175.0</v>
      </c>
      <c r="E181" s="238">
        <f t="shared" si="1"/>
        <v>0.01096049289</v>
      </c>
    </row>
    <row r="182" ht="22.5" customHeight="1">
      <c r="A182" s="237">
        <v>45533.64583333333</v>
      </c>
      <c r="B182" s="238">
        <v>-0.0020639514225356996</v>
      </c>
      <c r="C182" s="238">
        <v>-0.0020639514225356996</v>
      </c>
      <c r="D182" s="239">
        <v>176.0</v>
      </c>
      <c r="E182" s="238">
        <f t="shared" si="1"/>
        <v>0.01394818848</v>
      </c>
    </row>
    <row r="183" ht="22.5" customHeight="1">
      <c r="A183" s="237">
        <v>45455.64583333333</v>
      </c>
      <c r="B183" s="238">
        <v>-0.00207788931366273</v>
      </c>
      <c r="C183" s="238">
        <v>-0.00207788931366273</v>
      </c>
      <c r="D183" s="239">
        <v>177.0</v>
      </c>
      <c r="E183" s="238">
        <f t="shared" si="1"/>
        <v>-0.004515764067</v>
      </c>
    </row>
    <row r="184" ht="22.5" customHeight="1">
      <c r="A184" s="237">
        <v>45439.64583333333</v>
      </c>
      <c r="B184" s="238">
        <v>-0.0025602642241683753</v>
      </c>
      <c r="C184" s="238">
        <v>-0.0025602642241683753</v>
      </c>
      <c r="D184" s="239">
        <v>178.0</v>
      </c>
      <c r="E184" s="238">
        <f t="shared" si="1"/>
        <v>-0.003449402839</v>
      </c>
    </row>
    <row r="185" ht="22.5" customHeight="1">
      <c r="A185" s="237">
        <v>45607.64583333333</v>
      </c>
      <c r="B185" s="238">
        <v>-0.0026513394915664854</v>
      </c>
      <c r="C185" s="238">
        <v>-0.0026513394915664854</v>
      </c>
      <c r="D185" s="239">
        <v>179.0</v>
      </c>
      <c r="E185" s="238">
        <f t="shared" si="1"/>
        <v>0.0125918497</v>
      </c>
    </row>
    <row r="186" ht="22.5" customHeight="1">
      <c r="A186" s="237">
        <v>45415.64583333333</v>
      </c>
      <c r="B186" s="238">
        <v>-0.002767654627586824</v>
      </c>
      <c r="C186" s="238">
        <v>-0.002767654627586824</v>
      </c>
      <c r="D186" s="239">
        <v>180.0</v>
      </c>
      <c r="E186" s="238">
        <f t="shared" si="1"/>
        <v>-0.0003389914531</v>
      </c>
    </row>
    <row r="187" ht="22.5" customHeight="1">
      <c r="A187" s="237">
        <v>45418.64583333333</v>
      </c>
      <c r="B187" s="238">
        <v>-0.0030584662015178932</v>
      </c>
      <c r="C187" s="238">
        <v>-0.0030584662015178932</v>
      </c>
      <c r="D187" s="239">
        <v>181.0</v>
      </c>
      <c r="E187" s="238">
        <f t="shared" si="1"/>
        <v>-0.007981323768</v>
      </c>
    </row>
    <row r="188" ht="22.5" customHeight="1">
      <c r="A188" s="237">
        <v>45525.64583333333</v>
      </c>
      <c r="B188" s="238">
        <v>-0.0030656888102903027</v>
      </c>
      <c r="C188" s="238">
        <v>-0.0030656888102903027</v>
      </c>
      <c r="D188" s="239">
        <v>182.0</v>
      </c>
      <c r="E188" s="238">
        <f t="shared" si="1"/>
        <v>-0.01674326662</v>
      </c>
    </row>
    <row r="189" ht="22.5" customHeight="1">
      <c r="A189" s="237">
        <v>45665.64583333333</v>
      </c>
      <c r="B189" s="238">
        <v>-0.0030904680243407116</v>
      </c>
      <c r="C189" s="238">
        <v>-0.0030904680243407116</v>
      </c>
      <c r="D189" s="239">
        <v>183.0</v>
      </c>
      <c r="E189" s="238">
        <f t="shared" si="1"/>
        <v>0.01982143309</v>
      </c>
    </row>
    <row r="190" ht="22.5" customHeight="1">
      <c r="A190" s="237">
        <v>45512.64583333333</v>
      </c>
      <c r="B190" s="238">
        <v>-0.003171851516513163</v>
      </c>
      <c r="C190" s="238">
        <v>-0.003171851516513163</v>
      </c>
      <c r="D190" s="239">
        <v>184.0</v>
      </c>
      <c r="E190" s="238">
        <f t="shared" si="1"/>
        <v>0.01023480986</v>
      </c>
    </row>
    <row r="191" ht="22.5" customHeight="1">
      <c r="A191" s="237">
        <v>45576.64583333333</v>
      </c>
      <c r="B191" s="238">
        <v>-0.003346994380734519</v>
      </c>
      <c r="C191" s="238">
        <v>-0.003346994380734519</v>
      </c>
      <c r="D191" s="239">
        <v>185.0</v>
      </c>
      <c r="E191" s="238">
        <f t="shared" si="1"/>
        <v>-0.01845048887</v>
      </c>
    </row>
    <row r="192" ht="22.5" customHeight="1">
      <c r="A192" s="237">
        <v>45694.64583333333</v>
      </c>
      <c r="B192" s="238">
        <v>-0.00366739175508979</v>
      </c>
      <c r="C192" s="238">
        <v>-0.00366739175508979</v>
      </c>
      <c r="D192" s="239">
        <v>186.0</v>
      </c>
      <c r="E192" s="238">
        <f t="shared" si="1"/>
        <v>0.005600936069</v>
      </c>
    </row>
    <row r="193" ht="22.5" customHeight="1">
      <c r="A193" s="237">
        <v>45700.64583333333</v>
      </c>
      <c r="B193" s="238">
        <v>-0.0036743945033857767</v>
      </c>
      <c r="C193" s="238">
        <v>-0.0036743945033857767</v>
      </c>
      <c r="D193" s="239">
        <v>187.0</v>
      </c>
      <c r="E193" s="238">
        <f t="shared" si="1"/>
        <v>-0.01648202644</v>
      </c>
    </row>
    <row r="194" ht="22.5" customHeight="1">
      <c r="A194" s="237">
        <v>45546.64583333333</v>
      </c>
      <c r="B194" s="238">
        <v>-0.0037038775800593325</v>
      </c>
      <c r="C194" s="238">
        <v>-0.0037038775800593325</v>
      </c>
      <c r="D194" s="239">
        <v>188.0</v>
      </c>
      <c r="E194" s="238">
        <f t="shared" si="1"/>
        <v>0.01609630543</v>
      </c>
    </row>
    <row r="195" ht="22.5" customHeight="1">
      <c r="A195" s="237">
        <v>45624.64583333333</v>
      </c>
      <c r="B195" s="238">
        <v>-0.0038654114218987117</v>
      </c>
      <c r="C195" s="238">
        <v>-0.0038654114218987117</v>
      </c>
      <c r="D195" s="239">
        <v>189.0</v>
      </c>
      <c r="E195" s="238">
        <f t="shared" si="1"/>
        <v>0.01314297884</v>
      </c>
    </row>
    <row r="196" ht="22.5" customHeight="1">
      <c r="A196" s="237">
        <v>45483.64583333333</v>
      </c>
      <c r="B196" s="238">
        <v>-0.003923435651190594</v>
      </c>
      <c r="C196" s="238">
        <v>-0.003923435651190594</v>
      </c>
      <c r="D196" s="239">
        <v>190.0</v>
      </c>
      <c r="E196" s="238">
        <f t="shared" si="1"/>
        <v>-0.0008766058763</v>
      </c>
    </row>
    <row r="197" ht="22.5" customHeight="1">
      <c r="A197" s="237">
        <v>45504.64583333333</v>
      </c>
      <c r="B197" s="238">
        <v>-0.00432669714127307</v>
      </c>
      <c r="C197" s="238">
        <v>-0.00432669714127307</v>
      </c>
      <c r="D197" s="239">
        <v>191.0</v>
      </c>
      <c r="E197" s="238">
        <f t="shared" si="1"/>
        <v>0.007724792936</v>
      </c>
    </row>
    <row r="198" ht="22.5" customHeight="1">
      <c r="A198" s="237">
        <v>45770.64583333333</v>
      </c>
      <c r="B198" s="238">
        <v>-0.004329096568121918</v>
      </c>
      <c r="C198" s="238">
        <v>-0.004329096568121918</v>
      </c>
      <c r="D198" s="239">
        <v>192.0</v>
      </c>
      <c r="E198" s="238">
        <f t="shared" si="1"/>
        <v>0.01971835052</v>
      </c>
    </row>
    <row r="199" ht="22.5" customHeight="1">
      <c r="A199" s="237">
        <v>45539.64583333333</v>
      </c>
      <c r="B199" s="238">
        <v>-0.0044155152015073786</v>
      </c>
      <c r="C199" s="238">
        <v>-0.0044155152015073786</v>
      </c>
      <c r="D199" s="239">
        <v>193.0</v>
      </c>
      <c r="E199" s="238">
        <f t="shared" si="1"/>
        <v>0.009846751245</v>
      </c>
    </row>
    <row r="200" ht="22.5" customHeight="1">
      <c r="A200" s="237">
        <v>45713.64583333333</v>
      </c>
      <c r="B200" s="238">
        <v>-0.004503975502498852</v>
      </c>
      <c r="C200" s="238">
        <v>-0.004503975502498852</v>
      </c>
      <c r="D200" s="239">
        <v>194.0</v>
      </c>
      <c r="E200" s="238">
        <f t="shared" si="1"/>
        <v>0.007528943213</v>
      </c>
    </row>
    <row r="201" ht="22.5" customHeight="1">
      <c r="A201" s="237">
        <v>45656.64583333333</v>
      </c>
      <c r="B201" s="238">
        <v>-0.004842369980397422</v>
      </c>
      <c r="C201" s="238">
        <v>-0.004842369980397422</v>
      </c>
      <c r="D201" s="239">
        <v>195.0</v>
      </c>
      <c r="E201" s="238">
        <f t="shared" si="1"/>
        <v>0.007782253924</v>
      </c>
    </row>
    <row r="202" ht="22.5" customHeight="1">
      <c r="A202" s="237">
        <v>45722.64583333333</v>
      </c>
      <c r="B202" s="238">
        <v>-0.004915574261074343</v>
      </c>
      <c r="C202" s="238">
        <v>-0.004915574261074343</v>
      </c>
      <c r="D202" s="239">
        <v>196.0</v>
      </c>
      <c r="E202" s="238">
        <f t="shared" si="1"/>
        <v>0.001840747163</v>
      </c>
    </row>
    <row r="203" ht="22.5" customHeight="1">
      <c r="A203" s="237">
        <v>45589.64583333333</v>
      </c>
      <c r="B203" s="238">
        <v>-0.004915616838111041</v>
      </c>
      <c r="C203" s="238">
        <v>-0.004915616838111041</v>
      </c>
      <c r="D203" s="239">
        <v>197.0</v>
      </c>
      <c r="E203" s="238">
        <f t="shared" si="1"/>
        <v>0.009860095775</v>
      </c>
    </row>
    <row r="204" ht="22.5" customHeight="1">
      <c r="A204" s="237">
        <v>45645.64583333333</v>
      </c>
      <c r="B204" s="238">
        <v>-0.005140446151559234</v>
      </c>
      <c r="C204" s="238">
        <v>-0.005140446151559234</v>
      </c>
      <c r="D204" s="239">
        <v>198.0</v>
      </c>
      <c r="E204" s="238">
        <f t="shared" si="1"/>
        <v>0.009796082548</v>
      </c>
    </row>
    <row r="205" ht="22.5" customHeight="1">
      <c r="A205" s="237">
        <v>45698.64583333333</v>
      </c>
      <c r="B205" s="238">
        <v>-0.005234534702330354</v>
      </c>
      <c r="C205" s="238">
        <v>-0.005234534702330354</v>
      </c>
      <c r="D205" s="239">
        <v>199.0</v>
      </c>
      <c r="E205" s="238">
        <f t="shared" si="1"/>
        <v>0.007395147637</v>
      </c>
    </row>
    <row r="206" ht="22.5" customHeight="1">
      <c r="A206" s="237">
        <v>45421.64583333333</v>
      </c>
      <c r="B206" s="238">
        <v>-0.00530560280846467</v>
      </c>
      <c r="C206" s="238">
        <v>-0.00530560280846467</v>
      </c>
      <c r="D206" s="239">
        <v>200.0</v>
      </c>
      <c r="E206" s="238">
        <f t="shared" si="1"/>
        <v>-0.00529300837</v>
      </c>
    </row>
    <row r="207" ht="22.5" customHeight="1">
      <c r="A207" s="237">
        <v>45485.64583333333</v>
      </c>
      <c r="B207" s="238">
        <v>-0.005600774270424716</v>
      </c>
      <c r="C207" s="238">
        <v>-0.005600774270424716</v>
      </c>
      <c r="D207" s="239">
        <v>201.0</v>
      </c>
      <c r="E207" s="238">
        <f t="shared" si="1"/>
        <v>0.005375208682</v>
      </c>
    </row>
    <row r="208" ht="22.5" customHeight="1">
      <c r="A208" s="237">
        <v>45560.64583333333</v>
      </c>
      <c r="B208" s="238">
        <v>-0.006149947638514333</v>
      </c>
      <c r="C208" s="238">
        <v>-0.006149947638514333</v>
      </c>
      <c r="D208" s="239">
        <v>202.0</v>
      </c>
      <c r="E208" s="238">
        <f t="shared" si="1"/>
        <v>-0.0001631458854</v>
      </c>
    </row>
    <row r="209" ht="22.5" customHeight="1">
      <c r="A209" s="237">
        <v>45441.64583333333</v>
      </c>
      <c r="B209" s="238">
        <v>-0.0063260217532356555</v>
      </c>
      <c r="C209" s="238">
        <v>-0.0063260217532356555</v>
      </c>
      <c r="D209" s="239">
        <v>203.0</v>
      </c>
      <c r="E209" s="238">
        <f t="shared" si="1"/>
        <v>-0.0128983868</v>
      </c>
    </row>
    <row r="210" ht="22.5" customHeight="1">
      <c r="A210" s="237">
        <v>45440.64583333333</v>
      </c>
      <c r="B210" s="238">
        <v>-0.006340347057031825</v>
      </c>
      <c r="C210" s="238">
        <v>-0.006340347057031825</v>
      </c>
      <c r="D210" s="239">
        <v>204.0</v>
      </c>
      <c r="E210" s="238">
        <f t="shared" si="1"/>
        <v>-0.005171568476</v>
      </c>
    </row>
    <row r="211" ht="22.5" customHeight="1">
      <c r="A211" s="237">
        <v>45481.64583333333</v>
      </c>
      <c r="B211" s="238">
        <v>-0.006344934772997746</v>
      </c>
      <c r="C211" s="238">
        <v>-0.006344934772997746</v>
      </c>
      <c r="D211" s="239">
        <v>205.0</v>
      </c>
      <c r="E211" s="238">
        <f t="shared" si="1"/>
        <v>0.02686374703</v>
      </c>
    </row>
    <row r="212" ht="22.5" customHeight="1">
      <c r="A212" s="237">
        <v>45518.64583333333</v>
      </c>
      <c r="B212" s="238">
        <v>-0.006583922814287373</v>
      </c>
      <c r="C212" s="238">
        <v>-0.006583922814287373</v>
      </c>
      <c r="D212" s="239">
        <v>206.0</v>
      </c>
      <c r="E212" s="238">
        <f t="shared" si="1"/>
        <v>0.008334002401</v>
      </c>
    </row>
    <row r="213" ht="22.5" customHeight="1">
      <c r="A213" s="237">
        <v>45552.64583333333</v>
      </c>
      <c r="B213" s="238">
        <v>-0.007067202408709524</v>
      </c>
      <c r="C213" s="238">
        <v>-0.007067202408709524</v>
      </c>
      <c r="D213" s="239">
        <v>207.0</v>
      </c>
      <c r="E213" s="238">
        <f t="shared" si="1"/>
        <v>-0.001193284956</v>
      </c>
    </row>
    <row r="214" ht="22.5" customHeight="1">
      <c r="A214" s="237">
        <v>45497.64583333333</v>
      </c>
      <c r="B214" s="238">
        <v>-0.007109561862441839</v>
      </c>
      <c r="C214" s="238">
        <v>-0.007109561862441839</v>
      </c>
      <c r="D214" s="239">
        <v>208.0</v>
      </c>
      <c r="E214" s="238">
        <f t="shared" si="1"/>
        <v>-0.006393636232</v>
      </c>
    </row>
    <row r="215" ht="22.5" customHeight="1">
      <c r="A215" s="237">
        <v>45510.64583333333</v>
      </c>
      <c r="B215" s="238">
        <v>-0.007271499398617294</v>
      </c>
      <c r="C215" s="238">
        <v>-0.007271499398617294</v>
      </c>
      <c r="D215" s="239">
        <v>209.0</v>
      </c>
      <c r="E215" s="238">
        <f t="shared" si="1"/>
        <v>0.01037505245</v>
      </c>
    </row>
    <row r="216" ht="22.5" customHeight="1">
      <c r="A216" s="237">
        <v>45712.64583333333</v>
      </c>
      <c r="B216" s="238">
        <v>-0.007278420908642808</v>
      </c>
      <c r="C216" s="238">
        <v>-0.007278420908642808</v>
      </c>
      <c r="D216" s="239">
        <v>210.0</v>
      </c>
      <c r="E216" s="238">
        <f t="shared" si="1"/>
        <v>0.005510772705</v>
      </c>
    </row>
    <row r="217" ht="22.5" customHeight="1">
      <c r="A217" s="237">
        <v>45769.64583333333</v>
      </c>
      <c r="B217" s="238">
        <v>-0.0073136632393545125</v>
      </c>
      <c r="C217" s="238">
        <v>-0.0073136632393545125</v>
      </c>
      <c r="D217" s="239">
        <v>211.0</v>
      </c>
      <c r="E217" s="238">
        <f t="shared" si="1"/>
        <v>-0.02566139101</v>
      </c>
    </row>
    <row r="218" ht="22.5" customHeight="1">
      <c r="A218" s="237">
        <v>45751.64583333333</v>
      </c>
      <c r="B218" s="238">
        <v>-0.007476699202618656</v>
      </c>
      <c r="C218" s="238">
        <v>-0.007476699202618656</v>
      </c>
      <c r="D218" s="239">
        <v>212.0</v>
      </c>
      <c r="E218" s="238">
        <f t="shared" si="1"/>
        <v>-0.01750415985</v>
      </c>
    </row>
    <row r="219" ht="22.5" customHeight="1">
      <c r="A219" s="237">
        <v>45777.64583333333</v>
      </c>
      <c r="B219" s="238">
        <v>-0.007520715090194727</v>
      </c>
      <c r="C219" s="238">
        <v>-0.007520715090194727</v>
      </c>
      <c r="D219" s="239">
        <v>213.0</v>
      </c>
      <c r="E219" s="238">
        <f t="shared" si="1"/>
        <v>-0.01215662131</v>
      </c>
    </row>
    <row r="220" ht="22.5" customHeight="1">
      <c r="A220" s="237">
        <v>45569.64583333333</v>
      </c>
      <c r="B220" s="238">
        <v>-0.007673438674620973</v>
      </c>
      <c r="C220" s="238">
        <v>-0.007673438674620973</v>
      </c>
      <c r="D220" s="239">
        <v>214.0</v>
      </c>
      <c r="E220" s="238">
        <f t="shared" si="1"/>
        <v>-0.01044677705</v>
      </c>
    </row>
    <row r="221" ht="22.5" customHeight="1">
      <c r="A221" s="237">
        <v>45586.64583333333</v>
      </c>
      <c r="B221" s="238">
        <v>-0.007892997856569467</v>
      </c>
      <c r="C221" s="238">
        <v>-0.007892997856569467</v>
      </c>
      <c r="D221" s="239">
        <v>215.0</v>
      </c>
      <c r="E221" s="238">
        <f t="shared" si="1"/>
        <v>-0.0005974343512</v>
      </c>
    </row>
    <row r="222" ht="22.5" customHeight="1">
      <c r="A222" s="237">
        <v>45491.64583333333</v>
      </c>
      <c r="B222" s="238">
        <v>-0.007958853284302781</v>
      </c>
      <c r="C222" s="238">
        <v>-0.007958853284302781</v>
      </c>
      <c r="D222" s="239">
        <v>216.0</v>
      </c>
      <c r="E222" s="238">
        <f t="shared" si="1"/>
        <v>0.006588877903</v>
      </c>
    </row>
    <row r="223" ht="22.5" customHeight="1">
      <c r="A223" s="237">
        <v>45600.64583333333</v>
      </c>
      <c r="B223" s="238">
        <v>-0.008099515556167244</v>
      </c>
      <c r="C223" s="238">
        <v>-0.008099515556167244</v>
      </c>
      <c r="D223" s="239">
        <v>217.0</v>
      </c>
      <c r="E223" s="238">
        <f t="shared" si="1"/>
        <v>-0.002555845029</v>
      </c>
    </row>
    <row r="224" ht="22.5" customHeight="1">
      <c r="A224" s="237">
        <v>45595.64583333333</v>
      </c>
      <c r="B224" s="238">
        <v>-0.008458814492263335</v>
      </c>
      <c r="C224" s="238">
        <v>-0.008458814492263335</v>
      </c>
      <c r="D224" s="239">
        <v>218.0</v>
      </c>
      <c r="E224" s="238">
        <f t="shared" si="1"/>
        <v>0.01050900311</v>
      </c>
    </row>
    <row r="225" ht="22.5" customHeight="1">
      <c r="A225" s="237">
        <v>45596.64583333333</v>
      </c>
      <c r="B225" s="238">
        <v>-0.00881950015991777</v>
      </c>
      <c r="C225" s="238">
        <v>-0.00881950015991777</v>
      </c>
      <c r="D225" s="239">
        <v>219.0</v>
      </c>
      <c r="E225" s="238">
        <f t="shared" si="1"/>
        <v>-0.008375310815</v>
      </c>
    </row>
    <row r="226" ht="22.5" customHeight="1">
      <c r="A226" s="237">
        <v>45517.64583333333</v>
      </c>
      <c r="B226" s="238">
        <v>-0.009289489117894751</v>
      </c>
      <c r="C226" s="238">
        <v>-0.009289489117894751</v>
      </c>
      <c r="D226" s="239">
        <v>220.0</v>
      </c>
      <c r="E226" s="238">
        <f t="shared" si="1"/>
        <v>0.0008419188349</v>
      </c>
    </row>
    <row r="227" ht="22.5" customHeight="1">
      <c r="A227" s="237">
        <v>45505.64583333333</v>
      </c>
      <c r="B227" s="238">
        <v>-0.00932034218317922</v>
      </c>
      <c r="C227" s="238">
        <v>-0.00932034218317922</v>
      </c>
      <c r="D227" s="239">
        <v>221.0</v>
      </c>
      <c r="E227" s="238">
        <f t="shared" si="1"/>
        <v>-0.002030473514</v>
      </c>
    </row>
    <row r="228" ht="22.5" customHeight="1">
      <c r="A228" s="237">
        <v>45464.64583333333</v>
      </c>
      <c r="B228" s="238">
        <v>-0.009451208862937547</v>
      </c>
      <c r="C228" s="238">
        <v>-0.009451208862937547</v>
      </c>
      <c r="D228" s="239">
        <v>222.0</v>
      </c>
      <c r="E228" s="238">
        <f t="shared" si="1"/>
        <v>0.04407362483</v>
      </c>
    </row>
    <row r="229" ht="22.5" customHeight="1">
      <c r="A229" s="237">
        <v>45706.64583333333</v>
      </c>
      <c r="B229" s="238">
        <v>-0.009552267393401377</v>
      </c>
      <c r="C229" s="238">
        <v>-0.009552267393401377</v>
      </c>
      <c r="D229" s="239">
        <v>223.0</v>
      </c>
      <c r="E229" s="238">
        <f t="shared" si="1"/>
        <v>0.01211317194</v>
      </c>
    </row>
    <row r="230" ht="22.5" customHeight="1">
      <c r="A230" s="237">
        <v>45709.64583333333</v>
      </c>
      <c r="B230" s="238">
        <v>-0.010081272085473178</v>
      </c>
      <c r="C230" s="238">
        <v>-0.010081272085473178</v>
      </c>
      <c r="D230" s="239">
        <v>224.0</v>
      </c>
      <c r="E230" s="238">
        <f t="shared" si="1"/>
        <v>-0.01829851206</v>
      </c>
    </row>
    <row r="231" ht="22.5" customHeight="1">
      <c r="A231" s="237">
        <v>45582.64583333333</v>
      </c>
      <c r="B231" s="238">
        <v>-0.010181214484830992</v>
      </c>
      <c r="C231" s="238">
        <v>-0.010181214484830992</v>
      </c>
      <c r="D231" s="239">
        <v>225.0</v>
      </c>
      <c r="E231" s="238">
        <f t="shared" si="1"/>
        <v>0.0003568080234</v>
      </c>
    </row>
    <row r="232" ht="22.5" customHeight="1">
      <c r="A232" s="237">
        <v>45660.64583333333</v>
      </c>
      <c r="B232" s="238">
        <v>-0.010225577472603305</v>
      </c>
      <c r="C232" s="238">
        <v>-0.010225577472603305</v>
      </c>
      <c r="D232" s="239">
        <v>226.0</v>
      </c>
      <c r="E232" s="238">
        <f t="shared" si="1"/>
        <v>0.01530023877</v>
      </c>
    </row>
    <row r="233" ht="22.5" customHeight="1">
      <c r="A233" s="237">
        <v>45412.64583333333</v>
      </c>
      <c r="B233" s="238">
        <v>-0.010277227283021492</v>
      </c>
      <c r="C233" s="238">
        <v>-0.010277227283021492</v>
      </c>
      <c r="D233" s="239">
        <v>227.0</v>
      </c>
      <c r="E233" s="238">
        <f t="shared" si="1"/>
        <v>-0.02450207516</v>
      </c>
    </row>
    <row r="234" ht="22.5" customHeight="1">
      <c r="A234" s="237">
        <v>45498.64583333333</v>
      </c>
      <c r="B234" s="238">
        <v>-0.010331799299332037</v>
      </c>
      <c r="C234" s="238">
        <v>-0.010331799299332037</v>
      </c>
      <c r="D234" s="239">
        <v>228.0</v>
      </c>
      <c r="E234" s="238">
        <f t="shared" si="1"/>
        <v>0.01054673338</v>
      </c>
    </row>
    <row r="235" ht="22.5" customHeight="1">
      <c r="A235" s="237">
        <v>45679.64583333333</v>
      </c>
      <c r="B235" s="238">
        <v>-0.010485274404826753</v>
      </c>
      <c r="C235" s="238">
        <v>-0.010485274404826753</v>
      </c>
      <c r="D235" s="239">
        <v>229.0</v>
      </c>
      <c r="E235" s="238">
        <f t="shared" si="1"/>
        <v>0.004594212246</v>
      </c>
    </row>
    <row r="236" ht="22.5" customHeight="1">
      <c r="A236" s="237">
        <v>45475.64583333333</v>
      </c>
      <c r="B236" s="238">
        <v>-0.010580264874584876</v>
      </c>
      <c r="C236" s="238">
        <v>-0.010580264874584876</v>
      </c>
      <c r="D236" s="239">
        <v>230.0</v>
      </c>
      <c r="E236" s="238">
        <f t="shared" si="1"/>
        <v>-0.01084428021</v>
      </c>
    </row>
    <row r="237" ht="22.5" customHeight="1">
      <c r="A237" s="237">
        <v>45537.64583333333</v>
      </c>
      <c r="B237" s="238">
        <v>-0.010654807330287758</v>
      </c>
      <c r="C237" s="238">
        <v>-0.010654807330287758</v>
      </c>
      <c r="D237" s="239">
        <v>231.0</v>
      </c>
      <c r="E237" s="238">
        <f t="shared" si="1"/>
        <v>0.01007467525</v>
      </c>
    </row>
    <row r="238" ht="22.5" customHeight="1">
      <c r="A238" s="237">
        <v>45643.64583333333</v>
      </c>
      <c r="B238" s="238">
        <v>-0.010842635583939973</v>
      </c>
      <c r="C238" s="238">
        <v>-0.010842635583939973</v>
      </c>
      <c r="D238" s="239">
        <v>232.0</v>
      </c>
      <c r="E238" s="238">
        <f t="shared" si="1"/>
        <v>-0.004588957602</v>
      </c>
    </row>
    <row r="239" ht="22.5" customHeight="1">
      <c r="A239" s="237">
        <v>45590.64583333333</v>
      </c>
      <c r="B239" s="238">
        <v>-0.011385399625236998</v>
      </c>
      <c r="C239" s="238">
        <v>-0.011385399625236998</v>
      </c>
      <c r="D239" s="239">
        <v>233.0</v>
      </c>
      <c r="E239" s="238">
        <f t="shared" si="1"/>
        <v>0.003640693174</v>
      </c>
    </row>
    <row r="240" ht="22.5" customHeight="1">
      <c r="A240" s="237">
        <v>45565.64583333333</v>
      </c>
      <c r="B240" s="238">
        <v>-0.011530701086116882</v>
      </c>
      <c r="C240" s="238">
        <v>-0.011530701086116882</v>
      </c>
      <c r="D240" s="239">
        <v>234.0</v>
      </c>
      <c r="E240" s="238">
        <f t="shared" si="1"/>
        <v>-0.002358434731</v>
      </c>
    </row>
    <row r="241" ht="22.5" customHeight="1">
      <c r="A241" s="237">
        <v>45462.64583333333</v>
      </c>
      <c r="B241" s="238">
        <v>-0.013128011069035625</v>
      </c>
      <c r="C241" s="238">
        <v>-0.013128011069035625</v>
      </c>
      <c r="D241" s="239">
        <v>235.0</v>
      </c>
      <c r="E241" s="238">
        <f t="shared" si="1"/>
        <v>0.01012363362</v>
      </c>
    </row>
    <row r="242" ht="22.5" customHeight="1">
      <c r="A242" s="237">
        <v>45506.64583333333</v>
      </c>
      <c r="B242" s="238">
        <v>-0.013383359810136396</v>
      </c>
      <c r="C242" s="238">
        <v>-0.013383359810136396</v>
      </c>
      <c r="D242" s="239">
        <v>236.0</v>
      </c>
      <c r="E242" s="238">
        <f t="shared" si="1"/>
        <v>0.00008625239464</v>
      </c>
    </row>
    <row r="243" ht="22.5" customHeight="1">
      <c r="A243" s="237">
        <v>45772.64583333333</v>
      </c>
      <c r="B243" s="238">
        <v>-0.01343667323532139</v>
      </c>
      <c r="C243" s="238">
        <v>-0.01343667323532139</v>
      </c>
      <c r="D243" s="239">
        <v>237.0</v>
      </c>
      <c r="E243" s="238">
        <f t="shared" si="1"/>
        <v>-0.005287089663</v>
      </c>
    </row>
    <row r="244" ht="22.5" customHeight="1">
      <c r="A244" s="237">
        <v>45587.64583333333</v>
      </c>
      <c r="B244" s="238">
        <v>-0.013483938482687974</v>
      </c>
      <c r="C244" s="238">
        <v>-0.013483938482687974</v>
      </c>
      <c r="D244" s="239">
        <v>238.0</v>
      </c>
      <c r="E244" s="238">
        <f t="shared" si="1"/>
        <v>0.006765230725</v>
      </c>
    </row>
    <row r="245" ht="22.5" customHeight="1">
      <c r="A245" s="237">
        <v>45638.64583333333</v>
      </c>
      <c r="B245" s="238">
        <v>-0.013521687879959016</v>
      </c>
      <c r="C245" s="238">
        <v>-0.013521687879959016</v>
      </c>
      <c r="D245" s="239">
        <v>239.0</v>
      </c>
      <c r="E245" s="238">
        <f t="shared" si="1"/>
        <v>-0.003851451723</v>
      </c>
    </row>
    <row r="246" ht="22.5" customHeight="1">
      <c r="A246" s="237">
        <v>45667.64583333333</v>
      </c>
      <c r="B246" s="238">
        <v>-0.01375378083095593</v>
      </c>
      <c r="C246" s="238">
        <v>-0.01375378083095593</v>
      </c>
      <c r="D246" s="239">
        <v>240.0</v>
      </c>
      <c r="E246" s="238">
        <f t="shared" si="1"/>
        <v>0.02053084437</v>
      </c>
    </row>
    <row r="247" ht="22.5" customHeight="1">
      <c r="A247" s="237">
        <v>45728.64583333333</v>
      </c>
      <c r="B247" s="238">
        <v>-0.01460579065175518</v>
      </c>
      <c r="C247" s="238">
        <v>-0.01460579065175518</v>
      </c>
      <c r="D247" s="239">
        <v>241.0</v>
      </c>
      <c r="E247" s="238">
        <f t="shared" si="1"/>
        <v>0.01229905208</v>
      </c>
    </row>
    <row r="248" ht="22.5" customHeight="1">
      <c r="A248" s="237">
        <v>45572.64583333333</v>
      </c>
      <c r="B248" s="238">
        <v>-0.015307232795537234</v>
      </c>
      <c r="C248" s="238">
        <v>-0.015307232795537234</v>
      </c>
      <c r="D248" s="239">
        <v>242.0</v>
      </c>
      <c r="E248" s="238">
        <f t="shared" si="1"/>
        <v>-0.007091615033</v>
      </c>
    </row>
    <row r="249" ht="22.5" customHeight="1">
      <c r="A249" s="237">
        <v>45646.64583333333</v>
      </c>
      <c r="B249" s="238">
        <v>-0.015703413324674193</v>
      </c>
      <c r="C249" s="238">
        <v>-0.015703413324674193</v>
      </c>
      <c r="D249" s="239">
        <v>243.0</v>
      </c>
      <c r="E249" s="238">
        <f t="shared" si="1"/>
        <v>0.02430508853</v>
      </c>
    </row>
    <row r="250" ht="22.5" customHeight="1">
      <c r="A250" s="237">
        <v>45741.64583333333</v>
      </c>
      <c r="B250" s="238">
        <v>-0.01584841811209276</v>
      </c>
      <c r="C250" s="238">
        <v>-0.01584841811209276</v>
      </c>
      <c r="D250" s="239">
        <v>244.0</v>
      </c>
      <c r="E250" s="238">
        <f t="shared" si="1"/>
        <v>-0.006158936336</v>
      </c>
    </row>
    <row r="251" ht="22.5" customHeight="1">
      <c r="A251" s="237">
        <v>45608.64583333333</v>
      </c>
      <c r="B251" s="238">
        <v>-0.016276199223108502</v>
      </c>
      <c r="C251" s="238">
        <v>-0.016276199223108502</v>
      </c>
      <c r="D251" s="239">
        <v>245.0</v>
      </c>
      <c r="E251" s="238">
        <f t="shared" si="1"/>
        <v>0.0008485640102</v>
      </c>
    </row>
    <row r="252" ht="22.5" customHeight="1">
      <c r="A252" s="237">
        <v>45699.64583333333</v>
      </c>
      <c r="B252" s="238">
        <v>-0.016805167554404456</v>
      </c>
      <c r="C252" s="238">
        <v>-0.016805167554404456</v>
      </c>
      <c r="D252" s="239">
        <v>246.0</v>
      </c>
      <c r="E252" s="238">
        <f t="shared" si="1"/>
        <v>-0.0120736293</v>
      </c>
    </row>
    <row r="253" ht="22.5" customHeight="1">
      <c r="A253" s="237">
        <v>45588.64583333333</v>
      </c>
      <c r="B253" s="238">
        <v>-0.01698602398114124</v>
      </c>
      <c r="C253" s="238">
        <v>-0.01698602398114124</v>
      </c>
      <c r="D253" s="239">
        <v>247.0</v>
      </c>
      <c r="E253" s="238">
        <f t="shared" si="1"/>
        <v>0.01916646014</v>
      </c>
    </row>
    <row r="254" ht="22.5" customHeight="1">
      <c r="A254" s="237">
        <v>45568.64583333333</v>
      </c>
      <c r="B254" s="238">
        <v>-0.01728635164221805</v>
      </c>
      <c r="C254" s="238">
        <v>-0.01728635164221805</v>
      </c>
      <c r="D254" s="239">
        <v>248.0</v>
      </c>
      <c r="E254" s="238">
        <f t="shared" si="1"/>
        <v>0.02419343164</v>
      </c>
    </row>
    <row r="255" ht="22.5" customHeight="1">
      <c r="A255" s="237">
        <v>45663.64583333333</v>
      </c>
      <c r="B255" s="238">
        <v>-0.017457187508780683</v>
      </c>
      <c r="C255" s="238">
        <v>-0.017457187508780683</v>
      </c>
      <c r="D255" s="239">
        <v>249.0</v>
      </c>
      <c r="E255" s="238">
        <f t="shared" si="1"/>
        <v>0.006760797555</v>
      </c>
    </row>
    <row r="256" ht="22.5" customHeight="1">
      <c r="A256" s="237">
        <v>45604.64583333333</v>
      </c>
      <c r="B256" s="238">
        <v>-0.017512440401212914</v>
      </c>
      <c r="C256" s="238">
        <v>-0.017512440401212914</v>
      </c>
      <c r="D256" s="239">
        <v>250.0</v>
      </c>
      <c r="E256" s="238">
        <f t="shared" si="1"/>
        <v>-0.007272043467</v>
      </c>
    </row>
    <row r="257" ht="22.5" customHeight="1">
      <c r="A257" s="237">
        <v>45509.64583333333</v>
      </c>
      <c r="B257" s="238">
        <v>-0.01784780088679165</v>
      </c>
      <c r="C257" s="238">
        <v>-0.01784780088679165</v>
      </c>
      <c r="D257" s="239">
        <v>251.0</v>
      </c>
      <c r="E257" s="238">
        <f t="shared" si="1"/>
        <v>-0.002660402957</v>
      </c>
    </row>
    <row r="258" ht="22.5" customHeight="1">
      <c r="A258" s="237">
        <v>45609.64583333333</v>
      </c>
      <c r="B258" s="238">
        <v>-0.018616748381105164</v>
      </c>
      <c r="C258" s="238">
        <v>-0.018616748381105164</v>
      </c>
      <c r="D258" s="239">
        <v>252.0</v>
      </c>
      <c r="E258" s="238">
        <f t="shared" si="1"/>
        <v>0.003488368312</v>
      </c>
    </row>
    <row r="259" ht="22.5" customHeight="1">
      <c r="A259" s="237">
        <v>45670.64583333333</v>
      </c>
      <c r="B259" s="238">
        <v>-0.018868691234251653</v>
      </c>
      <c r="C259" s="238">
        <v>-0.018868691234251653</v>
      </c>
      <c r="D259" s="239">
        <v>253.0</v>
      </c>
      <c r="E259" s="238">
        <f t="shared" si="1"/>
        <v>0.0004373901722</v>
      </c>
    </row>
    <row r="260" ht="22.5" customHeight="1">
      <c r="A260" s="237">
        <v>45419.64583333333</v>
      </c>
      <c r="B260" s="238">
        <v>-0.02034175247879376</v>
      </c>
      <c r="C260" s="238">
        <v>-0.02034175247879376</v>
      </c>
      <c r="D260" s="239">
        <v>254.0</v>
      </c>
      <c r="E260" s="238">
        <f t="shared" si="1"/>
        <v>0.008224253752</v>
      </c>
    </row>
    <row r="261" ht="22.5" customHeight="1">
      <c r="A261" s="237">
        <v>45644.64583333333</v>
      </c>
      <c r="B261" s="238">
        <v>-0.021009329571091633</v>
      </c>
      <c r="C261" s="238">
        <v>-0.021009329571091633</v>
      </c>
      <c r="D261" s="239">
        <v>255.0</v>
      </c>
      <c r="E261" s="238">
        <f t="shared" si="1"/>
        <v>0.009132841853</v>
      </c>
    </row>
    <row r="262" ht="22.5" customHeight="1">
      <c r="A262" s="237">
        <v>45492.64583333333</v>
      </c>
      <c r="B262" s="238">
        <v>-0.021181325964289677</v>
      </c>
      <c r="C262" s="238">
        <v>-0.021181325964289677</v>
      </c>
      <c r="D262" s="239">
        <v>256.0</v>
      </c>
      <c r="E262" s="238">
        <f t="shared" si="1"/>
        <v>-0.01344426029</v>
      </c>
    </row>
    <row r="263" ht="22.5" customHeight="1">
      <c r="A263" s="237">
        <v>45678.64583333333</v>
      </c>
      <c r="B263" s="238">
        <v>-0.02126050111622769</v>
      </c>
      <c r="C263" s="238">
        <v>-0.02126050111622769</v>
      </c>
      <c r="D263" s="239">
        <v>257.0</v>
      </c>
      <c r="E263" s="238">
        <f t="shared" si="1"/>
        <v>0.02110629391</v>
      </c>
    </row>
    <row r="264" ht="22.5" customHeight="1">
      <c r="A264" s="237">
        <v>45702.64583333333</v>
      </c>
      <c r="B264" s="238">
        <v>-0.021685585692400623</v>
      </c>
      <c r="C264" s="238">
        <v>-0.021685585692400623</v>
      </c>
      <c r="D264" s="239">
        <v>258.0</v>
      </c>
      <c r="E264" s="238">
        <f t="shared" si="1"/>
        <v>-0.0317801445</v>
      </c>
    </row>
    <row r="265" ht="22.5" customHeight="1">
      <c r="A265" s="237">
        <v>45691.64583333333</v>
      </c>
      <c r="B265" s="238">
        <v>-0.022803412332355937</v>
      </c>
      <c r="C265" s="238">
        <v>-0.022803412332355937</v>
      </c>
      <c r="D265" s="239">
        <v>259.0</v>
      </c>
      <c r="E265" s="238">
        <f t="shared" si="1"/>
        <v>0.01301938695</v>
      </c>
    </row>
    <row r="266" ht="22.5" customHeight="1">
      <c r="A266" s="237">
        <v>45541.64583333333</v>
      </c>
      <c r="B266" s="238">
        <v>-0.023804490581699495</v>
      </c>
      <c r="C266" s="238">
        <v>-0.023804490581699495</v>
      </c>
      <c r="D266" s="239">
        <v>260.0</v>
      </c>
      <c r="E266" s="238">
        <f t="shared" si="1"/>
        <v>0.02041656392</v>
      </c>
    </row>
    <row r="267" ht="22.5" customHeight="1">
      <c r="A267" s="237">
        <v>45684.64583333333</v>
      </c>
      <c r="B267" s="238">
        <v>-0.02382690010542774</v>
      </c>
      <c r="C267" s="238">
        <v>-0.02382690010542774</v>
      </c>
      <c r="D267" s="239">
        <v>261.0</v>
      </c>
      <c r="E267" s="238">
        <f t="shared" si="1"/>
        <v>-0.01969483323</v>
      </c>
    </row>
    <row r="268" ht="22.5" customHeight="1">
      <c r="A268" s="237">
        <v>45716.64583333333</v>
      </c>
      <c r="B268" s="238">
        <v>-0.028392396372367512</v>
      </c>
      <c r="C268" s="238">
        <v>-0.028392396372367512</v>
      </c>
      <c r="D268" s="239">
        <v>262.0</v>
      </c>
      <c r="E268" s="238">
        <f t="shared" si="1"/>
        <v>-0.00693896956</v>
      </c>
    </row>
    <row r="269" ht="22.5" customHeight="1">
      <c r="A269" s="237">
        <v>45754.64583333333</v>
      </c>
      <c r="B269" s="238">
        <v>-0.02971359769480964</v>
      </c>
      <c r="C269" s="238">
        <v>-0.02971359769480964</v>
      </c>
      <c r="D269" s="239">
        <v>263.0</v>
      </c>
      <c r="E269" s="238">
        <f t="shared" si="1"/>
        <v>0.004998356343</v>
      </c>
    </row>
    <row r="270" ht="22.5" customHeight="1">
      <c r="A270" s="237">
        <v>45554.64583333333</v>
      </c>
      <c r="B270" s="238">
        <v>-0.03207083379065147</v>
      </c>
      <c r="C270" s="238">
        <v>-0.03207083379065147</v>
      </c>
      <c r="D270" s="239">
        <v>264.0</v>
      </c>
      <c r="E270" s="238">
        <f t="shared" si="1"/>
        <v>0.005702289748</v>
      </c>
    </row>
    <row r="271" ht="22.5" customHeight="1">
      <c r="A271" s="237">
        <v>45447.64583333333</v>
      </c>
      <c r="B271" s="238">
        <v>-0.11194933005461086</v>
      </c>
      <c r="C271" s="238">
        <v>-0.11194933005461086</v>
      </c>
      <c r="D271" s="239">
        <v>265.0</v>
      </c>
      <c r="E271" s="238">
        <f t="shared" si="1"/>
        <v>0.01518027882</v>
      </c>
    </row>
    <row r="272" ht="22.5" customHeight="1">
      <c r="A272" s="257"/>
      <c r="B272" s="258"/>
      <c r="C272" s="258"/>
      <c r="E272" s="238">
        <f t="shared" si="1"/>
        <v>0.00002749102847</v>
      </c>
    </row>
    <row r="273">
      <c r="A273" s="32"/>
      <c r="B273" s="150"/>
      <c r="C273" s="150"/>
      <c r="E273" s="226"/>
    </row>
    <row r="274">
      <c r="A274" s="32"/>
      <c r="B274" s="150"/>
      <c r="C274" s="150"/>
      <c r="E274" s="226"/>
    </row>
    <row r="275">
      <c r="A275" s="32"/>
      <c r="B275" s="150"/>
      <c r="C275" s="150"/>
      <c r="E275" s="226"/>
    </row>
    <row r="276">
      <c r="A276" s="32"/>
      <c r="B276" s="150"/>
      <c r="C276" s="150"/>
      <c r="E276" s="226"/>
    </row>
    <row r="277">
      <c r="A277" s="32"/>
      <c r="B277" s="150"/>
      <c r="C277" s="150"/>
      <c r="E277" s="226"/>
    </row>
    <row r="278">
      <c r="A278" s="32"/>
      <c r="B278" s="150"/>
      <c r="C278" s="150"/>
      <c r="E278" s="226"/>
    </row>
    <row r="279">
      <c r="A279" s="32"/>
      <c r="B279" s="150"/>
      <c r="C279" s="150"/>
      <c r="E279" s="226"/>
    </row>
    <row r="280">
      <c r="A280" s="32"/>
      <c r="B280" s="150"/>
      <c r="C280" s="150"/>
      <c r="E280" s="226"/>
    </row>
    <row r="281">
      <c r="A281" s="32"/>
      <c r="B281" s="150"/>
      <c r="C281" s="150"/>
      <c r="E281" s="226"/>
    </row>
    <row r="282">
      <c r="A282" s="32"/>
      <c r="B282" s="150"/>
      <c r="C282" s="150"/>
      <c r="E282" s="226"/>
    </row>
    <row r="283">
      <c r="A283" s="32"/>
      <c r="B283" s="150"/>
      <c r="C283" s="150"/>
      <c r="E283" s="226"/>
    </row>
    <row r="284">
      <c r="A284" s="32"/>
      <c r="B284" s="150"/>
      <c r="C284" s="150"/>
      <c r="E284" s="226"/>
    </row>
    <row r="285">
      <c r="A285" s="32"/>
      <c r="B285" s="150"/>
      <c r="C285" s="150"/>
      <c r="E285" s="226"/>
    </row>
    <row r="286">
      <c r="A286" s="32"/>
      <c r="B286" s="150"/>
      <c r="C286" s="150"/>
      <c r="E286" s="226"/>
    </row>
    <row r="287">
      <c r="A287" s="32"/>
      <c r="B287" s="150"/>
      <c r="C287" s="150"/>
      <c r="E287" s="226"/>
    </row>
    <row r="288">
      <c r="A288" s="32"/>
      <c r="B288" s="150"/>
      <c r="C288" s="150"/>
      <c r="E288" s="226"/>
    </row>
    <row r="289">
      <c r="A289" s="32"/>
      <c r="B289" s="150"/>
      <c r="C289" s="150"/>
      <c r="E289" s="226"/>
    </row>
    <row r="290">
      <c r="A290" s="32"/>
      <c r="B290" s="150"/>
      <c r="C290" s="150"/>
      <c r="E290" s="226"/>
    </row>
    <row r="291">
      <c r="A291" s="32"/>
      <c r="B291" s="150"/>
      <c r="C291" s="150"/>
      <c r="E291" s="226"/>
    </row>
    <row r="292">
      <c r="A292" s="32"/>
      <c r="B292" s="150"/>
      <c r="C292" s="150"/>
      <c r="E292" s="226"/>
    </row>
    <row r="293">
      <c r="A293" s="32"/>
      <c r="B293" s="150"/>
      <c r="C293" s="150"/>
      <c r="E293" s="226"/>
    </row>
    <row r="294">
      <c r="A294" s="32"/>
      <c r="B294" s="150"/>
      <c r="C294" s="150"/>
      <c r="E294" s="226"/>
    </row>
    <row r="295">
      <c r="A295" s="32"/>
      <c r="B295" s="150"/>
      <c r="C295" s="150"/>
      <c r="E295" s="226"/>
    </row>
    <row r="296">
      <c r="A296" s="32"/>
      <c r="B296" s="150"/>
      <c r="C296" s="150"/>
      <c r="E296" s="226"/>
    </row>
    <row r="297">
      <c r="A297" s="32"/>
      <c r="B297" s="150"/>
      <c r="C297" s="150"/>
      <c r="E297" s="226"/>
    </row>
    <row r="298">
      <c r="A298" s="32"/>
      <c r="B298" s="150"/>
      <c r="C298" s="150"/>
      <c r="E298" s="226"/>
    </row>
    <row r="299">
      <c r="A299" s="32"/>
      <c r="B299" s="150"/>
      <c r="C299" s="150"/>
      <c r="E299" s="226"/>
    </row>
    <row r="300">
      <c r="A300" s="32"/>
      <c r="B300" s="150"/>
      <c r="C300" s="150"/>
      <c r="E300" s="226"/>
    </row>
    <row r="301">
      <c r="A301" s="32"/>
      <c r="B301" s="150"/>
      <c r="C301" s="150"/>
      <c r="E301" s="226"/>
    </row>
    <row r="302">
      <c r="A302" s="32"/>
      <c r="B302" s="150"/>
      <c r="C302" s="150"/>
      <c r="E302" s="226"/>
    </row>
    <row r="303">
      <c r="A303" s="32"/>
      <c r="B303" s="150"/>
      <c r="C303" s="150"/>
      <c r="E303" s="226"/>
    </row>
    <row r="304">
      <c r="A304" s="32"/>
      <c r="B304" s="150"/>
      <c r="C304" s="150"/>
      <c r="E304" s="226"/>
    </row>
    <row r="305">
      <c r="A305" s="32"/>
      <c r="B305" s="150"/>
      <c r="C305" s="150"/>
      <c r="E305" s="226"/>
    </row>
    <row r="306">
      <c r="A306" s="32"/>
      <c r="B306" s="150"/>
      <c r="C306" s="150"/>
      <c r="E306" s="226"/>
    </row>
    <row r="307">
      <c r="A307" s="32"/>
      <c r="B307" s="150"/>
      <c r="C307" s="150"/>
      <c r="E307" s="226"/>
    </row>
    <row r="308">
      <c r="A308" s="32"/>
      <c r="B308" s="150"/>
      <c r="C308" s="150"/>
      <c r="E308" s="226"/>
    </row>
    <row r="309">
      <c r="A309" s="32"/>
      <c r="B309" s="150"/>
      <c r="C309" s="150"/>
      <c r="E309" s="226"/>
    </row>
    <row r="310">
      <c r="A310" s="32"/>
      <c r="B310" s="150"/>
      <c r="C310" s="150"/>
      <c r="E310" s="226"/>
    </row>
    <row r="311">
      <c r="A311" s="100"/>
      <c r="B311" s="150"/>
      <c r="C311" s="150"/>
      <c r="E311" s="226"/>
    </row>
    <row r="312">
      <c r="A312" s="100"/>
      <c r="B312" s="150"/>
      <c r="C312" s="150"/>
      <c r="E312" s="226"/>
    </row>
    <row r="313">
      <c r="A313" s="100"/>
      <c r="B313" s="150"/>
      <c r="C313" s="150"/>
      <c r="E313" s="226"/>
    </row>
    <row r="314">
      <c r="A314" s="100"/>
      <c r="B314" s="150"/>
      <c r="C314" s="150"/>
      <c r="E314" s="226"/>
    </row>
    <row r="315">
      <c r="A315" s="100"/>
      <c r="B315" s="150"/>
      <c r="C315" s="150"/>
      <c r="E315" s="226"/>
    </row>
    <row r="316">
      <c r="A316" s="100"/>
      <c r="B316" s="150"/>
      <c r="C316" s="150"/>
      <c r="E316" s="226"/>
    </row>
    <row r="317">
      <c r="A317" s="100"/>
      <c r="B317" s="150"/>
      <c r="C317" s="150"/>
      <c r="E317" s="226"/>
    </row>
    <row r="318">
      <c r="A318" s="100"/>
      <c r="B318" s="150"/>
      <c r="C318" s="150"/>
      <c r="E318" s="226"/>
    </row>
    <row r="319">
      <c r="A319" s="100"/>
      <c r="B319" s="150"/>
      <c r="C319" s="150"/>
      <c r="E319" s="226"/>
    </row>
    <row r="320">
      <c r="A320" s="100"/>
      <c r="B320" s="150"/>
      <c r="C320" s="150"/>
      <c r="E320" s="226"/>
    </row>
    <row r="321">
      <c r="A321" s="100"/>
      <c r="B321" s="150"/>
      <c r="C321" s="150"/>
      <c r="E321" s="226"/>
    </row>
    <row r="322">
      <c r="A322" s="100"/>
      <c r="B322" s="150"/>
      <c r="C322" s="150"/>
      <c r="E322" s="226"/>
    </row>
    <row r="323">
      <c r="A323" s="100"/>
      <c r="B323" s="150"/>
      <c r="C323" s="150"/>
      <c r="E323" s="226"/>
    </row>
    <row r="324">
      <c r="A324" s="100"/>
      <c r="B324" s="150"/>
      <c r="C324" s="150"/>
      <c r="E324" s="226"/>
    </row>
    <row r="325">
      <c r="A325" s="100"/>
      <c r="B325" s="150"/>
      <c r="C325" s="150"/>
      <c r="E325" s="226"/>
    </row>
    <row r="326">
      <c r="A326" s="100"/>
      <c r="B326" s="150"/>
      <c r="C326" s="150"/>
      <c r="E326" s="226"/>
    </row>
    <row r="327">
      <c r="A327" s="100"/>
      <c r="B327" s="150"/>
      <c r="C327" s="150"/>
      <c r="E327" s="226"/>
    </row>
    <row r="328">
      <c r="A328" s="100"/>
      <c r="B328" s="150"/>
      <c r="C328" s="150"/>
      <c r="E328" s="226"/>
    </row>
    <row r="329">
      <c r="A329" s="100"/>
      <c r="B329" s="150"/>
      <c r="C329" s="150"/>
      <c r="E329" s="226"/>
    </row>
    <row r="330">
      <c r="A330" s="100"/>
      <c r="B330" s="150"/>
      <c r="C330" s="150"/>
      <c r="E330" s="226"/>
    </row>
    <row r="331">
      <c r="A331" s="100"/>
      <c r="B331" s="150"/>
      <c r="C331" s="150"/>
      <c r="E331" s="226"/>
    </row>
    <row r="332">
      <c r="A332" s="100"/>
      <c r="B332" s="150"/>
      <c r="C332" s="150"/>
      <c r="E332" s="226"/>
    </row>
    <row r="333">
      <c r="A333" s="100"/>
      <c r="B333" s="150"/>
      <c r="C333" s="150"/>
      <c r="E333" s="226"/>
    </row>
    <row r="334">
      <c r="A334" s="100"/>
      <c r="B334" s="150"/>
      <c r="C334" s="150"/>
      <c r="E334" s="226"/>
    </row>
    <row r="335">
      <c r="A335" s="100"/>
      <c r="B335" s="150"/>
      <c r="C335" s="150"/>
      <c r="E335" s="226"/>
    </row>
    <row r="336">
      <c r="A336" s="100"/>
      <c r="B336" s="150"/>
      <c r="C336" s="150"/>
      <c r="E336" s="226"/>
    </row>
    <row r="337">
      <c r="A337" s="100"/>
      <c r="B337" s="150"/>
      <c r="C337" s="150"/>
      <c r="E337" s="226"/>
    </row>
    <row r="338">
      <c r="A338" s="100"/>
      <c r="B338" s="150"/>
      <c r="C338" s="150"/>
      <c r="E338" s="226"/>
    </row>
    <row r="339">
      <c r="A339" s="100"/>
      <c r="B339" s="150"/>
      <c r="C339" s="150"/>
      <c r="E339" s="226"/>
    </row>
    <row r="340">
      <c r="A340" s="100"/>
      <c r="B340" s="150"/>
      <c r="C340" s="150"/>
      <c r="E340" s="226"/>
    </row>
    <row r="341">
      <c r="A341" s="100"/>
      <c r="B341" s="150"/>
      <c r="C341" s="150"/>
      <c r="E341" s="226"/>
    </row>
    <row r="342">
      <c r="A342" s="100"/>
      <c r="B342" s="150"/>
      <c r="C342" s="150"/>
      <c r="E342" s="226"/>
    </row>
    <row r="343">
      <c r="A343" s="100"/>
      <c r="B343" s="150"/>
      <c r="C343" s="150"/>
      <c r="E343" s="226"/>
    </row>
    <row r="344">
      <c r="A344" s="100"/>
      <c r="B344" s="150"/>
      <c r="C344" s="150"/>
      <c r="E344" s="226"/>
    </row>
    <row r="345">
      <c r="A345" s="100"/>
      <c r="B345" s="150"/>
      <c r="C345" s="150"/>
      <c r="E345" s="226"/>
    </row>
    <row r="346">
      <c r="A346" s="100"/>
      <c r="B346" s="150"/>
      <c r="C346" s="150"/>
      <c r="E346" s="226"/>
    </row>
    <row r="347">
      <c r="A347" s="100"/>
      <c r="B347" s="150"/>
      <c r="C347" s="150"/>
      <c r="E347" s="226"/>
    </row>
    <row r="348">
      <c r="A348" s="100"/>
      <c r="B348" s="150"/>
      <c r="C348" s="150"/>
      <c r="E348" s="226"/>
    </row>
    <row r="349">
      <c r="A349" s="100"/>
      <c r="B349" s="150"/>
      <c r="C349" s="150"/>
      <c r="E349" s="226"/>
    </row>
    <row r="350">
      <c r="A350" s="100"/>
      <c r="B350" s="150"/>
      <c r="C350" s="150"/>
      <c r="E350" s="226"/>
    </row>
    <row r="351">
      <c r="A351" s="100"/>
      <c r="B351" s="150"/>
      <c r="C351" s="150"/>
      <c r="E351" s="226"/>
    </row>
    <row r="352">
      <c r="A352" s="100"/>
      <c r="B352" s="150"/>
      <c r="C352" s="150"/>
      <c r="E352" s="226"/>
    </row>
    <row r="353">
      <c r="A353" s="100"/>
      <c r="B353" s="150"/>
      <c r="C353" s="150"/>
      <c r="E353" s="226"/>
    </row>
    <row r="354">
      <c r="A354" s="100"/>
      <c r="B354" s="150"/>
      <c r="C354" s="150"/>
      <c r="E354" s="226"/>
    </row>
    <row r="355">
      <c r="A355" s="100"/>
      <c r="B355" s="150"/>
      <c r="C355" s="150"/>
      <c r="E355" s="226"/>
    </row>
    <row r="356">
      <c r="A356" s="100"/>
      <c r="B356" s="150"/>
      <c r="C356" s="150"/>
      <c r="E356" s="226"/>
    </row>
    <row r="357">
      <c r="A357" s="100"/>
      <c r="B357" s="150"/>
      <c r="C357" s="150"/>
      <c r="E357" s="226"/>
    </row>
    <row r="358">
      <c r="A358" s="100"/>
      <c r="B358" s="150"/>
      <c r="C358" s="150"/>
      <c r="E358" s="226"/>
    </row>
    <row r="359">
      <c r="A359" s="100"/>
      <c r="B359" s="150"/>
      <c r="C359" s="150"/>
      <c r="E359" s="226"/>
    </row>
    <row r="360">
      <c r="A360" s="100"/>
      <c r="B360" s="150"/>
      <c r="C360" s="150"/>
      <c r="E360" s="226"/>
    </row>
    <row r="361">
      <c r="A361" s="100"/>
      <c r="B361" s="150"/>
      <c r="C361" s="150"/>
      <c r="E361" s="226"/>
    </row>
    <row r="362">
      <c r="A362" s="100"/>
      <c r="B362" s="150"/>
      <c r="C362" s="150"/>
      <c r="E362" s="226"/>
    </row>
    <row r="363">
      <c r="A363" s="100"/>
      <c r="B363" s="150"/>
      <c r="C363" s="150"/>
      <c r="E363" s="226"/>
    </row>
    <row r="364">
      <c r="A364" s="100"/>
      <c r="B364" s="150"/>
      <c r="C364" s="150"/>
      <c r="E364" s="226"/>
    </row>
    <row r="365">
      <c r="A365" s="100"/>
      <c r="B365" s="150"/>
      <c r="C365" s="150"/>
      <c r="E365" s="226"/>
    </row>
    <row r="366">
      <c r="A366" s="100"/>
      <c r="B366" s="150"/>
      <c r="C366" s="150"/>
      <c r="E366" s="226"/>
    </row>
    <row r="367">
      <c r="A367" s="100"/>
      <c r="B367" s="150"/>
      <c r="C367" s="150"/>
      <c r="E367" s="226"/>
    </row>
    <row r="368">
      <c r="A368" s="100"/>
      <c r="B368" s="150"/>
      <c r="C368" s="150"/>
      <c r="E368" s="226"/>
    </row>
    <row r="369">
      <c r="A369" s="100"/>
      <c r="B369" s="150"/>
      <c r="C369" s="150"/>
      <c r="E369" s="226"/>
    </row>
    <row r="370">
      <c r="A370" s="100"/>
      <c r="B370" s="150"/>
      <c r="C370" s="150"/>
      <c r="E370" s="226"/>
    </row>
    <row r="371">
      <c r="A371" s="100"/>
      <c r="B371" s="150"/>
      <c r="C371" s="150"/>
      <c r="E371" s="226"/>
    </row>
    <row r="372">
      <c r="A372" s="100"/>
      <c r="B372" s="150"/>
      <c r="C372" s="150"/>
      <c r="E372" s="226"/>
    </row>
    <row r="373">
      <c r="A373" s="100"/>
      <c r="B373" s="150"/>
      <c r="C373" s="150"/>
      <c r="E373" s="226"/>
    </row>
    <row r="374">
      <c r="A374" s="100"/>
      <c r="B374" s="150"/>
      <c r="C374" s="150"/>
      <c r="E374" s="226"/>
    </row>
    <row r="375">
      <c r="A375" s="100"/>
      <c r="B375" s="150"/>
      <c r="C375" s="150"/>
      <c r="E375" s="226"/>
    </row>
    <row r="376">
      <c r="A376" s="100"/>
      <c r="B376" s="150"/>
      <c r="C376" s="150"/>
      <c r="E376" s="226"/>
    </row>
    <row r="377">
      <c r="A377" s="100"/>
      <c r="B377" s="150"/>
      <c r="C377" s="150"/>
      <c r="E377" s="226"/>
    </row>
    <row r="378">
      <c r="A378" s="100"/>
      <c r="B378" s="150"/>
      <c r="C378" s="150"/>
      <c r="E378" s="226"/>
    </row>
    <row r="379">
      <c r="A379" s="100"/>
      <c r="B379" s="150"/>
      <c r="C379" s="150"/>
      <c r="E379" s="226"/>
    </row>
    <row r="380">
      <c r="A380" s="100"/>
      <c r="B380" s="150"/>
      <c r="C380" s="150"/>
      <c r="E380" s="226"/>
    </row>
    <row r="381">
      <c r="A381" s="100"/>
      <c r="B381" s="150"/>
      <c r="C381" s="150"/>
      <c r="E381" s="226"/>
    </row>
    <row r="382">
      <c r="A382" s="100"/>
      <c r="B382" s="150"/>
      <c r="C382" s="150"/>
      <c r="E382" s="226"/>
    </row>
    <row r="383">
      <c r="A383" s="100"/>
      <c r="B383" s="150"/>
      <c r="C383" s="150"/>
      <c r="E383" s="226"/>
    </row>
    <row r="384">
      <c r="A384" s="100"/>
      <c r="B384" s="150"/>
      <c r="C384" s="150"/>
      <c r="E384" s="226"/>
    </row>
    <row r="385">
      <c r="A385" s="100"/>
      <c r="B385" s="150"/>
      <c r="C385" s="150"/>
      <c r="E385" s="226"/>
    </row>
    <row r="386">
      <c r="A386" s="100"/>
      <c r="B386" s="150"/>
      <c r="C386" s="150"/>
      <c r="E386" s="226"/>
    </row>
    <row r="387">
      <c r="A387" s="100"/>
      <c r="B387" s="150"/>
      <c r="C387" s="150"/>
      <c r="E387" s="226"/>
    </row>
    <row r="388">
      <c r="A388" s="100"/>
      <c r="B388" s="150"/>
      <c r="C388" s="150"/>
      <c r="E388" s="226"/>
    </row>
    <row r="389">
      <c r="A389" s="100"/>
      <c r="B389" s="150"/>
      <c r="C389" s="150"/>
      <c r="E389" s="226"/>
    </row>
    <row r="390">
      <c r="A390" s="100"/>
      <c r="B390" s="150"/>
      <c r="C390" s="150"/>
      <c r="E390" s="226"/>
    </row>
    <row r="391">
      <c r="A391" s="100"/>
      <c r="B391" s="150"/>
      <c r="C391" s="150"/>
      <c r="E391" s="226"/>
    </row>
    <row r="392">
      <c r="A392" s="100"/>
      <c r="B392" s="150"/>
      <c r="C392" s="150"/>
      <c r="E392" s="226"/>
    </row>
    <row r="393">
      <c r="A393" s="100"/>
      <c r="B393" s="150"/>
      <c r="C393" s="150"/>
      <c r="E393" s="226"/>
    </row>
    <row r="394">
      <c r="A394" s="100"/>
      <c r="B394" s="150"/>
      <c r="C394" s="150"/>
      <c r="E394" s="226"/>
    </row>
    <row r="395">
      <c r="A395" s="100"/>
      <c r="B395" s="150"/>
      <c r="C395" s="150"/>
      <c r="E395" s="226"/>
    </row>
    <row r="396">
      <c r="A396" s="100"/>
      <c r="B396" s="150"/>
      <c r="C396" s="150"/>
      <c r="E396" s="226"/>
    </row>
    <row r="397">
      <c r="A397" s="100"/>
      <c r="B397" s="150"/>
      <c r="C397" s="150"/>
      <c r="E397" s="226"/>
    </row>
    <row r="398">
      <c r="A398" s="100"/>
      <c r="B398" s="150"/>
      <c r="C398" s="150"/>
      <c r="E398" s="226"/>
    </row>
    <row r="399">
      <c r="A399" s="100"/>
      <c r="B399" s="150"/>
      <c r="C399" s="150"/>
      <c r="E399" s="226"/>
    </row>
    <row r="400">
      <c r="A400" s="100"/>
      <c r="B400" s="150"/>
      <c r="C400" s="150"/>
      <c r="E400" s="226"/>
    </row>
    <row r="401">
      <c r="A401" s="100"/>
      <c r="B401" s="150"/>
      <c r="C401" s="150"/>
      <c r="E401" s="226"/>
    </row>
    <row r="402">
      <c r="A402" s="100"/>
      <c r="B402" s="150"/>
      <c r="C402" s="150"/>
      <c r="E402" s="226"/>
    </row>
    <row r="403">
      <c r="A403" s="100"/>
      <c r="B403" s="150"/>
      <c r="C403" s="150"/>
      <c r="E403" s="226"/>
    </row>
    <row r="404">
      <c r="A404" s="100"/>
      <c r="B404" s="150"/>
      <c r="C404" s="150"/>
      <c r="E404" s="226"/>
    </row>
    <row r="405">
      <c r="A405" s="100"/>
      <c r="B405" s="150"/>
      <c r="C405" s="150"/>
      <c r="E405" s="226"/>
    </row>
    <row r="406">
      <c r="A406" s="100"/>
      <c r="B406" s="150"/>
      <c r="C406" s="150"/>
      <c r="E406" s="226"/>
    </row>
    <row r="407">
      <c r="A407" s="100"/>
      <c r="B407" s="150"/>
      <c r="C407" s="150"/>
      <c r="E407" s="226"/>
    </row>
    <row r="408">
      <c r="A408" s="100"/>
      <c r="B408" s="150"/>
      <c r="C408" s="150"/>
      <c r="E408" s="226"/>
    </row>
    <row r="409">
      <c r="A409" s="100"/>
      <c r="B409" s="150"/>
      <c r="C409" s="150"/>
      <c r="E409" s="226"/>
    </row>
    <row r="410">
      <c r="A410" s="100"/>
      <c r="B410" s="150"/>
      <c r="C410" s="150"/>
      <c r="E410" s="226"/>
    </row>
    <row r="411">
      <c r="A411" s="100"/>
      <c r="B411" s="150"/>
      <c r="C411" s="150"/>
      <c r="E411" s="226"/>
    </row>
    <row r="412">
      <c r="A412" s="100"/>
      <c r="B412" s="150"/>
      <c r="C412" s="150"/>
      <c r="E412" s="226"/>
    </row>
    <row r="413">
      <c r="A413" s="100"/>
      <c r="B413" s="150"/>
      <c r="C413" s="150"/>
      <c r="E413" s="226"/>
    </row>
    <row r="414">
      <c r="A414" s="100"/>
      <c r="B414" s="150"/>
      <c r="C414" s="150"/>
      <c r="E414" s="226"/>
    </row>
    <row r="415">
      <c r="A415" s="100"/>
      <c r="B415" s="150"/>
      <c r="C415" s="150"/>
      <c r="E415" s="226"/>
    </row>
    <row r="416">
      <c r="A416" s="100"/>
      <c r="B416" s="150"/>
      <c r="C416" s="150"/>
      <c r="E416" s="226"/>
    </row>
    <row r="417">
      <c r="A417" s="100"/>
      <c r="B417" s="150"/>
      <c r="C417" s="150"/>
      <c r="E417" s="226"/>
    </row>
    <row r="418">
      <c r="A418" s="100"/>
      <c r="B418" s="150"/>
      <c r="C418" s="150"/>
      <c r="E418" s="226"/>
    </row>
    <row r="419">
      <c r="A419" s="100"/>
      <c r="B419" s="150"/>
      <c r="C419" s="150"/>
      <c r="E419" s="226"/>
    </row>
    <row r="420">
      <c r="A420" s="100"/>
      <c r="B420" s="150"/>
      <c r="C420" s="150"/>
      <c r="E420" s="226"/>
    </row>
    <row r="421">
      <c r="A421" s="100"/>
      <c r="B421" s="150"/>
      <c r="C421" s="150"/>
      <c r="E421" s="226"/>
    </row>
    <row r="422">
      <c r="A422" s="100"/>
      <c r="B422" s="150"/>
      <c r="C422" s="150"/>
      <c r="E422" s="226"/>
    </row>
    <row r="423">
      <c r="A423" s="100"/>
      <c r="B423" s="150"/>
      <c r="C423" s="150"/>
      <c r="E423" s="226"/>
    </row>
    <row r="424">
      <c r="A424" s="100"/>
      <c r="B424" s="150"/>
      <c r="C424" s="150"/>
      <c r="E424" s="226"/>
    </row>
    <row r="425">
      <c r="A425" s="100"/>
      <c r="B425" s="150"/>
      <c r="C425" s="150"/>
      <c r="E425" s="226"/>
    </row>
    <row r="426">
      <c r="A426" s="100"/>
      <c r="B426" s="150"/>
      <c r="C426" s="150"/>
      <c r="E426" s="226"/>
    </row>
    <row r="427">
      <c r="A427" s="100"/>
      <c r="B427" s="150"/>
      <c r="C427" s="150"/>
      <c r="E427" s="226"/>
    </row>
    <row r="428">
      <c r="A428" s="100"/>
      <c r="B428" s="150"/>
      <c r="C428" s="150"/>
      <c r="E428" s="226"/>
    </row>
    <row r="429">
      <c r="A429" s="100"/>
      <c r="B429" s="150"/>
      <c r="C429" s="150"/>
      <c r="E429" s="226"/>
    </row>
    <row r="430">
      <c r="A430" s="100"/>
      <c r="B430" s="150"/>
      <c r="C430" s="150"/>
      <c r="E430" s="226"/>
    </row>
    <row r="431">
      <c r="A431" s="100"/>
      <c r="B431" s="150"/>
      <c r="C431" s="150"/>
      <c r="E431" s="226"/>
    </row>
    <row r="432">
      <c r="A432" s="100"/>
      <c r="B432" s="150"/>
      <c r="C432" s="150"/>
      <c r="E432" s="226"/>
    </row>
    <row r="433">
      <c r="A433" s="100"/>
      <c r="B433" s="150"/>
      <c r="C433" s="150"/>
      <c r="E433" s="226"/>
    </row>
    <row r="434">
      <c r="A434" s="100"/>
      <c r="B434" s="150"/>
      <c r="C434" s="150"/>
      <c r="E434" s="226"/>
    </row>
    <row r="435">
      <c r="A435" s="100"/>
      <c r="B435" s="150"/>
      <c r="C435" s="150"/>
      <c r="E435" s="226"/>
    </row>
    <row r="436">
      <c r="A436" s="100"/>
      <c r="B436" s="150"/>
      <c r="C436" s="150"/>
      <c r="E436" s="226"/>
    </row>
    <row r="437">
      <c r="A437" s="100"/>
      <c r="B437" s="150"/>
      <c r="C437" s="150"/>
      <c r="E437" s="226"/>
    </row>
    <row r="438">
      <c r="A438" s="100"/>
      <c r="B438" s="150"/>
      <c r="C438" s="150"/>
      <c r="E438" s="226"/>
    </row>
    <row r="439">
      <c r="A439" s="100"/>
      <c r="B439" s="150"/>
      <c r="C439" s="150"/>
      <c r="E439" s="226"/>
    </row>
    <row r="440">
      <c r="A440" s="100"/>
      <c r="B440" s="150"/>
      <c r="C440" s="150"/>
      <c r="E440" s="226"/>
    </row>
    <row r="441">
      <c r="A441" s="100"/>
      <c r="B441" s="150"/>
      <c r="C441" s="150"/>
      <c r="E441" s="226"/>
    </row>
    <row r="442">
      <c r="A442" s="100"/>
      <c r="B442" s="150"/>
      <c r="C442" s="150"/>
      <c r="E442" s="226"/>
    </row>
    <row r="443">
      <c r="A443" s="100"/>
      <c r="B443" s="150"/>
      <c r="C443" s="150"/>
      <c r="E443" s="226"/>
    </row>
    <row r="444">
      <c r="A444" s="100"/>
      <c r="B444" s="150"/>
      <c r="C444" s="150"/>
      <c r="E444" s="226"/>
    </row>
    <row r="445">
      <c r="A445" s="100"/>
      <c r="B445" s="150"/>
      <c r="C445" s="150"/>
      <c r="E445" s="226"/>
    </row>
    <row r="446">
      <c r="A446" s="100"/>
      <c r="B446" s="150"/>
      <c r="C446" s="150"/>
      <c r="E446" s="226"/>
    </row>
    <row r="447">
      <c r="A447" s="100"/>
      <c r="B447" s="150"/>
      <c r="C447" s="150"/>
      <c r="E447" s="226"/>
    </row>
    <row r="448">
      <c r="A448" s="100"/>
      <c r="B448" s="150"/>
      <c r="C448" s="150"/>
      <c r="E448" s="226"/>
    </row>
    <row r="449">
      <c r="A449" s="100"/>
      <c r="B449" s="150"/>
      <c r="C449" s="150"/>
      <c r="E449" s="226"/>
    </row>
    <row r="450">
      <c r="A450" s="100"/>
      <c r="B450" s="150"/>
      <c r="C450" s="150"/>
      <c r="E450" s="226"/>
    </row>
    <row r="451">
      <c r="A451" s="100"/>
      <c r="B451" s="150"/>
      <c r="C451" s="150"/>
      <c r="E451" s="226"/>
    </row>
    <row r="452">
      <c r="A452" s="100"/>
      <c r="B452" s="150"/>
      <c r="C452" s="150"/>
      <c r="E452" s="226"/>
    </row>
    <row r="453">
      <c r="A453" s="100"/>
      <c r="B453" s="150"/>
      <c r="C453" s="150"/>
      <c r="E453" s="226"/>
    </row>
    <row r="454">
      <c r="A454" s="100"/>
      <c r="B454" s="150"/>
      <c r="C454" s="150"/>
      <c r="E454" s="226"/>
    </row>
    <row r="455">
      <c r="A455" s="100"/>
      <c r="B455" s="150"/>
      <c r="C455" s="150"/>
      <c r="E455" s="226"/>
    </row>
    <row r="456">
      <c r="A456" s="100"/>
      <c r="B456" s="150"/>
      <c r="C456" s="150"/>
      <c r="E456" s="226"/>
    </row>
    <row r="457">
      <c r="A457" s="100"/>
      <c r="B457" s="150"/>
      <c r="C457" s="150"/>
      <c r="E457" s="226"/>
    </row>
    <row r="458">
      <c r="A458" s="100"/>
      <c r="B458" s="150"/>
      <c r="C458" s="150"/>
      <c r="E458" s="226"/>
    </row>
    <row r="459">
      <c r="A459" s="100"/>
      <c r="B459" s="150"/>
      <c r="C459" s="150"/>
      <c r="E459" s="226"/>
    </row>
    <row r="460">
      <c r="A460" s="100"/>
      <c r="B460" s="150"/>
      <c r="C460" s="150"/>
      <c r="E460" s="226"/>
    </row>
    <row r="461">
      <c r="A461" s="100"/>
      <c r="B461" s="150"/>
      <c r="C461" s="150"/>
      <c r="E461" s="226"/>
    </row>
    <row r="462">
      <c r="A462" s="100"/>
      <c r="B462" s="150"/>
      <c r="C462" s="150"/>
      <c r="E462" s="226"/>
    </row>
    <row r="463">
      <c r="A463" s="100"/>
      <c r="B463" s="150"/>
      <c r="C463" s="150"/>
      <c r="E463" s="226"/>
    </row>
    <row r="464">
      <c r="A464" s="100"/>
      <c r="B464" s="150"/>
      <c r="C464" s="150"/>
      <c r="E464" s="226"/>
    </row>
    <row r="465">
      <c r="A465" s="100"/>
      <c r="B465" s="150"/>
      <c r="C465" s="150"/>
      <c r="E465" s="226"/>
    </row>
    <row r="466">
      <c r="A466" s="100"/>
      <c r="B466" s="150"/>
      <c r="C466" s="150"/>
      <c r="E466" s="226"/>
    </row>
    <row r="467">
      <c r="A467" s="100"/>
      <c r="B467" s="150"/>
      <c r="C467" s="150"/>
      <c r="E467" s="226"/>
    </row>
    <row r="468">
      <c r="A468" s="100"/>
      <c r="B468" s="150"/>
      <c r="C468" s="150"/>
      <c r="E468" s="226"/>
    </row>
    <row r="469">
      <c r="A469" s="100"/>
      <c r="B469" s="150"/>
      <c r="C469" s="150"/>
      <c r="E469" s="226"/>
    </row>
    <row r="470">
      <c r="A470" s="100"/>
      <c r="B470" s="150"/>
      <c r="C470" s="150"/>
      <c r="E470" s="226"/>
    </row>
    <row r="471">
      <c r="A471" s="100"/>
      <c r="B471" s="150"/>
      <c r="C471" s="150"/>
      <c r="E471" s="226"/>
    </row>
    <row r="472">
      <c r="A472" s="259"/>
      <c r="B472" s="260"/>
      <c r="C472" s="260"/>
      <c r="E472" s="226"/>
    </row>
    <row r="473">
      <c r="A473" s="259"/>
      <c r="B473" s="260"/>
      <c r="C473" s="260"/>
      <c r="E473" s="226"/>
    </row>
    <row r="474">
      <c r="A474" s="259"/>
      <c r="B474" s="260"/>
      <c r="C474" s="260"/>
      <c r="E474" s="226"/>
    </row>
    <row r="475">
      <c r="A475" s="259"/>
      <c r="B475" s="260"/>
      <c r="C475" s="260"/>
      <c r="E475" s="226"/>
    </row>
    <row r="476">
      <c r="A476" s="259"/>
      <c r="B476" s="260"/>
      <c r="C476" s="260"/>
      <c r="E476" s="226"/>
    </row>
    <row r="477">
      <c r="A477" s="259"/>
      <c r="B477" s="260"/>
      <c r="C477" s="260"/>
      <c r="E477" s="226"/>
    </row>
    <row r="478">
      <c r="A478" s="259"/>
      <c r="B478" s="260"/>
      <c r="C478" s="260"/>
      <c r="E478" s="226"/>
    </row>
    <row r="479">
      <c r="A479" s="259"/>
      <c r="B479" s="260"/>
      <c r="C479" s="260"/>
      <c r="E479" s="226"/>
    </row>
    <row r="480">
      <c r="A480" s="259"/>
      <c r="B480" s="260"/>
      <c r="C480" s="260"/>
      <c r="E480" s="226"/>
    </row>
    <row r="481">
      <c r="A481" s="259"/>
      <c r="B481" s="260"/>
      <c r="C481" s="260"/>
      <c r="E481" s="226"/>
    </row>
    <row r="482">
      <c r="A482" s="259"/>
      <c r="B482" s="260"/>
      <c r="C482" s="260"/>
      <c r="E482" s="226"/>
    </row>
    <row r="483">
      <c r="A483" s="259"/>
      <c r="B483" s="260"/>
      <c r="C483" s="260"/>
      <c r="E483" s="226"/>
    </row>
    <row r="484">
      <c r="A484" s="259"/>
      <c r="B484" s="260"/>
      <c r="C484" s="260"/>
      <c r="E484" s="226"/>
    </row>
    <row r="485">
      <c r="A485" s="259"/>
      <c r="B485" s="260"/>
      <c r="C485" s="260"/>
      <c r="E485" s="226"/>
    </row>
    <row r="486">
      <c r="A486" s="259"/>
      <c r="B486" s="260"/>
      <c r="C486" s="260"/>
      <c r="E486" s="226"/>
    </row>
    <row r="487">
      <c r="A487" s="259"/>
      <c r="B487" s="260"/>
      <c r="C487" s="260"/>
      <c r="E487" s="226"/>
    </row>
    <row r="488">
      <c r="A488" s="259"/>
      <c r="B488" s="260"/>
      <c r="C488" s="260"/>
      <c r="E488" s="226"/>
    </row>
    <row r="489">
      <c r="A489" s="259"/>
      <c r="B489" s="260"/>
      <c r="C489" s="260"/>
      <c r="E489" s="226"/>
    </row>
    <row r="490">
      <c r="A490" s="259"/>
      <c r="B490" s="260"/>
      <c r="C490" s="260"/>
      <c r="E490" s="226"/>
    </row>
    <row r="491">
      <c r="A491" s="259"/>
      <c r="B491" s="260"/>
      <c r="C491" s="260"/>
      <c r="E491" s="226"/>
    </row>
    <row r="492">
      <c r="A492" s="259"/>
      <c r="B492" s="260"/>
      <c r="C492" s="260"/>
      <c r="E492" s="226"/>
    </row>
    <row r="493">
      <c r="A493" s="259"/>
      <c r="B493" s="260"/>
      <c r="C493" s="260"/>
      <c r="E493" s="226"/>
    </row>
    <row r="494">
      <c r="A494" s="259"/>
      <c r="B494" s="260"/>
      <c r="C494" s="260"/>
      <c r="E494" s="226"/>
    </row>
    <row r="495">
      <c r="A495" s="259"/>
      <c r="B495" s="260"/>
      <c r="C495" s="260"/>
      <c r="E495" s="226"/>
    </row>
    <row r="496">
      <c r="A496" s="259"/>
      <c r="B496" s="260"/>
      <c r="C496" s="260"/>
      <c r="E496" s="226"/>
    </row>
    <row r="497">
      <c r="A497" s="259"/>
      <c r="B497" s="260"/>
      <c r="C497" s="260"/>
      <c r="E497" s="226"/>
    </row>
    <row r="498">
      <c r="A498" s="259"/>
      <c r="B498" s="260"/>
      <c r="C498" s="260"/>
      <c r="E498" s="226"/>
    </row>
    <row r="499">
      <c r="A499" s="259"/>
      <c r="B499" s="260"/>
      <c r="C499" s="260"/>
      <c r="E499" s="226"/>
    </row>
    <row r="500">
      <c r="A500" s="259"/>
      <c r="B500" s="260"/>
      <c r="C500" s="260"/>
      <c r="E500" s="226"/>
    </row>
    <row r="501">
      <c r="A501" s="259"/>
      <c r="B501" s="260"/>
      <c r="C501" s="260"/>
      <c r="E501" s="226"/>
    </row>
    <row r="502">
      <c r="A502" s="259"/>
      <c r="B502" s="260"/>
      <c r="C502" s="260"/>
      <c r="E502" s="226"/>
    </row>
    <row r="503">
      <c r="A503" s="259"/>
      <c r="B503" s="260"/>
      <c r="C503" s="260"/>
      <c r="E503" s="226"/>
    </row>
    <row r="504">
      <c r="A504" s="259"/>
      <c r="B504" s="260"/>
      <c r="C504" s="260"/>
      <c r="E504" s="226"/>
    </row>
    <row r="505">
      <c r="A505" s="259"/>
      <c r="B505" s="260"/>
      <c r="C505" s="260"/>
      <c r="E505" s="226"/>
    </row>
    <row r="506">
      <c r="A506" s="259"/>
      <c r="B506" s="260"/>
      <c r="C506" s="260"/>
      <c r="E506" s="226"/>
    </row>
    <row r="507">
      <c r="A507" s="259"/>
      <c r="B507" s="260"/>
      <c r="C507" s="260"/>
      <c r="E507" s="226"/>
    </row>
    <row r="508">
      <c r="A508" s="259"/>
      <c r="B508" s="260"/>
      <c r="C508" s="260"/>
      <c r="E508" s="226"/>
    </row>
    <row r="509">
      <c r="A509" s="259"/>
      <c r="B509" s="260"/>
      <c r="C509" s="260"/>
      <c r="E509" s="226"/>
    </row>
    <row r="510">
      <c r="A510" s="259"/>
      <c r="B510" s="260"/>
      <c r="C510" s="260"/>
      <c r="E510" s="226"/>
    </row>
    <row r="511">
      <c r="A511" s="259"/>
      <c r="B511" s="260"/>
      <c r="C511" s="260"/>
      <c r="E511" s="226"/>
    </row>
    <row r="512">
      <c r="A512" s="259"/>
      <c r="B512" s="260"/>
      <c r="C512" s="260"/>
      <c r="E512" s="226"/>
    </row>
    <row r="513">
      <c r="A513" s="259"/>
      <c r="B513" s="260"/>
      <c r="C513" s="260"/>
      <c r="E513" s="226"/>
    </row>
    <row r="514">
      <c r="A514" s="259"/>
      <c r="B514" s="260"/>
      <c r="C514" s="260"/>
      <c r="E514" s="226"/>
    </row>
    <row r="515">
      <c r="A515" s="259"/>
      <c r="B515" s="260"/>
      <c r="C515" s="260"/>
      <c r="E515" s="226"/>
    </row>
    <row r="516">
      <c r="A516" s="259"/>
      <c r="B516" s="260"/>
      <c r="C516" s="260"/>
      <c r="E516" s="226"/>
    </row>
    <row r="517">
      <c r="A517" s="259"/>
      <c r="B517" s="260"/>
      <c r="C517" s="260"/>
      <c r="E517" s="226"/>
    </row>
    <row r="518">
      <c r="A518" s="259"/>
      <c r="B518" s="260"/>
      <c r="C518" s="260"/>
      <c r="E518" s="226"/>
    </row>
    <row r="519">
      <c r="A519" s="259"/>
      <c r="B519" s="260"/>
      <c r="C519" s="260"/>
      <c r="E519" s="226"/>
    </row>
    <row r="520">
      <c r="A520" s="259"/>
      <c r="B520" s="260"/>
      <c r="C520" s="260"/>
      <c r="E520" s="226"/>
    </row>
    <row r="521">
      <c r="A521" s="259"/>
      <c r="B521" s="260"/>
      <c r="C521" s="260"/>
      <c r="E521" s="226"/>
    </row>
    <row r="522">
      <c r="A522" s="259"/>
      <c r="B522" s="260"/>
      <c r="C522" s="260"/>
      <c r="E522" s="226"/>
    </row>
    <row r="523">
      <c r="A523" s="259"/>
      <c r="B523" s="260"/>
      <c r="C523" s="260"/>
      <c r="E523" s="226"/>
    </row>
    <row r="524">
      <c r="A524" s="259"/>
      <c r="B524" s="260"/>
      <c r="C524" s="260"/>
      <c r="E524" s="226"/>
    </row>
    <row r="525">
      <c r="A525" s="259"/>
      <c r="B525" s="260"/>
      <c r="C525" s="260"/>
      <c r="E525" s="226"/>
    </row>
    <row r="526">
      <c r="A526" s="259"/>
      <c r="B526" s="260"/>
      <c r="C526" s="260"/>
      <c r="E526" s="226"/>
    </row>
    <row r="527">
      <c r="A527" s="259"/>
      <c r="B527" s="260"/>
      <c r="C527" s="260"/>
      <c r="E527" s="226"/>
    </row>
    <row r="528">
      <c r="A528" s="259"/>
      <c r="B528" s="260"/>
      <c r="C528" s="260"/>
      <c r="E528" s="226"/>
    </row>
    <row r="529">
      <c r="A529" s="259"/>
      <c r="B529" s="260"/>
      <c r="C529" s="260"/>
      <c r="E529" s="226"/>
    </row>
    <row r="530">
      <c r="A530" s="259"/>
      <c r="B530" s="260"/>
      <c r="C530" s="260"/>
      <c r="E530" s="226"/>
    </row>
    <row r="531">
      <c r="A531" s="259"/>
      <c r="B531" s="260"/>
      <c r="C531" s="260"/>
      <c r="E531" s="226"/>
    </row>
    <row r="532">
      <c r="A532" s="259"/>
      <c r="B532" s="260"/>
      <c r="C532" s="260"/>
      <c r="E532" s="226"/>
    </row>
    <row r="533">
      <c r="A533" s="259"/>
      <c r="B533" s="260"/>
      <c r="C533" s="260"/>
      <c r="E533" s="226"/>
    </row>
    <row r="534">
      <c r="A534" s="259"/>
      <c r="B534" s="260"/>
      <c r="C534" s="260"/>
      <c r="E534" s="226"/>
    </row>
    <row r="535">
      <c r="A535" s="259"/>
      <c r="B535" s="260"/>
      <c r="C535" s="260"/>
      <c r="E535" s="226"/>
    </row>
    <row r="536">
      <c r="A536" s="259"/>
      <c r="B536" s="260"/>
      <c r="C536" s="260"/>
      <c r="E536" s="226"/>
    </row>
    <row r="537">
      <c r="A537" s="259"/>
      <c r="B537" s="260"/>
      <c r="C537" s="260"/>
      <c r="E537" s="226"/>
    </row>
    <row r="538">
      <c r="A538" s="259"/>
      <c r="B538" s="260"/>
      <c r="C538" s="260"/>
      <c r="E538" s="226"/>
    </row>
    <row r="539">
      <c r="A539" s="259"/>
      <c r="B539" s="260"/>
      <c r="C539" s="260"/>
      <c r="E539" s="226"/>
    </row>
    <row r="540">
      <c r="A540" s="259"/>
      <c r="B540" s="260"/>
      <c r="C540" s="260"/>
      <c r="E540" s="226"/>
    </row>
    <row r="541">
      <c r="A541" s="259"/>
      <c r="B541" s="260"/>
      <c r="C541" s="260"/>
      <c r="E541" s="226"/>
    </row>
    <row r="542">
      <c r="A542" s="259"/>
      <c r="B542" s="260"/>
      <c r="C542" s="260"/>
      <c r="E542" s="226"/>
    </row>
    <row r="543">
      <c r="A543" s="259"/>
      <c r="B543" s="260"/>
      <c r="C543" s="260"/>
      <c r="E543" s="226"/>
    </row>
    <row r="544">
      <c r="A544" s="259"/>
      <c r="B544" s="260"/>
      <c r="C544" s="260"/>
      <c r="E544" s="226"/>
    </row>
    <row r="545">
      <c r="A545" s="259"/>
      <c r="B545" s="260"/>
      <c r="C545" s="260"/>
      <c r="E545" s="226"/>
    </row>
    <row r="546">
      <c r="A546" s="259"/>
      <c r="B546" s="260"/>
      <c r="C546" s="260"/>
      <c r="E546" s="226"/>
    </row>
    <row r="547">
      <c r="A547" s="259"/>
      <c r="B547" s="260"/>
      <c r="C547" s="260"/>
      <c r="E547" s="226"/>
    </row>
    <row r="548">
      <c r="A548" s="259"/>
      <c r="B548" s="260"/>
      <c r="C548" s="260"/>
      <c r="E548" s="226"/>
    </row>
    <row r="549">
      <c r="A549" s="259"/>
      <c r="B549" s="260"/>
      <c r="C549" s="260"/>
      <c r="E549" s="226"/>
    </row>
    <row r="550">
      <c r="A550" s="259"/>
      <c r="B550" s="260"/>
      <c r="C550" s="260"/>
      <c r="E550" s="226"/>
    </row>
    <row r="551">
      <c r="A551" s="259"/>
      <c r="B551" s="260"/>
      <c r="C551" s="260"/>
      <c r="E551" s="226"/>
    </row>
    <row r="552">
      <c r="A552" s="259"/>
      <c r="B552" s="260"/>
      <c r="C552" s="260"/>
      <c r="E552" s="226"/>
    </row>
    <row r="553">
      <c r="A553" s="259"/>
      <c r="B553" s="260"/>
      <c r="C553" s="260"/>
      <c r="E553" s="226"/>
    </row>
    <row r="554">
      <c r="A554" s="259"/>
      <c r="B554" s="260"/>
      <c r="C554" s="260"/>
      <c r="E554" s="226"/>
    </row>
    <row r="555">
      <c r="A555" s="259"/>
      <c r="B555" s="260"/>
      <c r="C555" s="260"/>
      <c r="E555" s="226"/>
    </row>
    <row r="556">
      <c r="A556" s="259"/>
      <c r="B556" s="260"/>
      <c r="C556" s="260"/>
      <c r="E556" s="226"/>
    </row>
    <row r="557">
      <c r="A557" s="259"/>
      <c r="B557" s="260"/>
      <c r="C557" s="260"/>
      <c r="E557" s="226"/>
    </row>
    <row r="558">
      <c r="A558" s="259"/>
      <c r="B558" s="260"/>
      <c r="C558" s="260"/>
      <c r="E558" s="226"/>
    </row>
    <row r="559">
      <c r="A559" s="259"/>
      <c r="B559" s="260"/>
      <c r="C559" s="260"/>
      <c r="E559" s="226"/>
    </row>
    <row r="560">
      <c r="A560" s="259"/>
      <c r="B560" s="260"/>
      <c r="C560" s="260"/>
      <c r="E560" s="226"/>
    </row>
    <row r="561">
      <c r="A561" s="259"/>
      <c r="B561" s="260"/>
      <c r="C561" s="260"/>
      <c r="E561" s="226"/>
    </row>
    <row r="562">
      <c r="A562" s="259"/>
      <c r="B562" s="260"/>
      <c r="C562" s="260"/>
      <c r="E562" s="226"/>
    </row>
    <row r="563">
      <c r="A563" s="259"/>
      <c r="B563" s="260"/>
      <c r="C563" s="260"/>
      <c r="E563" s="226"/>
    </row>
    <row r="564">
      <c r="A564" s="259"/>
      <c r="B564" s="260"/>
      <c r="C564" s="260"/>
      <c r="E564" s="226"/>
    </row>
    <row r="565">
      <c r="A565" s="259"/>
      <c r="B565" s="260"/>
      <c r="C565" s="260"/>
      <c r="E565" s="226"/>
    </row>
    <row r="566">
      <c r="A566" s="259"/>
      <c r="B566" s="260"/>
      <c r="C566" s="260"/>
      <c r="E566" s="226"/>
    </row>
    <row r="567">
      <c r="A567" s="259"/>
      <c r="B567" s="260"/>
      <c r="C567" s="260"/>
      <c r="E567" s="226"/>
    </row>
    <row r="568">
      <c r="A568" s="259"/>
      <c r="B568" s="260"/>
      <c r="C568" s="260"/>
      <c r="E568" s="226"/>
    </row>
    <row r="569">
      <c r="A569" s="259"/>
      <c r="B569" s="260"/>
      <c r="C569" s="260"/>
      <c r="E569" s="226"/>
    </row>
    <row r="570">
      <c r="A570" s="259"/>
      <c r="B570" s="260"/>
      <c r="C570" s="260"/>
      <c r="E570" s="226"/>
    </row>
    <row r="571">
      <c r="A571" s="259"/>
      <c r="B571" s="260"/>
      <c r="C571" s="260"/>
      <c r="E571" s="226"/>
    </row>
    <row r="572">
      <c r="A572" s="259"/>
      <c r="B572" s="260"/>
      <c r="C572" s="260"/>
      <c r="E572" s="226"/>
    </row>
    <row r="573">
      <c r="A573" s="259"/>
      <c r="B573" s="260"/>
      <c r="C573" s="260"/>
      <c r="E573" s="226"/>
    </row>
    <row r="574">
      <c r="A574" s="259"/>
      <c r="B574" s="260"/>
      <c r="C574" s="260"/>
      <c r="E574" s="226"/>
    </row>
    <row r="575">
      <c r="A575" s="259"/>
      <c r="B575" s="260"/>
      <c r="C575" s="260"/>
      <c r="E575" s="226"/>
    </row>
    <row r="576">
      <c r="A576" s="259"/>
      <c r="B576" s="260"/>
      <c r="C576" s="260"/>
      <c r="E576" s="226"/>
    </row>
    <row r="577">
      <c r="A577" s="259"/>
      <c r="B577" s="260"/>
      <c r="C577" s="260"/>
      <c r="E577" s="226"/>
    </row>
    <row r="578">
      <c r="A578" s="259"/>
      <c r="B578" s="260"/>
      <c r="C578" s="260"/>
      <c r="E578" s="226"/>
    </row>
    <row r="579">
      <c r="A579" s="259"/>
      <c r="B579" s="260"/>
      <c r="C579" s="260"/>
      <c r="E579" s="226"/>
    </row>
    <row r="580">
      <c r="A580" s="259"/>
      <c r="B580" s="260"/>
      <c r="C580" s="260"/>
      <c r="E580" s="226"/>
    </row>
    <row r="581">
      <c r="A581" s="261"/>
      <c r="B581" s="260"/>
      <c r="C581" s="260"/>
      <c r="E581" s="226"/>
    </row>
    <row r="582">
      <c r="A582" s="261"/>
      <c r="B582" s="260"/>
      <c r="C582" s="260"/>
      <c r="E582" s="226"/>
    </row>
    <row r="583">
      <c r="A583" s="261"/>
      <c r="B583" s="260"/>
      <c r="C583" s="260"/>
      <c r="E583" s="226"/>
    </row>
    <row r="584">
      <c r="A584" s="261"/>
      <c r="B584" s="260"/>
      <c r="C584" s="260"/>
      <c r="E584" s="226"/>
    </row>
    <row r="585">
      <c r="A585" s="261"/>
      <c r="B585" s="260"/>
      <c r="C585" s="260"/>
      <c r="E585" s="226"/>
    </row>
    <row r="586">
      <c r="A586" s="261"/>
      <c r="B586" s="260"/>
      <c r="C586" s="260"/>
      <c r="E586" s="226"/>
    </row>
    <row r="587">
      <c r="A587" s="261"/>
      <c r="B587" s="260"/>
      <c r="C587" s="260"/>
      <c r="E587" s="226"/>
    </row>
    <row r="588">
      <c r="A588" s="261"/>
      <c r="B588" s="260"/>
      <c r="C588" s="260"/>
      <c r="E588" s="226"/>
    </row>
    <row r="589">
      <c r="A589" s="261"/>
      <c r="B589" s="260"/>
      <c r="C589" s="260"/>
      <c r="E589" s="226"/>
    </row>
    <row r="590">
      <c r="A590" s="261"/>
      <c r="B590" s="260"/>
      <c r="C590" s="260"/>
      <c r="E590" s="226"/>
    </row>
    <row r="591">
      <c r="A591" s="261"/>
      <c r="B591" s="260"/>
      <c r="C591" s="260"/>
      <c r="E591" s="226"/>
    </row>
    <row r="592">
      <c r="A592" s="261"/>
      <c r="B592" s="260"/>
      <c r="C592" s="260"/>
      <c r="E592" s="226"/>
    </row>
    <row r="593">
      <c r="A593" s="261"/>
      <c r="B593" s="260"/>
      <c r="C593" s="260"/>
      <c r="E593" s="226"/>
    </row>
    <row r="594">
      <c r="A594" s="261"/>
      <c r="B594" s="260"/>
      <c r="C594" s="260"/>
      <c r="E594" s="226"/>
    </row>
    <row r="595">
      <c r="A595" s="261"/>
      <c r="B595" s="260"/>
      <c r="C595" s="260"/>
      <c r="E595" s="226"/>
    </row>
    <row r="596">
      <c r="A596" s="261"/>
      <c r="B596" s="260"/>
      <c r="C596" s="260"/>
      <c r="E596" s="226"/>
    </row>
    <row r="597">
      <c r="A597" s="261"/>
      <c r="B597" s="260"/>
      <c r="C597" s="260"/>
      <c r="E597" s="226"/>
    </row>
    <row r="598">
      <c r="A598" s="261"/>
      <c r="B598" s="260"/>
      <c r="C598" s="260"/>
      <c r="E598" s="226"/>
    </row>
    <row r="599">
      <c r="A599" s="261"/>
      <c r="B599" s="260"/>
      <c r="C599" s="260"/>
      <c r="E599" s="226"/>
    </row>
    <row r="600">
      <c r="A600" s="261"/>
      <c r="B600" s="260"/>
      <c r="C600" s="260"/>
      <c r="E600" s="226"/>
    </row>
    <row r="601">
      <c r="A601" s="261"/>
      <c r="B601" s="260"/>
      <c r="C601" s="260"/>
      <c r="E601" s="226"/>
    </row>
    <row r="602">
      <c r="A602" s="261"/>
      <c r="B602" s="260"/>
      <c r="C602" s="260"/>
      <c r="E602" s="226"/>
    </row>
    <row r="603">
      <c r="A603" s="261"/>
      <c r="B603" s="260"/>
      <c r="C603" s="260"/>
      <c r="E603" s="226"/>
    </row>
    <row r="604">
      <c r="A604" s="261"/>
      <c r="B604" s="260"/>
      <c r="C604" s="260"/>
      <c r="E604" s="226"/>
    </row>
    <row r="605">
      <c r="A605" s="261"/>
      <c r="B605" s="260"/>
      <c r="C605" s="260"/>
      <c r="E605" s="226"/>
    </row>
    <row r="606">
      <c r="A606" s="261"/>
      <c r="B606" s="260"/>
      <c r="C606" s="260"/>
      <c r="E606" s="226"/>
    </row>
    <row r="607">
      <c r="A607" s="261"/>
      <c r="B607" s="260"/>
      <c r="C607" s="260"/>
      <c r="E607" s="226"/>
    </row>
    <row r="608">
      <c r="A608" s="261"/>
      <c r="B608" s="260"/>
      <c r="C608" s="260"/>
      <c r="E608" s="226"/>
    </row>
    <row r="609">
      <c r="A609" s="261"/>
      <c r="B609" s="260"/>
      <c r="C609" s="260"/>
      <c r="E609" s="226"/>
    </row>
    <row r="610">
      <c r="A610" s="261"/>
      <c r="B610" s="260"/>
      <c r="C610" s="260"/>
      <c r="E610" s="226"/>
    </row>
    <row r="611">
      <c r="A611" s="261"/>
      <c r="B611" s="260"/>
      <c r="C611" s="260"/>
      <c r="E611" s="226"/>
    </row>
    <row r="612">
      <c r="A612" s="261"/>
      <c r="B612" s="260"/>
      <c r="C612" s="260"/>
      <c r="E612" s="226"/>
    </row>
    <row r="613">
      <c r="A613" s="261"/>
      <c r="B613" s="260"/>
      <c r="C613" s="260"/>
      <c r="E613" s="226"/>
    </row>
    <row r="614">
      <c r="A614" s="261"/>
      <c r="B614" s="260"/>
      <c r="C614" s="260"/>
      <c r="E614" s="226"/>
    </row>
    <row r="615">
      <c r="A615" s="261"/>
      <c r="B615" s="260"/>
      <c r="C615" s="260"/>
      <c r="E615" s="226"/>
    </row>
    <row r="616">
      <c r="A616" s="261"/>
      <c r="B616" s="260"/>
      <c r="C616" s="260"/>
      <c r="E616" s="226"/>
    </row>
    <row r="617">
      <c r="A617" s="261"/>
      <c r="B617" s="260"/>
      <c r="C617" s="260"/>
      <c r="E617" s="226"/>
    </row>
    <row r="618">
      <c r="A618" s="261"/>
      <c r="B618" s="260"/>
      <c r="C618" s="260"/>
      <c r="E618" s="226"/>
    </row>
    <row r="619">
      <c r="A619" s="261"/>
      <c r="B619" s="260"/>
      <c r="C619" s="260"/>
      <c r="E619" s="226"/>
    </row>
    <row r="620">
      <c r="A620" s="261"/>
      <c r="B620" s="260"/>
      <c r="C620" s="260"/>
      <c r="E620" s="226"/>
    </row>
    <row r="621">
      <c r="A621" s="261"/>
      <c r="B621" s="260"/>
      <c r="C621" s="260"/>
      <c r="E621" s="226"/>
    </row>
    <row r="622">
      <c r="A622" s="261"/>
      <c r="B622" s="260"/>
      <c r="C622" s="260"/>
      <c r="E622" s="226"/>
    </row>
    <row r="623">
      <c r="A623" s="261"/>
      <c r="B623" s="260"/>
      <c r="C623" s="260"/>
      <c r="E623" s="226"/>
    </row>
    <row r="624">
      <c r="A624" s="261"/>
      <c r="B624" s="260"/>
      <c r="C624" s="260"/>
      <c r="E624" s="226"/>
    </row>
    <row r="625">
      <c r="A625" s="261"/>
      <c r="B625" s="260"/>
      <c r="C625" s="260"/>
      <c r="E625" s="226"/>
    </row>
    <row r="626">
      <c r="A626" s="261"/>
      <c r="B626" s="260"/>
      <c r="C626" s="260"/>
      <c r="E626" s="226"/>
    </row>
    <row r="627">
      <c r="A627" s="261"/>
      <c r="B627" s="260"/>
      <c r="C627" s="260"/>
      <c r="E627" s="226"/>
    </row>
    <row r="628">
      <c r="A628" s="261"/>
      <c r="B628" s="260"/>
      <c r="C628" s="260"/>
      <c r="E628" s="226"/>
    </row>
    <row r="629">
      <c r="A629" s="261"/>
      <c r="B629" s="260"/>
      <c r="C629" s="260"/>
      <c r="E629" s="226"/>
    </row>
    <row r="630">
      <c r="A630" s="261"/>
      <c r="B630" s="260"/>
      <c r="C630" s="260"/>
      <c r="E630" s="226"/>
    </row>
    <row r="631">
      <c r="A631" s="261"/>
      <c r="B631" s="260"/>
      <c r="C631" s="260"/>
      <c r="E631" s="226"/>
    </row>
    <row r="632">
      <c r="A632" s="261"/>
      <c r="B632" s="260"/>
      <c r="C632" s="260"/>
      <c r="E632" s="226"/>
    </row>
    <row r="633">
      <c r="A633" s="261"/>
      <c r="B633" s="260"/>
      <c r="C633" s="260"/>
      <c r="E633" s="226"/>
    </row>
    <row r="634">
      <c r="A634" s="261"/>
      <c r="B634" s="260"/>
      <c r="C634" s="260"/>
      <c r="E634" s="226"/>
    </row>
    <row r="635">
      <c r="A635" s="261"/>
      <c r="B635" s="260"/>
      <c r="C635" s="260"/>
      <c r="E635" s="226"/>
    </row>
    <row r="636">
      <c r="A636" s="261"/>
      <c r="B636" s="260"/>
      <c r="C636" s="260"/>
      <c r="E636" s="226"/>
    </row>
    <row r="637">
      <c r="A637" s="261"/>
      <c r="B637" s="260"/>
      <c r="C637" s="260"/>
      <c r="E637" s="226"/>
    </row>
    <row r="638">
      <c r="A638" s="261"/>
      <c r="B638" s="260"/>
      <c r="C638" s="260"/>
      <c r="E638" s="226"/>
    </row>
    <row r="639">
      <c r="A639" s="261"/>
      <c r="B639" s="260"/>
      <c r="C639" s="260"/>
      <c r="E639" s="226"/>
    </row>
    <row r="640">
      <c r="A640" s="261"/>
      <c r="B640" s="260"/>
      <c r="C640" s="260"/>
      <c r="E640" s="226"/>
    </row>
    <row r="641">
      <c r="A641" s="261"/>
      <c r="B641" s="260"/>
      <c r="C641" s="260"/>
      <c r="E641" s="226"/>
    </row>
    <row r="642">
      <c r="A642" s="261"/>
      <c r="B642" s="260"/>
      <c r="C642" s="260"/>
      <c r="E642" s="226"/>
    </row>
    <row r="643">
      <c r="A643" s="261"/>
      <c r="B643" s="260"/>
      <c r="C643" s="260"/>
      <c r="E643" s="226"/>
    </row>
    <row r="644">
      <c r="A644" s="261"/>
      <c r="B644" s="260"/>
      <c r="C644" s="260"/>
      <c r="E644" s="226"/>
    </row>
    <row r="645">
      <c r="A645" s="261"/>
      <c r="B645" s="260"/>
      <c r="C645" s="260"/>
      <c r="E645" s="226"/>
    </row>
    <row r="646">
      <c r="A646" s="261"/>
      <c r="B646" s="260"/>
      <c r="C646" s="260"/>
      <c r="E646" s="226"/>
    </row>
    <row r="647">
      <c r="A647" s="261"/>
      <c r="B647" s="260"/>
      <c r="C647" s="260"/>
      <c r="E647" s="226"/>
    </row>
    <row r="648">
      <c r="A648" s="261"/>
      <c r="B648" s="260"/>
      <c r="C648" s="260"/>
      <c r="E648" s="226"/>
    </row>
    <row r="649">
      <c r="A649" s="261"/>
      <c r="B649" s="260"/>
      <c r="C649" s="260"/>
      <c r="E649" s="226"/>
    </row>
    <row r="650">
      <c r="A650" s="261"/>
      <c r="B650" s="260"/>
      <c r="C650" s="260"/>
      <c r="E650" s="226"/>
    </row>
    <row r="651">
      <c r="A651" s="261"/>
      <c r="B651" s="260"/>
      <c r="C651" s="260"/>
      <c r="E651" s="226"/>
    </row>
    <row r="652">
      <c r="A652" s="261"/>
      <c r="B652" s="260"/>
      <c r="C652" s="260"/>
      <c r="E652" s="226"/>
    </row>
    <row r="653">
      <c r="A653" s="261"/>
      <c r="B653" s="260"/>
      <c r="C653" s="260"/>
      <c r="E653" s="226"/>
    </row>
    <row r="654">
      <c r="A654" s="261"/>
      <c r="B654" s="260"/>
      <c r="C654" s="260"/>
      <c r="E654" s="226"/>
    </row>
    <row r="655">
      <c r="A655" s="261"/>
      <c r="B655" s="260"/>
      <c r="C655" s="260"/>
      <c r="E655" s="226"/>
    </row>
    <row r="656">
      <c r="A656" s="261"/>
      <c r="B656" s="260"/>
      <c r="C656" s="260"/>
      <c r="E656" s="226"/>
    </row>
    <row r="657">
      <c r="A657" s="261"/>
      <c r="B657" s="260"/>
      <c r="C657" s="260"/>
      <c r="E657" s="226"/>
    </row>
    <row r="658">
      <c r="A658" s="261"/>
      <c r="B658" s="260"/>
      <c r="C658" s="260"/>
      <c r="E658" s="226"/>
    </row>
    <row r="659">
      <c r="A659" s="261"/>
      <c r="B659" s="260"/>
      <c r="C659" s="260"/>
      <c r="E659" s="226"/>
    </row>
    <row r="660">
      <c r="A660" s="261"/>
      <c r="B660" s="260"/>
      <c r="C660" s="260"/>
      <c r="E660" s="226"/>
    </row>
    <row r="661">
      <c r="A661" s="261"/>
      <c r="B661" s="260"/>
      <c r="C661" s="260"/>
      <c r="E661" s="226"/>
    </row>
    <row r="662">
      <c r="A662" s="261"/>
      <c r="B662" s="260"/>
      <c r="C662" s="260"/>
      <c r="E662" s="226"/>
    </row>
    <row r="663">
      <c r="A663" s="261"/>
      <c r="B663" s="260"/>
      <c r="C663" s="260"/>
      <c r="E663" s="226"/>
    </row>
    <row r="664">
      <c r="A664" s="261"/>
      <c r="B664" s="260"/>
      <c r="C664" s="260"/>
      <c r="E664" s="226"/>
    </row>
    <row r="665">
      <c r="A665" s="261"/>
      <c r="B665" s="260"/>
      <c r="C665" s="260"/>
      <c r="E665" s="226"/>
    </row>
    <row r="666">
      <c r="A666" s="261"/>
      <c r="B666" s="260"/>
      <c r="C666" s="260"/>
      <c r="E666" s="226"/>
    </row>
    <row r="667">
      <c r="A667" s="261"/>
      <c r="B667" s="260"/>
      <c r="C667" s="260"/>
      <c r="E667" s="226"/>
    </row>
    <row r="668">
      <c r="A668" s="261"/>
      <c r="B668" s="260"/>
      <c r="C668" s="260"/>
      <c r="E668" s="226"/>
    </row>
    <row r="669">
      <c r="A669" s="261"/>
      <c r="B669" s="260"/>
      <c r="C669" s="260"/>
      <c r="E669" s="226"/>
    </row>
    <row r="670">
      <c r="A670" s="261"/>
      <c r="B670" s="260"/>
      <c r="C670" s="260"/>
      <c r="E670" s="226"/>
    </row>
    <row r="671">
      <c r="A671" s="261"/>
      <c r="B671" s="260"/>
      <c r="C671" s="260"/>
      <c r="E671" s="226"/>
    </row>
    <row r="672">
      <c r="A672" s="261"/>
      <c r="B672" s="260"/>
      <c r="C672" s="260"/>
      <c r="E672" s="226"/>
    </row>
    <row r="673">
      <c r="A673" s="261"/>
      <c r="B673" s="260"/>
      <c r="C673" s="260"/>
      <c r="E673" s="226"/>
    </row>
    <row r="674">
      <c r="A674" s="261"/>
      <c r="B674" s="260"/>
      <c r="C674" s="260"/>
      <c r="E674" s="226"/>
    </row>
    <row r="675">
      <c r="A675" s="261"/>
      <c r="B675" s="260"/>
      <c r="C675" s="260"/>
      <c r="E675" s="226"/>
    </row>
    <row r="676">
      <c r="A676" s="261"/>
      <c r="B676" s="260"/>
      <c r="C676" s="260"/>
      <c r="E676" s="226"/>
    </row>
    <row r="677">
      <c r="A677" s="261"/>
      <c r="B677" s="260"/>
      <c r="C677" s="260"/>
      <c r="E677" s="226"/>
    </row>
    <row r="678">
      <c r="A678" s="261"/>
      <c r="B678" s="260"/>
      <c r="C678" s="260"/>
      <c r="E678" s="226"/>
    </row>
    <row r="679">
      <c r="A679" s="261"/>
      <c r="B679" s="260"/>
      <c r="C679" s="260"/>
      <c r="E679" s="226"/>
    </row>
    <row r="680">
      <c r="A680" s="261"/>
      <c r="B680" s="260"/>
      <c r="C680" s="260"/>
      <c r="E680" s="226"/>
    </row>
    <row r="681">
      <c r="A681" s="261"/>
      <c r="B681" s="260"/>
      <c r="C681" s="260"/>
      <c r="E681" s="226"/>
    </row>
    <row r="682">
      <c r="A682" s="261"/>
      <c r="B682" s="260"/>
      <c r="C682" s="260"/>
      <c r="E682" s="226"/>
    </row>
    <row r="683">
      <c r="A683" s="261"/>
      <c r="B683" s="260"/>
      <c r="C683" s="260"/>
      <c r="E683" s="226"/>
    </row>
    <row r="684">
      <c r="A684" s="261"/>
      <c r="B684" s="260"/>
      <c r="C684" s="260"/>
      <c r="E684" s="226"/>
    </row>
    <row r="685">
      <c r="A685" s="261"/>
      <c r="B685" s="260"/>
      <c r="C685" s="260"/>
      <c r="E685" s="226"/>
    </row>
    <row r="686">
      <c r="A686" s="261"/>
      <c r="B686" s="260"/>
      <c r="C686" s="260"/>
      <c r="E686" s="226"/>
    </row>
    <row r="687">
      <c r="A687" s="261"/>
      <c r="B687" s="260"/>
      <c r="C687" s="260"/>
      <c r="E687" s="226"/>
    </row>
    <row r="688">
      <c r="A688" s="261"/>
      <c r="B688" s="260"/>
      <c r="C688" s="260"/>
      <c r="E688" s="226"/>
    </row>
    <row r="689">
      <c r="A689" s="261"/>
      <c r="B689" s="260"/>
      <c r="C689" s="260"/>
      <c r="E689" s="226"/>
    </row>
    <row r="690">
      <c r="A690" s="261"/>
      <c r="B690" s="260"/>
      <c r="C690" s="260"/>
      <c r="E690" s="226"/>
    </row>
    <row r="691">
      <c r="A691" s="261"/>
      <c r="B691" s="260"/>
      <c r="C691" s="260"/>
      <c r="E691" s="226"/>
    </row>
    <row r="692">
      <c r="A692" s="261"/>
      <c r="B692" s="260"/>
      <c r="C692" s="260"/>
      <c r="E692" s="226"/>
    </row>
    <row r="693">
      <c r="A693" s="261"/>
      <c r="B693" s="260"/>
      <c r="C693" s="260"/>
      <c r="E693" s="226"/>
    </row>
    <row r="694">
      <c r="A694" s="261"/>
      <c r="B694" s="260"/>
      <c r="C694" s="260"/>
      <c r="E694" s="226"/>
    </row>
    <row r="695">
      <c r="A695" s="261"/>
      <c r="B695" s="260"/>
      <c r="C695" s="260"/>
      <c r="E695" s="226"/>
    </row>
    <row r="696">
      <c r="A696" s="261"/>
      <c r="B696" s="260"/>
      <c r="C696" s="260"/>
      <c r="E696" s="226"/>
    </row>
    <row r="697">
      <c r="A697" s="261"/>
      <c r="B697" s="260"/>
      <c r="C697" s="260"/>
      <c r="E697" s="226"/>
    </row>
    <row r="698">
      <c r="A698" s="261"/>
      <c r="B698" s="260"/>
      <c r="C698" s="260"/>
      <c r="E698" s="226"/>
    </row>
    <row r="699">
      <c r="A699" s="261"/>
      <c r="B699" s="260"/>
      <c r="C699" s="260"/>
      <c r="E699" s="226"/>
    </row>
    <row r="700">
      <c r="A700" s="261"/>
      <c r="B700" s="260"/>
      <c r="C700" s="260"/>
      <c r="E700" s="226"/>
    </row>
    <row r="701">
      <c r="A701" s="261"/>
      <c r="B701" s="260"/>
      <c r="C701" s="260"/>
      <c r="E701" s="226"/>
    </row>
    <row r="702">
      <c r="A702" s="261"/>
      <c r="B702" s="260"/>
      <c r="C702" s="260"/>
      <c r="E702" s="226"/>
    </row>
    <row r="703">
      <c r="A703" s="261"/>
      <c r="B703" s="260"/>
      <c r="C703" s="260"/>
      <c r="E703" s="226"/>
    </row>
    <row r="704">
      <c r="A704" s="261"/>
      <c r="B704" s="260"/>
      <c r="C704" s="260"/>
      <c r="E704" s="226"/>
    </row>
    <row r="705">
      <c r="A705" s="261"/>
      <c r="B705" s="260"/>
      <c r="C705" s="260"/>
      <c r="E705" s="226"/>
    </row>
    <row r="706">
      <c r="A706" s="261"/>
      <c r="B706" s="260"/>
      <c r="C706" s="260"/>
      <c r="E706" s="226"/>
    </row>
    <row r="707">
      <c r="A707" s="261"/>
      <c r="B707" s="260"/>
      <c r="C707" s="260"/>
      <c r="E707" s="226"/>
    </row>
    <row r="708">
      <c r="A708" s="261"/>
      <c r="B708" s="260"/>
      <c r="C708" s="260"/>
      <c r="E708" s="226"/>
    </row>
    <row r="709">
      <c r="A709" s="261"/>
      <c r="B709" s="260"/>
      <c r="C709" s="260"/>
      <c r="E709" s="226"/>
    </row>
    <row r="710">
      <c r="A710" s="261"/>
      <c r="B710" s="260"/>
      <c r="C710" s="260"/>
      <c r="E710" s="226"/>
    </row>
    <row r="711">
      <c r="A711" s="261"/>
      <c r="B711" s="260"/>
      <c r="C711" s="260"/>
      <c r="E711" s="226"/>
    </row>
    <row r="712">
      <c r="A712" s="261"/>
      <c r="B712" s="260"/>
      <c r="C712" s="260"/>
      <c r="E712" s="226"/>
    </row>
    <row r="713">
      <c r="A713" s="261"/>
      <c r="B713" s="260"/>
      <c r="C713" s="260"/>
      <c r="E713" s="226"/>
    </row>
    <row r="714">
      <c r="A714" s="261"/>
      <c r="B714" s="260"/>
      <c r="C714" s="260"/>
      <c r="E714" s="226"/>
    </row>
    <row r="715">
      <c r="A715" s="261"/>
      <c r="B715" s="260"/>
      <c r="C715" s="260"/>
      <c r="E715" s="226"/>
    </row>
    <row r="716">
      <c r="A716" s="261"/>
      <c r="B716" s="260"/>
      <c r="C716" s="260"/>
      <c r="E716" s="226"/>
    </row>
    <row r="717">
      <c r="A717" s="261"/>
      <c r="B717" s="260"/>
      <c r="C717" s="260"/>
      <c r="E717" s="226"/>
    </row>
    <row r="718">
      <c r="A718" s="261"/>
      <c r="B718" s="260"/>
      <c r="C718" s="260"/>
      <c r="E718" s="226"/>
    </row>
    <row r="719">
      <c r="A719" s="261"/>
      <c r="B719" s="260"/>
      <c r="C719" s="260"/>
      <c r="E719" s="226"/>
    </row>
    <row r="720">
      <c r="A720" s="261"/>
      <c r="B720" s="260"/>
      <c r="C720" s="260"/>
      <c r="E720" s="226"/>
    </row>
    <row r="721">
      <c r="A721" s="261"/>
      <c r="B721" s="260"/>
      <c r="C721" s="260"/>
      <c r="E721" s="226"/>
    </row>
    <row r="722">
      <c r="A722" s="261"/>
      <c r="B722" s="260"/>
      <c r="C722" s="260"/>
      <c r="E722" s="226"/>
    </row>
    <row r="723">
      <c r="A723" s="261"/>
      <c r="B723" s="260"/>
      <c r="C723" s="260"/>
      <c r="E723" s="226"/>
    </row>
    <row r="724">
      <c r="A724" s="261"/>
      <c r="B724" s="260"/>
      <c r="C724" s="260"/>
      <c r="E724" s="226"/>
    </row>
    <row r="725">
      <c r="A725" s="261"/>
      <c r="B725" s="260"/>
      <c r="C725" s="260"/>
      <c r="E725" s="226"/>
    </row>
    <row r="726">
      <c r="A726" s="261"/>
      <c r="B726" s="260"/>
      <c r="C726" s="260"/>
      <c r="E726" s="226"/>
    </row>
    <row r="727">
      <c r="A727" s="261"/>
      <c r="B727" s="260"/>
      <c r="C727" s="260"/>
      <c r="E727" s="226"/>
    </row>
    <row r="728">
      <c r="A728" s="261"/>
      <c r="B728" s="260"/>
      <c r="C728" s="260"/>
      <c r="E728" s="226"/>
    </row>
    <row r="729">
      <c r="A729" s="261"/>
      <c r="B729" s="260"/>
      <c r="C729" s="260"/>
      <c r="E729" s="226"/>
    </row>
    <row r="730">
      <c r="A730" s="261"/>
      <c r="B730" s="260"/>
      <c r="C730" s="260"/>
      <c r="E730" s="226"/>
    </row>
    <row r="731">
      <c r="A731" s="261"/>
      <c r="B731" s="260"/>
      <c r="C731" s="260"/>
      <c r="E731" s="226"/>
    </row>
    <row r="732">
      <c r="A732" s="261"/>
      <c r="B732" s="260"/>
      <c r="C732" s="260"/>
      <c r="E732" s="226"/>
    </row>
    <row r="733">
      <c r="A733" s="261"/>
      <c r="B733" s="260"/>
      <c r="C733" s="260"/>
      <c r="E733" s="226"/>
    </row>
    <row r="734">
      <c r="A734" s="261"/>
      <c r="B734" s="260"/>
      <c r="C734" s="260"/>
      <c r="E734" s="226"/>
    </row>
    <row r="735">
      <c r="A735" s="261"/>
      <c r="B735" s="260"/>
      <c r="C735" s="260"/>
      <c r="E735" s="226"/>
    </row>
    <row r="736">
      <c r="A736" s="261"/>
      <c r="B736" s="260"/>
      <c r="C736" s="260"/>
      <c r="E736" s="226"/>
    </row>
    <row r="737">
      <c r="A737" s="261"/>
      <c r="B737" s="260"/>
      <c r="C737" s="260"/>
      <c r="E737" s="226"/>
    </row>
    <row r="738">
      <c r="A738" s="261"/>
      <c r="B738" s="260"/>
      <c r="C738" s="260"/>
      <c r="E738" s="226"/>
    </row>
    <row r="739">
      <c r="A739" s="261"/>
      <c r="B739" s="260"/>
      <c r="C739" s="260"/>
      <c r="E739" s="226"/>
    </row>
    <row r="740">
      <c r="A740" s="261"/>
      <c r="B740" s="260"/>
      <c r="C740" s="260"/>
      <c r="E740" s="226"/>
    </row>
    <row r="741">
      <c r="A741" s="261"/>
      <c r="B741" s="260"/>
      <c r="C741" s="260"/>
      <c r="E741" s="226"/>
    </row>
    <row r="742">
      <c r="A742" s="261"/>
      <c r="B742" s="260"/>
      <c r="C742" s="260"/>
      <c r="E742" s="226"/>
    </row>
    <row r="743">
      <c r="A743" s="261"/>
      <c r="B743" s="260"/>
      <c r="C743" s="260"/>
      <c r="E743" s="226"/>
    </row>
    <row r="744">
      <c r="A744" s="261"/>
      <c r="B744" s="260"/>
      <c r="C744" s="260"/>
      <c r="E744" s="226"/>
    </row>
    <row r="745">
      <c r="A745" s="261"/>
      <c r="B745" s="260"/>
      <c r="C745" s="260"/>
      <c r="E745" s="226"/>
    </row>
    <row r="746">
      <c r="A746" s="261"/>
      <c r="B746" s="260"/>
      <c r="C746" s="260"/>
      <c r="E746" s="226"/>
    </row>
    <row r="747">
      <c r="A747" s="261"/>
      <c r="B747" s="260"/>
      <c r="C747" s="260"/>
      <c r="E747" s="226"/>
    </row>
    <row r="748">
      <c r="A748" s="261"/>
      <c r="B748" s="260"/>
      <c r="C748" s="260"/>
      <c r="E748" s="226"/>
    </row>
    <row r="749">
      <c r="A749" s="261"/>
      <c r="B749" s="260"/>
      <c r="C749" s="260"/>
      <c r="E749" s="226"/>
    </row>
    <row r="750">
      <c r="A750" s="261"/>
      <c r="B750" s="260"/>
      <c r="C750" s="260"/>
      <c r="E750" s="226"/>
    </row>
    <row r="751">
      <c r="A751" s="261"/>
      <c r="B751" s="260"/>
      <c r="C751" s="260"/>
      <c r="E751" s="226"/>
    </row>
    <row r="752">
      <c r="A752" s="261"/>
      <c r="B752" s="260"/>
      <c r="C752" s="260"/>
      <c r="E752" s="226"/>
    </row>
    <row r="753">
      <c r="A753" s="261"/>
      <c r="B753" s="260"/>
      <c r="C753" s="260"/>
      <c r="E753" s="226"/>
    </row>
    <row r="754">
      <c r="A754" s="261"/>
      <c r="B754" s="260"/>
      <c r="C754" s="260"/>
      <c r="E754" s="226"/>
    </row>
    <row r="755">
      <c r="A755" s="261"/>
      <c r="B755" s="260"/>
      <c r="C755" s="260"/>
      <c r="E755" s="226"/>
    </row>
    <row r="756">
      <c r="A756" s="261"/>
      <c r="B756" s="260"/>
      <c r="C756" s="260"/>
      <c r="E756" s="226"/>
    </row>
    <row r="757">
      <c r="A757" s="261"/>
      <c r="B757" s="260"/>
      <c r="C757" s="260"/>
      <c r="E757" s="226"/>
    </row>
    <row r="758">
      <c r="A758" s="261"/>
      <c r="B758" s="260"/>
      <c r="C758" s="260"/>
      <c r="E758" s="226"/>
    </row>
    <row r="759">
      <c r="A759" s="261"/>
      <c r="B759" s="260"/>
      <c r="C759" s="260"/>
      <c r="E759" s="226"/>
    </row>
    <row r="760">
      <c r="A760" s="261"/>
      <c r="B760" s="260"/>
      <c r="C760" s="260"/>
      <c r="E760" s="226"/>
    </row>
    <row r="761">
      <c r="A761" s="261"/>
      <c r="B761" s="260"/>
      <c r="C761" s="260"/>
      <c r="E761" s="226"/>
    </row>
    <row r="762">
      <c r="A762" s="261"/>
      <c r="B762" s="260"/>
      <c r="C762" s="260"/>
      <c r="E762" s="226"/>
    </row>
    <row r="763">
      <c r="A763" s="261"/>
      <c r="B763" s="260"/>
      <c r="C763" s="260"/>
      <c r="E763" s="226"/>
    </row>
    <row r="764">
      <c r="A764" s="261"/>
      <c r="B764" s="260"/>
      <c r="C764" s="260"/>
      <c r="E764" s="226"/>
    </row>
    <row r="765">
      <c r="A765" s="261"/>
      <c r="B765" s="260"/>
      <c r="C765" s="260"/>
      <c r="E765" s="226"/>
    </row>
    <row r="766">
      <c r="A766" s="261"/>
      <c r="B766" s="260"/>
      <c r="C766" s="260"/>
      <c r="E766" s="226"/>
    </row>
    <row r="767">
      <c r="A767" s="261"/>
      <c r="B767" s="260"/>
      <c r="C767" s="260"/>
      <c r="E767" s="226"/>
    </row>
    <row r="768">
      <c r="A768" s="261"/>
      <c r="B768" s="260"/>
      <c r="C768" s="260"/>
      <c r="E768" s="226"/>
    </row>
    <row r="769">
      <c r="A769" s="261"/>
      <c r="B769" s="260"/>
      <c r="C769" s="260"/>
      <c r="E769" s="226"/>
    </row>
    <row r="770">
      <c r="A770" s="261"/>
      <c r="B770" s="260"/>
      <c r="C770" s="260"/>
      <c r="E770" s="226"/>
    </row>
    <row r="771">
      <c r="A771" s="261"/>
      <c r="B771" s="260"/>
      <c r="C771" s="260"/>
      <c r="E771" s="226"/>
    </row>
    <row r="772">
      <c r="A772" s="261"/>
      <c r="B772" s="260"/>
      <c r="C772" s="260"/>
      <c r="E772" s="226"/>
    </row>
    <row r="773">
      <c r="A773" s="261"/>
      <c r="B773" s="260"/>
      <c r="C773" s="260"/>
      <c r="E773" s="226"/>
    </row>
    <row r="774">
      <c r="A774" s="261"/>
      <c r="B774" s="260"/>
      <c r="C774" s="260"/>
      <c r="E774" s="226"/>
    </row>
    <row r="775">
      <c r="A775" s="261"/>
      <c r="B775" s="260"/>
      <c r="C775" s="260"/>
      <c r="E775" s="226"/>
    </row>
    <row r="776">
      <c r="A776" s="261"/>
      <c r="B776" s="260"/>
      <c r="C776" s="260"/>
      <c r="E776" s="226"/>
    </row>
    <row r="777">
      <c r="A777" s="261"/>
      <c r="B777" s="260"/>
      <c r="C777" s="260"/>
      <c r="E777" s="226"/>
    </row>
    <row r="778">
      <c r="A778" s="261"/>
      <c r="B778" s="260"/>
      <c r="C778" s="260"/>
      <c r="E778" s="226"/>
    </row>
    <row r="779">
      <c r="A779" s="261"/>
      <c r="B779" s="260"/>
      <c r="C779" s="260"/>
      <c r="E779" s="226"/>
    </row>
    <row r="780">
      <c r="A780" s="261"/>
      <c r="B780" s="260"/>
      <c r="C780" s="260"/>
      <c r="E780" s="226"/>
    </row>
    <row r="781">
      <c r="A781" s="261"/>
      <c r="B781" s="260"/>
      <c r="C781" s="260"/>
      <c r="E781" s="226"/>
    </row>
    <row r="782">
      <c r="A782" s="261"/>
      <c r="B782" s="260"/>
      <c r="C782" s="260"/>
      <c r="E782" s="226"/>
    </row>
    <row r="783">
      <c r="A783" s="261"/>
      <c r="B783" s="260"/>
      <c r="C783" s="260"/>
      <c r="E783" s="226"/>
    </row>
    <row r="784">
      <c r="A784" s="261"/>
      <c r="B784" s="260"/>
      <c r="C784" s="260"/>
      <c r="E784" s="226"/>
    </row>
    <row r="785">
      <c r="A785" s="261"/>
      <c r="B785" s="260"/>
      <c r="C785" s="260"/>
      <c r="E785" s="226"/>
    </row>
    <row r="786">
      <c r="A786" s="261"/>
      <c r="B786" s="260"/>
      <c r="C786" s="260"/>
      <c r="E786" s="226"/>
    </row>
    <row r="787">
      <c r="A787" s="261"/>
      <c r="B787" s="260"/>
      <c r="C787" s="260"/>
      <c r="E787" s="226"/>
    </row>
    <row r="788">
      <c r="A788" s="261"/>
      <c r="B788" s="260"/>
      <c r="C788" s="260"/>
      <c r="E788" s="226"/>
    </row>
    <row r="789">
      <c r="A789" s="261"/>
      <c r="B789" s="260"/>
      <c r="C789" s="260"/>
      <c r="E789" s="226"/>
    </row>
    <row r="790">
      <c r="A790" s="261"/>
      <c r="B790" s="260"/>
      <c r="C790" s="260"/>
      <c r="E790" s="226"/>
    </row>
    <row r="791">
      <c r="A791" s="261"/>
      <c r="B791" s="260"/>
      <c r="C791" s="260"/>
      <c r="E791" s="226"/>
    </row>
    <row r="792">
      <c r="A792" s="261"/>
      <c r="B792" s="260"/>
      <c r="C792" s="260"/>
      <c r="E792" s="226"/>
    </row>
    <row r="793">
      <c r="A793" s="261"/>
      <c r="B793" s="260"/>
      <c r="C793" s="260"/>
      <c r="E793" s="226"/>
    </row>
    <row r="794">
      <c r="A794" s="261"/>
      <c r="B794" s="260"/>
      <c r="C794" s="260"/>
      <c r="E794" s="226"/>
    </row>
    <row r="795">
      <c r="A795" s="261"/>
      <c r="B795" s="260"/>
      <c r="C795" s="260"/>
      <c r="E795" s="226"/>
    </row>
    <row r="796">
      <c r="A796" s="261"/>
      <c r="B796" s="260"/>
      <c r="C796" s="260"/>
      <c r="E796" s="226"/>
    </row>
    <row r="797">
      <c r="A797" s="261"/>
      <c r="B797" s="260"/>
      <c r="C797" s="260"/>
      <c r="E797" s="226"/>
    </row>
    <row r="798">
      <c r="A798" s="261"/>
      <c r="B798" s="260"/>
      <c r="C798" s="260"/>
      <c r="E798" s="226"/>
    </row>
    <row r="799">
      <c r="A799" s="261"/>
      <c r="B799" s="260"/>
      <c r="C799" s="260"/>
      <c r="E799" s="226"/>
    </row>
    <row r="800">
      <c r="A800" s="261"/>
      <c r="B800" s="260"/>
      <c r="C800" s="260"/>
      <c r="E800" s="226"/>
    </row>
    <row r="801">
      <c r="A801" s="261"/>
      <c r="B801" s="260"/>
      <c r="C801" s="260"/>
      <c r="E801" s="226"/>
    </row>
    <row r="802">
      <c r="A802" s="261"/>
      <c r="B802" s="260"/>
      <c r="C802" s="260"/>
      <c r="E802" s="226"/>
    </row>
    <row r="803">
      <c r="A803" s="261"/>
      <c r="B803" s="260"/>
      <c r="C803" s="260"/>
      <c r="E803" s="226"/>
    </row>
    <row r="804">
      <c r="A804" s="261"/>
      <c r="B804" s="260"/>
      <c r="C804" s="260"/>
      <c r="E804" s="226"/>
    </row>
    <row r="805">
      <c r="A805" s="261"/>
      <c r="B805" s="260"/>
      <c r="C805" s="260"/>
      <c r="E805" s="226"/>
    </row>
    <row r="806">
      <c r="A806" s="261"/>
      <c r="B806" s="260"/>
      <c r="C806" s="260"/>
      <c r="E806" s="226"/>
    </row>
    <row r="807">
      <c r="A807" s="261"/>
      <c r="B807" s="260"/>
      <c r="C807" s="260"/>
      <c r="E807" s="226"/>
    </row>
    <row r="808">
      <c r="A808" s="261"/>
      <c r="B808" s="260"/>
      <c r="C808" s="260"/>
      <c r="E808" s="226"/>
    </row>
    <row r="809">
      <c r="A809" s="261"/>
      <c r="B809" s="260"/>
      <c r="C809" s="260"/>
      <c r="E809" s="226"/>
    </row>
    <row r="810">
      <c r="A810" s="261"/>
      <c r="B810" s="260"/>
      <c r="C810" s="260"/>
      <c r="E810" s="226"/>
    </row>
    <row r="811">
      <c r="A811" s="261"/>
      <c r="B811" s="260"/>
      <c r="C811" s="260"/>
      <c r="E811" s="226"/>
    </row>
    <row r="812">
      <c r="A812" s="261"/>
      <c r="B812" s="260"/>
      <c r="C812" s="260"/>
      <c r="E812" s="226"/>
    </row>
    <row r="813">
      <c r="A813" s="261"/>
      <c r="B813" s="260"/>
      <c r="C813" s="260"/>
      <c r="E813" s="226"/>
    </row>
    <row r="814">
      <c r="A814" s="261"/>
      <c r="B814" s="260"/>
      <c r="C814" s="260"/>
      <c r="E814" s="226"/>
    </row>
    <row r="815">
      <c r="A815" s="261"/>
      <c r="B815" s="260"/>
      <c r="C815" s="260"/>
      <c r="E815" s="226"/>
    </row>
    <row r="816">
      <c r="A816" s="261"/>
      <c r="B816" s="260"/>
      <c r="C816" s="260"/>
      <c r="E816" s="226"/>
    </row>
    <row r="817">
      <c r="A817" s="261"/>
      <c r="B817" s="260"/>
      <c r="C817" s="260"/>
      <c r="E817" s="226"/>
    </row>
    <row r="818">
      <c r="A818" s="261"/>
      <c r="B818" s="260"/>
      <c r="C818" s="260"/>
      <c r="E818" s="226"/>
    </row>
    <row r="819">
      <c r="A819" s="261"/>
      <c r="B819" s="260"/>
      <c r="C819" s="260"/>
      <c r="E819" s="226"/>
    </row>
    <row r="820">
      <c r="A820" s="261"/>
      <c r="B820" s="260"/>
      <c r="C820" s="260"/>
      <c r="E820" s="226"/>
    </row>
    <row r="821">
      <c r="A821" s="261"/>
      <c r="B821" s="260"/>
      <c r="C821" s="260"/>
      <c r="E821" s="226"/>
    </row>
    <row r="822">
      <c r="A822" s="261"/>
      <c r="B822" s="260"/>
      <c r="C822" s="260"/>
      <c r="E822" s="226"/>
    </row>
    <row r="823">
      <c r="A823" s="261"/>
      <c r="B823" s="260"/>
      <c r="C823" s="260"/>
      <c r="E823" s="226"/>
    </row>
    <row r="824">
      <c r="A824" s="261"/>
      <c r="B824" s="260"/>
      <c r="C824" s="260"/>
      <c r="E824" s="226"/>
    </row>
    <row r="825">
      <c r="A825" s="261"/>
      <c r="B825" s="260"/>
      <c r="C825" s="260"/>
      <c r="E825" s="226"/>
    </row>
    <row r="826">
      <c r="A826" s="261"/>
      <c r="B826" s="260"/>
      <c r="C826" s="260"/>
      <c r="E826" s="226"/>
    </row>
    <row r="827">
      <c r="A827" s="261"/>
      <c r="B827" s="260"/>
      <c r="C827" s="260"/>
      <c r="E827" s="226"/>
    </row>
    <row r="828">
      <c r="A828" s="261"/>
      <c r="B828" s="260"/>
      <c r="C828" s="260"/>
      <c r="E828" s="226"/>
    </row>
    <row r="829">
      <c r="A829" s="261"/>
      <c r="B829" s="260"/>
      <c r="C829" s="260"/>
      <c r="E829" s="226"/>
    </row>
    <row r="830">
      <c r="A830" s="261"/>
      <c r="B830" s="260"/>
      <c r="C830" s="260"/>
      <c r="E830" s="226"/>
    </row>
    <row r="831">
      <c r="A831" s="261"/>
      <c r="B831" s="260"/>
      <c r="C831" s="260"/>
      <c r="E831" s="226"/>
    </row>
    <row r="832">
      <c r="A832" s="261"/>
      <c r="B832" s="260"/>
      <c r="C832" s="260"/>
      <c r="E832" s="226"/>
    </row>
    <row r="833">
      <c r="A833" s="261"/>
      <c r="B833" s="260"/>
      <c r="C833" s="260"/>
      <c r="E833" s="226"/>
    </row>
    <row r="834">
      <c r="A834" s="261"/>
      <c r="B834" s="260"/>
      <c r="C834" s="260"/>
      <c r="E834" s="226"/>
    </row>
    <row r="835">
      <c r="A835" s="261"/>
      <c r="B835" s="260"/>
      <c r="C835" s="260"/>
      <c r="E835" s="226"/>
    </row>
    <row r="836">
      <c r="A836" s="261"/>
      <c r="B836" s="260"/>
      <c r="C836" s="260"/>
      <c r="E836" s="226"/>
    </row>
    <row r="837">
      <c r="A837" s="261"/>
      <c r="B837" s="260"/>
      <c r="C837" s="260"/>
      <c r="E837" s="226"/>
    </row>
    <row r="838">
      <c r="A838" s="261"/>
      <c r="B838" s="260"/>
      <c r="C838" s="260"/>
      <c r="E838" s="226"/>
    </row>
    <row r="839">
      <c r="A839" s="261"/>
      <c r="B839" s="260"/>
      <c r="C839" s="260"/>
      <c r="E839" s="226"/>
    </row>
    <row r="840">
      <c r="A840" s="261"/>
      <c r="B840" s="260"/>
      <c r="C840" s="260"/>
      <c r="E840" s="226"/>
    </row>
    <row r="841">
      <c r="A841" s="261"/>
      <c r="B841" s="260"/>
      <c r="C841" s="260"/>
      <c r="E841" s="226"/>
    </row>
    <row r="842">
      <c r="A842" s="261"/>
      <c r="B842" s="260"/>
      <c r="C842" s="260"/>
      <c r="E842" s="226"/>
    </row>
    <row r="843">
      <c r="A843" s="261"/>
      <c r="B843" s="260"/>
      <c r="C843" s="260"/>
      <c r="E843" s="226"/>
    </row>
    <row r="844">
      <c r="A844" s="261"/>
      <c r="B844" s="260"/>
      <c r="C844" s="260"/>
      <c r="E844" s="226"/>
    </row>
    <row r="845">
      <c r="A845" s="261"/>
      <c r="B845" s="260"/>
      <c r="C845" s="260"/>
      <c r="E845" s="226"/>
    </row>
    <row r="846">
      <c r="A846" s="261"/>
      <c r="B846" s="260"/>
      <c r="C846" s="260"/>
      <c r="E846" s="226"/>
    </row>
    <row r="847">
      <c r="A847" s="261"/>
      <c r="B847" s="260"/>
      <c r="C847" s="260"/>
      <c r="E847" s="226"/>
    </row>
    <row r="848">
      <c r="A848" s="261"/>
      <c r="B848" s="260"/>
      <c r="C848" s="260"/>
      <c r="E848" s="226"/>
    </row>
    <row r="849">
      <c r="A849" s="261"/>
      <c r="B849" s="260"/>
      <c r="C849" s="260"/>
      <c r="E849" s="226"/>
    </row>
    <row r="850">
      <c r="A850" s="261"/>
      <c r="B850" s="260"/>
      <c r="C850" s="260"/>
      <c r="E850" s="226"/>
    </row>
    <row r="851">
      <c r="A851" s="261"/>
      <c r="B851" s="260"/>
      <c r="C851" s="260"/>
      <c r="E851" s="226"/>
    </row>
    <row r="852">
      <c r="A852" s="261"/>
      <c r="B852" s="260"/>
      <c r="C852" s="260"/>
      <c r="E852" s="226"/>
    </row>
    <row r="853">
      <c r="A853" s="261"/>
      <c r="B853" s="260"/>
      <c r="C853" s="260"/>
      <c r="E853" s="226"/>
    </row>
    <row r="854">
      <c r="A854" s="261"/>
      <c r="B854" s="260"/>
      <c r="C854" s="260"/>
      <c r="E854" s="226"/>
    </row>
    <row r="855">
      <c r="A855" s="261"/>
      <c r="B855" s="260"/>
      <c r="C855" s="260"/>
      <c r="E855" s="226"/>
    </row>
    <row r="856">
      <c r="A856" s="261"/>
      <c r="B856" s="260"/>
      <c r="C856" s="260"/>
      <c r="E856" s="226"/>
    </row>
    <row r="857">
      <c r="A857" s="261"/>
      <c r="B857" s="260"/>
      <c r="C857" s="260"/>
      <c r="E857" s="226"/>
    </row>
    <row r="858">
      <c r="A858" s="261"/>
      <c r="B858" s="260"/>
      <c r="C858" s="260"/>
      <c r="E858" s="226"/>
    </row>
    <row r="859">
      <c r="A859" s="261"/>
      <c r="B859" s="260"/>
      <c r="C859" s="260"/>
      <c r="E859" s="226"/>
    </row>
    <row r="860">
      <c r="A860" s="261"/>
      <c r="B860" s="260"/>
      <c r="C860" s="260"/>
      <c r="E860" s="226"/>
    </row>
    <row r="861">
      <c r="A861" s="261"/>
      <c r="B861" s="260"/>
      <c r="C861" s="260"/>
      <c r="E861" s="226"/>
    </row>
    <row r="862">
      <c r="A862" s="261"/>
      <c r="B862" s="260"/>
      <c r="C862" s="260"/>
      <c r="E862" s="226"/>
    </row>
    <row r="863">
      <c r="A863" s="261"/>
      <c r="B863" s="260"/>
      <c r="C863" s="260"/>
      <c r="E863" s="226"/>
    </row>
    <row r="864">
      <c r="A864" s="261"/>
      <c r="B864" s="260"/>
      <c r="C864" s="260"/>
      <c r="E864" s="226"/>
    </row>
    <row r="865">
      <c r="A865" s="261"/>
      <c r="B865" s="260"/>
      <c r="C865" s="260"/>
      <c r="E865" s="226"/>
    </row>
    <row r="866">
      <c r="A866" s="261"/>
      <c r="B866" s="260"/>
      <c r="C866" s="260"/>
      <c r="E866" s="226"/>
    </row>
    <row r="867">
      <c r="A867" s="261"/>
      <c r="B867" s="260"/>
      <c r="C867" s="260"/>
      <c r="E867" s="226"/>
    </row>
    <row r="868">
      <c r="A868" s="261"/>
      <c r="B868" s="260"/>
      <c r="C868" s="260"/>
      <c r="E868" s="226"/>
    </row>
    <row r="869">
      <c r="A869" s="261"/>
      <c r="B869" s="260"/>
      <c r="C869" s="260"/>
      <c r="E869" s="226"/>
    </row>
    <row r="870">
      <c r="A870" s="261"/>
      <c r="B870" s="260"/>
      <c r="C870" s="260"/>
      <c r="E870" s="226"/>
    </row>
    <row r="871">
      <c r="A871" s="261"/>
      <c r="B871" s="260"/>
      <c r="C871" s="260"/>
      <c r="E871" s="226"/>
    </row>
    <row r="872">
      <c r="A872" s="261"/>
      <c r="B872" s="260"/>
      <c r="C872" s="260"/>
      <c r="E872" s="226"/>
    </row>
    <row r="873">
      <c r="A873" s="261"/>
      <c r="B873" s="260"/>
      <c r="C873" s="260"/>
      <c r="E873" s="226"/>
    </row>
    <row r="874">
      <c r="A874" s="261"/>
      <c r="B874" s="260"/>
      <c r="C874" s="260"/>
      <c r="E874" s="226"/>
    </row>
    <row r="875">
      <c r="A875" s="261"/>
      <c r="B875" s="260"/>
      <c r="C875" s="260"/>
      <c r="E875" s="226"/>
    </row>
    <row r="876">
      <c r="A876" s="261"/>
      <c r="B876" s="260"/>
      <c r="C876" s="260"/>
      <c r="E876" s="226"/>
    </row>
    <row r="877">
      <c r="A877" s="261"/>
      <c r="B877" s="260"/>
      <c r="C877" s="260"/>
      <c r="E877" s="226"/>
    </row>
    <row r="878">
      <c r="A878" s="261"/>
      <c r="B878" s="260"/>
      <c r="C878" s="260"/>
      <c r="E878" s="226"/>
    </row>
    <row r="879">
      <c r="A879" s="261"/>
      <c r="B879" s="260"/>
      <c r="C879" s="260"/>
      <c r="E879" s="226"/>
    </row>
    <row r="880">
      <c r="A880" s="261"/>
      <c r="B880" s="260"/>
      <c r="C880" s="260"/>
      <c r="E880" s="226"/>
    </row>
    <row r="881">
      <c r="A881" s="261"/>
      <c r="B881" s="260"/>
      <c r="C881" s="260"/>
      <c r="E881" s="226"/>
    </row>
    <row r="882">
      <c r="A882" s="261"/>
      <c r="B882" s="260"/>
      <c r="C882" s="260"/>
      <c r="E882" s="226"/>
    </row>
    <row r="883">
      <c r="A883" s="261"/>
      <c r="B883" s="260"/>
      <c r="C883" s="260"/>
      <c r="E883" s="226"/>
    </row>
    <row r="884">
      <c r="A884" s="261"/>
      <c r="B884" s="260"/>
      <c r="C884" s="260"/>
      <c r="E884" s="226"/>
    </row>
    <row r="885">
      <c r="A885" s="261"/>
      <c r="B885" s="260"/>
      <c r="C885" s="260"/>
      <c r="E885" s="226"/>
    </row>
    <row r="886">
      <c r="A886" s="261"/>
      <c r="B886" s="260"/>
      <c r="C886" s="260"/>
      <c r="E886" s="226"/>
    </row>
    <row r="887">
      <c r="A887" s="261"/>
      <c r="B887" s="260"/>
      <c r="C887" s="260"/>
      <c r="E887" s="226"/>
    </row>
    <row r="888">
      <c r="A888" s="261"/>
      <c r="B888" s="260"/>
      <c r="C888" s="260"/>
      <c r="E888" s="226"/>
    </row>
    <row r="889">
      <c r="A889" s="261"/>
      <c r="B889" s="260"/>
      <c r="C889" s="260"/>
      <c r="E889" s="226"/>
    </row>
    <row r="890">
      <c r="A890" s="261"/>
      <c r="B890" s="260"/>
      <c r="C890" s="260"/>
      <c r="E890" s="226"/>
    </row>
    <row r="891">
      <c r="A891" s="261"/>
      <c r="B891" s="260"/>
      <c r="C891" s="260"/>
      <c r="E891" s="226"/>
    </row>
    <row r="892">
      <c r="A892" s="261"/>
      <c r="B892" s="260"/>
      <c r="C892" s="260"/>
      <c r="E892" s="226"/>
    </row>
    <row r="893">
      <c r="A893" s="261"/>
      <c r="B893" s="260"/>
      <c r="C893" s="260"/>
      <c r="E893" s="226"/>
    </row>
    <row r="894">
      <c r="A894" s="261"/>
      <c r="B894" s="260"/>
      <c r="C894" s="260"/>
      <c r="E894" s="226"/>
    </row>
    <row r="895">
      <c r="A895" s="261"/>
      <c r="B895" s="260"/>
      <c r="C895" s="260"/>
      <c r="E895" s="226"/>
    </row>
    <row r="896">
      <c r="A896" s="261"/>
      <c r="B896" s="260"/>
      <c r="C896" s="260"/>
      <c r="E896" s="226"/>
    </row>
    <row r="897">
      <c r="A897" s="261"/>
      <c r="B897" s="260"/>
      <c r="C897" s="260"/>
      <c r="E897" s="226"/>
    </row>
    <row r="898">
      <c r="A898" s="261"/>
      <c r="B898" s="260"/>
      <c r="C898" s="260"/>
      <c r="E898" s="226"/>
    </row>
    <row r="899">
      <c r="A899" s="261"/>
      <c r="B899" s="260"/>
      <c r="C899" s="260"/>
      <c r="E899" s="226"/>
    </row>
    <row r="900">
      <c r="A900" s="261"/>
      <c r="B900" s="260"/>
      <c r="C900" s="260"/>
      <c r="E900" s="226"/>
    </row>
    <row r="901">
      <c r="A901" s="261"/>
      <c r="B901" s="260"/>
      <c r="C901" s="260"/>
      <c r="E901" s="226"/>
    </row>
    <row r="902">
      <c r="A902" s="261"/>
      <c r="B902" s="260"/>
      <c r="C902" s="260"/>
      <c r="E902" s="226"/>
    </row>
    <row r="903">
      <c r="A903" s="261"/>
      <c r="B903" s="260"/>
      <c r="C903" s="260"/>
      <c r="E903" s="226"/>
    </row>
    <row r="904">
      <c r="A904" s="261"/>
      <c r="B904" s="260"/>
      <c r="C904" s="260"/>
      <c r="E904" s="226"/>
    </row>
    <row r="905">
      <c r="A905" s="261"/>
      <c r="B905" s="260"/>
      <c r="C905" s="260"/>
      <c r="E905" s="226"/>
    </row>
    <row r="906">
      <c r="A906" s="261"/>
      <c r="B906" s="260"/>
      <c r="C906" s="260"/>
      <c r="E906" s="226"/>
    </row>
    <row r="907">
      <c r="A907" s="261"/>
      <c r="B907" s="260"/>
      <c r="C907" s="260"/>
      <c r="E907" s="226"/>
    </row>
    <row r="908">
      <c r="A908" s="261"/>
      <c r="B908" s="260"/>
      <c r="C908" s="260"/>
      <c r="E908" s="226"/>
    </row>
    <row r="909">
      <c r="A909" s="261"/>
      <c r="B909" s="260"/>
      <c r="C909" s="260"/>
      <c r="E909" s="226"/>
    </row>
    <row r="910">
      <c r="A910" s="261"/>
      <c r="B910" s="260"/>
      <c r="C910" s="260"/>
      <c r="E910" s="226"/>
    </row>
    <row r="911">
      <c r="A911" s="261"/>
      <c r="B911" s="260"/>
      <c r="C911" s="260"/>
      <c r="E911" s="226"/>
    </row>
    <row r="912">
      <c r="A912" s="261"/>
      <c r="B912" s="260"/>
      <c r="C912" s="260"/>
      <c r="E912" s="226"/>
    </row>
    <row r="913">
      <c r="A913" s="261"/>
      <c r="B913" s="260"/>
      <c r="C913" s="260"/>
      <c r="E913" s="226"/>
    </row>
    <row r="914">
      <c r="A914" s="261"/>
      <c r="B914" s="260"/>
      <c r="C914" s="260"/>
      <c r="E914" s="226"/>
    </row>
    <row r="915">
      <c r="A915" s="261"/>
      <c r="B915" s="260"/>
      <c r="C915" s="260"/>
      <c r="E915" s="226"/>
    </row>
    <row r="916">
      <c r="A916" s="261"/>
      <c r="B916" s="260"/>
      <c r="C916" s="260"/>
      <c r="E916" s="226"/>
    </row>
    <row r="917">
      <c r="A917" s="261"/>
      <c r="B917" s="260"/>
      <c r="C917" s="260"/>
      <c r="E917" s="226"/>
    </row>
    <row r="918">
      <c r="A918" s="261"/>
      <c r="B918" s="260"/>
      <c r="C918" s="260"/>
      <c r="E918" s="226"/>
    </row>
    <row r="919">
      <c r="A919" s="261"/>
      <c r="B919" s="260"/>
      <c r="C919" s="260"/>
      <c r="E919" s="226"/>
    </row>
    <row r="920">
      <c r="A920" s="261"/>
      <c r="B920" s="260"/>
      <c r="C920" s="260"/>
      <c r="E920" s="226"/>
    </row>
    <row r="921">
      <c r="A921" s="261"/>
      <c r="B921" s="260"/>
      <c r="C921" s="260"/>
      <c r="E921" s="226"/>
    </row>
    <row r="922">
      <c r="A922" s="261"/>
      <c r="B922" s="260"/>
      <c r="C922" s="260"/>
      <c r="E922" s="226"/>
    </row>
    <row r="923">
      <c r="A923" s="261"/>
      <c r="B923" s="260"/>
      <c r="C923" s="260"/>
      <c r="E923" s="226"/>
    </row>
    <row r="924">
      <c r="A924" s="261"/>
      <c r="B924" s="260"/>
      <c r="C924" s="260"/>
      <c r="E924" s="226"/>
    </row>
    <row r="925">
      <c r="A925" s="261"/>
      <c r="B925" s="260"/>
      <c r="C925" s="260"/>
      <c r="E925" s="226"/>
    </row>
    <row r="926">
      <c r="A926" s="261"/>
      <c r="B926" s="260"/>
      <c r="C926" s="260"/>
      <c r="E926" s="226"/>
    </row>
    <row r="927">
      <c r="A927" s="261"/>
      <c r="B927" s="260"/>
      <c r="C927" s="260"/>
      <c r="E927" s="226"/>
    </row>
    <row r="928">
      <c r="A928" s="261"/>
      <c r="B928" s="260"/>
      <c r="C928" s="260"/>
      <c r="E928" s="226"/>
    </row>
    <row r="929">
      <c r="A929" s="261"/>
      <c r="B929" s="260"/>
      <c r="C929" s="260"/>
      <c r="E929" s="226"/>
    </row>
    <row r="930">
      <c r="A930" s="261"/>
      <c r="B930" s="260"/>
      <c r="C930" s="260"/>
      <c r="E930" s="226"/>
    </row>
    <row r="931">
      <c r="A931" s="261"/>
      <c r="B931" s="260"/>
      <c r="C931" s="260"/>
      <c r="E931" s="226"/>
    </row>
    <row r="932">
      <c r="A932" s="261"/>
      <c r="B932" s="260"/>
      <c r="C932" s="260"/>
      <c r="E932" s="226"/>
    </row>
    <row r="933">
      <c r="A933" s="261"/>
      <c r="B933" s="260"/>
      <c r="C933" s="260"/>
      <c r="E933" s="226"/>
    </row>
    <row r="934">
      <c r="A934" s="261"/>
      <c r="B934" s="260"/>
      <c r="C934" s="260"/>
      <c r="E934" s="226"/>
    </row>
    <row r="935">
      <c r="A935" s="261"/>
      <c r="B935" s="260"/>
      <c r="C935" s="260"/>
      <c r="E935" s="226"/>
    </row>
    <row r="936">
      <c r="A936" s="261"/>
      <c r="B936" s="260"/>
      <c r="C936" s="260"/>
      <c r="E936" s="226"/>
    </row>
    <row r="937">
      <c r="A937" s="261"/>
      <c r="B937" s="260"/>
      <c r="C937" s="260"/>
      <c r="E937" s="226"/>
    </row>
    <row r="938">
      <c r="A938" s="261"/>
      <c r="B938" s="260"/>
      <c r="C938" s="260"/>
      <c r="E938" s="226"/>
    </row>
    <row r="939">
      <c r="A939" s="261"/>
      <c r="B939" s="260"/>
      <c r="C939" s="260"/>
      <c r="E939" s="226"/>
    </row>
    <row r="940">
      <c r="A940" s="261"/>
      <c r="B940" s="260"/>
      <c r="C940" s="260"/>
      <c r="E940" s="226"/>
    </row>
    <row r="941">
      <c r="A941" s="261"/>
      <c r="B941" s="260"/>
      <c r="C941" s="260"/>
      <c r="E941" s="226"/>
    </row>
    <row r="942">
      <c r="A942" s="261"/>
      <c r="B942" s="260"/>
      <c r="C942" s="260"/>
      <c r="E942" s="226"/>
    </row>
    <row r="943">
      <c r="A943" s="261"/>
      <c r="B943" s="260"/>
      <c r="C943" s="260"/>
      <c r="E943" s="226"/>
    </row>
    <row r="944">
      <c r="A944" s="261"/>
      <c r="B944" s="260"/>
      <c r="C944" s="260"/>
      <c r="E944" s="226"/>
    </row>
    <row r="945">
      <c r="A945" s="261"/>
      <c r="B945" s="260"/>
      <c r="C945" s="260"/>
      <c r="E945" s="226"/>
    </row>
    <row r="946">
      <c r="A946" s="261"/>
      <c r="B946" s="260"/>
      <c r="C946" s="260"/>
      <c r="E946" s="226"/>
    </row>
    <row r="947">
      <c r="A947" s="261"/>
      <c r="B947" s="260"/>
      <c r="C947" s="260"/>
      <c r="E947" s="226"/>
    </row>
    <row r="948">
      <c r="A948" s="261"/>
      <c r="B948" s="260"/>
      <c r="C948" s="260"/>
      <c r="E948" s="226"/>
    </row>
    <row r="949">
      <c r="A949" s="261"/>
      <c r="B949" s="260"/>
      <c r="C949" s="260"/>
      <c r="E949" s="226"/>
    </row>
    <row r="950">
      <c r="A950" s="261"/>
      <c r="B950" s="260"/>
      <c r="C950" s="260"/>
      <c r="E950" s="226"/>
    </row>
    <row r="951">
      <c r="A951" s="261"/>
      <c r="B951" s="260"/>
      <c r="C951" s="260"/>
      <c r="E951" s="226"/>
    </row>
    <row r="952">
      <c r="A952" s="261"/>
      <c r="B952" s="260"/>
      <c r="C952" s="260"/>
      <c r="E952" s="226"/>
    </row>
    <row r="953">
      <c r="A953" s="261"/>
      <c r="B953" s="260"/>
      <c r="C953" s="260"/>
      <c r="E953" s="226"/>
    </row>
    <row r="954">
      <c r="A954" s="261"/>
      <c r="B954" s="260"/>
      <c r="C954" s="260"/>
      <c r="E954" s="226"/>
    </row>
    <row r="955">
      <c r="A955" s="261"/>
      <c r="B955" s="260"/>
      <c r="C955" s="260"/>
      <c r="E955" s="226"/>
    </row>
    <row r="956">
      <c r="A956" s="261"/>
      <c r="B956" s="260"/>
      <c r="C956" s="260"/>
      <c r="E956" s="226"/>
    </row>
    <row r="957">
      <c r="A957" s="261"/>
      <c r="B957" s="260"/>
      <c r="C957" s="260"/>
      <c r="E957" s="226"/>
    </row>
    <row r="958">
      <c r="A958" s="261"/>
      <c r="B958" s="260"/>
      <c r="C958" s="260"/>
      <c r="E958" s="226"/>
    </row>
    <row r="959">
      <c r="A959" s="261"/>
      <c r="B959" s="260"/>
      <c r="C959" s="260"/>
      <c r="E959" s="226"/>
    </row>
    <row r="960">
      <c r="A960" s="261"/>
      <c r="B960" s="260"/>
      <c r="C960" s="260"/>
      <c r="E960" s="226"/>
    </row>
    <row r="961">
      <c r="A961" s="261"/>
      <c r="B961" s="260"/>
      <c r="C961" s="260"/>
      <c r="E961" s="226"/>
    </row>
    <row r="962">
      <c r="A962" s="261"/>
      <c r="B962" s="260"/>
      <c r="C962" s="260"/>
      <c r="E962" s="226"/>
    </row>
    <row r="963">
      <c r="A963" s="261"/>
      <c r="B963" s="260"/>
      <c r="C963" s="260"/>
      <c r="E963" s="226"/>
    </row>
    <row r="964">
      <c r="A964" s="261"/>
      <c r="B964" s="260"/>
      <c r="C964" s="260"/>
      <c r="E964" s="226"/>
    </row>
    <row r="965">
      <c r="A965" s="261"/>
      <c r="B965" s="260"/>
      <c r="C965" s="260"/>
      <c r="E965" s="226"/>
    </row>
    <row r="966">
      <c r="A966" s="261"/>
      <c r="B966" s="260"/>
      <c r="C966" s="260"/>
      <c r="E966" s="226"/>
    </row>
    <row r="967">
      <c r="A967" s="261"/>
      <c r="B967" s="260"/>
      <c r="C967" s="260"/>
      <c r="E967" s="226"/>
    </row>
    <row r="968">
      <c r="A968" s="261"/>
      <c r="B968" s="260"/>
      <c r="C968" s="260"/>
      <c r="E968" s="226"/>
    </row>
    <row r="969">
      <c r="A969" s="261"/>
      <c r="B969" s="260"/>
      <c r="C969" s="260"/>
      <c r="E969" s="226"/>
    </row>
    <row r="970">
      <c r="A970" s="261"/>
      <c r="B970" s="260"/>
      <c r="C970" s="260"/>
      <c r="E970" s="226"/>
    </row>
    <row r="971">
      <c r="A971" s="261"/>
      <c r="B971" s="260"/>
      <c r="C971" s="260"/>
      <c r="E971" s="226"/>
    </row>
    <row r="972">
      <c r="A972" s="261"/>
      <c r="B972" s="260"/>
      <c r="C972" s="260"/>
      <c r="E972" s="226"/>
    </row>
    <row r="973">
      <c r="A973" s="261"/>
      <c r="B973" s="260"/>
      <c r="C973" s="260"/>
      <c r="E973" s="226"/>
    </row>
    <row r="974">
      <c r="A974" s="261"/>
      <c r="B974" s="260"/>
      <c r="C974" s="260"/>
      <c r="E974" s="226"/>
    </row>
    <row r="975">
      <c r="A975" s="261"/>
      <c r="B975" s="260"/>
      <c r="C975" s="260"/>
      <c r="E975" s="226"/>
    </row>
    <row r="976">
      <c r="A976" s="261"/>
      <c r="B976" s="260"/>
      <c r="C976" s="260"/>
      <c r="E976" s="226"/>
    </row>
    <row r="977">
      <c r="A977" s="261"/>
      <c r="B977" s="260"/>
      <c r="C977" s="260"/>
      <c r="E977" s="226"/>
    </row>
    <row r="978">
      <c r="A978" s="261"/>
      <c r="B978" s="260"/>
      <c r="C978" s="260"/>
      <c r="E978" s="226"/>
    </row>
    <row r="979">
      <c r="A979" s="261"/>
      <c r="B979" s="260"/>
      <c r="C979" s="260"/>
      <c r="E979" s="226"/>
    </row>
    <row r="980">
      <c r="A980" s="261"/>
      <c r="B980" s="260"/>
      <c r="C980" s="260"/>
      <c r="E980" s="226"/>
    </row>
    <row r="981">
      <c r="A981" s="261"/>
      <c r="B981" s="260"/>
      <c r="C981" s="260"/>
      <c r="E981" s="226"/>
    </row>
    <row r="982">
      <c r="A982" s="261"/>
      <c r="B982" s="260"/>
      <c r="C982" s="260"/>
      <c r="E982" s="226"/>
    </row>
    <row r="983">
      <c r="A983" s="261"/>
      <c r="B983" s="260"/>
      <c r="C983" s="260"/>
      <c r="E983" s="226"/>
    </row>
    <row r="984">
      <c r="A984" s="261"/>
      <c r="B984" s="260"/>
      <c r="C984" s="260"/>
      <c r="E984" s="226"/>
    </row>
    <row r="985">
      <c r="A985" s="261"/>
      <c r="B985" s="260"/>
      <c r="C985" s="260"/>
      <c r="E985" s="226"/>
    </row>
    <row r="986">
      <c r="A986" s="261"/>
      <c r="B986" s="260"/>
      <c r="C986" s="260"/>
      <c r="E986" s="226"/>
    </row>
    <row r="987">
      <c r="A987" s="261"/>
      <c r="B987" s="260"/>
      <c r="C987" s="260"/>
      <c r="E987" s="226"/>
    </row>
    <row r="988">
      <c r="A988" s="261"/>
      <c r="B988" s="260"/>
      <c r="C988" s="260"/>
      <c r="E988" s="226"/>
    </row>
    <row r="989">
      <c r="A989" s="261"/>
      <c r="B989" s="260"/>
      <c r="C989" s="260"/>
      <c r="E989" s="226"/>
    </row>
    <row r="990">
      <c r="A990" s="261"/>
      <c r="B990" s="260"/>
      <c r="C990" s="260"/>
      <c r="E990" s="226"/>
    </row>
    <row r="991">
      <c r="A991" s="261"/>
      <c r="B991" s="260"/>
      <c r="C991" s="260"/>
      <c r="E991" s="226"/>
    </row>
    <row r="992">
      <c r="A992" s="261"/>
      <c r="B992" s="260"/>
      <c r="C992" s="260"/>
      <c r="E992" s="226"/>
    </row>
    <row r="993">
      <c r="A993" s="261"/>
      <c r="B993" s="260"/>
      <c r="C993" s="260"/>
      <c r="E993" s="226"/>
    </row>
    <row r="994">
      <c r="A994" s="261"/>
      <c r="B994" s="260"/>
      <c r="C994" s="260"/>
      <c r="E994" s="226"/>
    </row>
    <row r="995">
      <c r="A995" s="261"/>
      <c r="B995" s="260"/>
      <c r="C995" s="260"/>
      <c r="E995" s="226"/>
    </row>
    <row r="996">
      <c r="A996" s="261"/>
      <c r="B996" s="260"/>
      <c r="C996" s="260"/>
      <c r="E996" s="226"/>
    </row>
    <row r="997">
      <c r="A997" s="261"/>
      <c r="B997" s="260"/>
      <c r="C997" s="260"/>
      <c r="E997" s="226"/>
    </row>
    <row r="998">
      <c r="A998" s="261"/>
      <c r="B998" s="260"/>
      <c r="C998" s="260"/>
      <c r="E998" s="226"/>
    </row>
    <row r="999">
      <c r="A999" s="261"/>
      <c r="B999" s="260"/>
      <c r="C999" s="260"/>
      <c r="E999" s="226"/>
    </row>
    <row r="1000">
      <c r="A1000" s="261"/>
      <c r="B1000" s="260"/>
      <c r="C1000" s="260"/>
      <c r="E1000" s="226"/>
    </row>
  </sheetData>
  <mergeCells count="3">
    <mergeCell ref="J6:K6"/>
    <mergeCell ref="M6:N6"/>
    <mergeCell ref="B2:C4"/>
  </mergeCells>
  <dataValidations>
    <dataValidation type="custom" allowBlank="1" showDropDown="1" sqref="A7:A272">
      <formula1>OR(NOT(ISERROR(DATEVALUE(A7))), AND(ISNUMBER(A7), LEFT(CELL("format", A7))="D"))</formula1>
    </dataValidation>
    <dataValidation type="custom" allowBlank="1" showDropDown="1" sqref="B7:C272">
      <formula1>AND(ISNUMBER(B7),(NOT(OR(NOT(ISERROR(DATEVALUE(B7))), AND(ISNUMBER(B7), LEFT(CELL("format", B7))="D")))))</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 customWidth="1" min="51" max="51" width="28.5"/>
    <col customWidth="1" min="52" max="52" width="24.88"/>
    <col customWidth="1" min="53" max="53" width="20.5"/>
    <col customWidth="1" min="54" max="54" width="22.0"/>
    <col customWidth="1" min="55" max="55" width="19.88"/>
  </cols>
  <sheetData>
    <row r="1" ht="15.75" customHeight="1">
      <c r="G1" s="262"/>
    </row>
    <row r="2" ht="15.75" customHeight="1">
      <c r="B2" s="263" t="s">
        <v>218</v>
      </c>
      <c r="C2" s="20"/>
      <c r="D2" s="20"/>
      <c r="E2" s="20"/>
      <c r="F2" s="20"/>
      <c r="G2" s="20"/>
      <c r="H2" s="20"/>
      <c r="I2" s="20"/>
      <c r="J2" s="20"/>
      <c r="K2" s="21"/>
      <c r="N2" s="264" t="s">
        <v>219</v>
      </c>
      <c r="O2" s="20"/>
      <c r="P2" s="20"/>
      <c r="Q2" s="20"/>
      <c r="R2" s="20"/>
      <c r="S2" s="20"/>
      <c r="T2" s="20"/>
      <c r="U2" s="20"/>
      <c r="V2" s="20"/>
      <c r="W2" s="21"/>
      <c r="Z2" s="265" t="s">
        <v>263</v>
      </c>
      <c r="AA2" s="20"/>
      <c r="AB2" s="20"/>
      <c r="AC2" s="20"/>
      <c r="AD2" s="20"/>
      <c r="AE2" s="20"/>
      <c r="AF2" s="20"/>
      <c r="AG2" s="20"/>
      <c r="AH2" s="20"/>
      <c r="AI2" s="21"/>
      <c r="AL2" s="266" t="s">
        <v>221</v>
      </c>
      <c r="AM2" s="20"/>
      <c r="AN2" s="20"/>
      <c r="AO2" s="20"/>
      <c r="AP2" s="20"/>
      <c r="AQ2" s="20"/>
      <c r="AR2" s="20"/>
      <c r="AS2" s="20"/>
      <c r="AT2" s="20"/>
      <c r="AU2" s="21"/>
    </row>
    <row r="3" ht="15.75" customHeight="1">
      <c r="B3" s="23"/>
      <c r="K3" s="24"/>
      <c r="N3" s="23"/>
      <c r="W3" s="24"/>
      <c r="Z3" s="23"/>
      <c r="AI3" s="24"/>
      <c r="AL3" s="23"/>
      <c r="AU3" s="24"/>
    </row>
    <row r="4" ht="15.75" customHeight="1">
      <c r="B4" s="28"/>
      <c r="C4" s="29"/>
      <c r="D4" s="29"/>
      <c r="E4" s="29"/>
      <c r="F4" s="29"/>
      <c r="G4" s="29"/>
      <c r="H4" s="29"/>
      <c r="I4" s="29"/>
      <c r="J4" s="29"/>
      <c r="K4" s="30"/>
      <c r="N4" s="28"/>
      <c r="O4" s="29"/>
      <c r="P4" s="29"/>
      <c r="Q4" s="29"/>
      <c r="R4" s="29"/>
      <c r="S4" s="29"/>
      <c r="T4" s="29"/>
      <c r="U4" s="29"/>
      <c r="V4" s="29"/>
      <c r="W4" s="30"/>
      <c r="Z4" s="28"/>
      <c r="AA4" s="29"/>
      <c r="AB4" s="29"/>
      <c r="AC4" s="29"/>
      <c r="AD4" s="29"/>
      <c r="AE4" s="29"/>
      <c r="AF4" s="29"/>
      <c r="AG4" s="29"/>
      <c r="AH4" s="29"/>
      <c r="AI4" s="30"/>
      <c r="AL4" s="28"/>
      <c r="AM4" s="29"/>
      <c r="AN4" s="29"/>
      <c r="AO4" s="29"/>
      <c r="AP4" s="29"/>
      <c r="AQ4" s="29"/>
      <c r="AR4" s="29"/>
      <c r="AS4" s="29"/>
      <c r="AT4" s="29"/>
      <c r="AU4" s="30"/>
    </row>
    <row r="5" ht="15.75" customHeight="1">
      <c r="G5" s="262"/>
    </row>
    <row r="6" ht="15.75" customHeight="1">
      <c r="B6" s="267" t="s">
        <v>227</v>
      </c>
      <c r="C6" s="268" t="s">
        <v>228</v>
      </c>
      <c r="D6" s="268" t="s">
        <v>229</v>
      </c>
      <c r="E6" s="268" t="s">
        <v>230</v>
      </c>
      <c r="F6" s="268" t="s">
        <v>231</v>
      </c>
      <c r="G6" s="268" t="s">
        <v>232</v>
      </c>
      <c r="H6" s="156" t="s">
        <v>233</v>
      </c>
      <c r="I6" s="156" t="s">
        <v>234</v>
      </c>
      <c r="J6" s="156" t="s">
        <v>235</v>
      </c>
      <c r="K6" s="157" t="s">
        <v>236</v>
      </c>
      <c r="N6" s="269" t="str">
        <f>IFERROR(__xludf.DUMMYFUNCTION("GOOGLEFINANCE(""NSE:ICICIBANK"", ""all"", DATE(2025,5,1), DATE(2025,5,31))"),"Date")</f>
        <v>Date</v>
      </c>
      <c r="O6" s="270" t="str">
        <f>IFERROR(__xludf.DUMMYFUNCTION("""COMPUTED_VALUE"""),"Open")</f>
        <v>Open</v>
      </c>
      <c r="P6" s="270" t="str">
        <f>IFERROR(__xludf.DUMMYFUNCTION("""COMPUTED_VALUE"""),"High")</f>
        <v>High</v>
      </c>
      <c r="Q6" s="270" t="str">
        <f>IFERROR(__xludf.DUMMYFUNCTION("""COMPUTED_VALUE"""),"Low")</f>
        <v>Low</v>
      </c>
      <c r="R6" s="270" t="str">
        <f>IFERROR(__xludf.DUMMYFUNCTION("""COMPUTED_VALUE"""),"Close")</f>
        <v>Close</v>
      </c>
      <c r="S6" s="270" t="str">
        <f>IFERROR(__xludf.DUMMYFUNCTION("""COMPUTED_VALUE"""),"Volume")</f>
        <v>Volume</v>
      </c>
      <c r="T6" s="156" t="s">
        <v>233</v>
      </c>
      <c r="U6" s="156" t="s">
        <v>234</v>
      </c>
      <c r="V6" s="156" t="s">
        <v>235</v>
      </c>
      <c r="W6" s="157" t="s">
        <v>236</v>
      </c>
      <c r="Z6" s="269" t="str">
        <f>IFERROR(__xludf.DUMMYFUNCTION("GOOGLEFINANCE(""NSE:INDUSTOWER"", ""all"", DATE(2025,5,1), DATE(2025,5,31))"),"Date")</f>
        <v>Date</v>
      </c>
      <c r="AA6" s="270" t="str">
        <f>IFERROR(__xludf.DUMMYFUNCTION("""COMPUTED_VALUE"""),"Open")</f>
        <v>Open</v>
      </c>
      <c r="AB6" s="270" t="str">
        <f>IFERROR(__xludf.DUMMYFUNCTION("""COMPUTED_VALUE"""),"High")</f>
        <v>High</v>
      </c>
      <c r="AC6" s="270" t="str">
        <f>IFERROR(__xludf.DUMMYFUNCTION("""COMPUTED_VALUE"""),"Low")</f>
        <v>Low</v>
      </c>
      <c r="AD6" s="270" t="str">
        <f>IFERROR(__xludf.DUMMYFUNCTION("""COMPUTED_VALUE"""),"Close")</f>
        <v>Close</v>
      </c>
      <c r="AE6" s="270" t="str">
        <f>IFERROR(__xludf.DUMMYFUNCTION("""COMPUTED_VALUE"""),"Volume")</f>
        <v>Volume</v>
      </c>
      <c r="AF6" s="156" t="s">
        <v>233</v>
      </c>
      <c r="AG6" s="156" t="s">
        <v>234</v>
      </c>
      <c r="AH6" s="156" t="s">
        <v>235</v>
      </c>
      <c r="AI6" s="157" t="s">
        <v>236</v>
      </c>
      <c r="AL6" s="269" t="str">
        <f>IFERROR(__xludf.DUMMYFUNCTION("GOOGLEFINANCE(""NSE:HAL"", ""all"", DATE(2025,5,1), DATE(2025,5,31))"),"Date")</f>
        <v>Date</v>
      </c>
      <c r="AM6" s="270" t="str">
        <f>IFERROR(__xludf.DUMMYFUNCTION("""COMPUTED_VALUE"""),"Open")</f>
        <v>Open</v>
      </c>
      <c r="AN6" s="270" t="str">
        <f>IFERROR(__xludf.DUMMYFUNCTION("""COMPUTED_VALUE"""),"High")</f>
        <v>High</v>
      </c>
      <c r="AO6" s="270" t="str">
        <f>IFERROR(__xludf.DUMMYFUNCTION("""COMPUTED_VALUE"""),"Low")</f>
        <v>Low</v>
      </c>
      <c r="AP6" s="270" t="str">
        <f>IFERROR(__xludf.DUMMYFUNCTION("""COMPUTED_VALUE"""),"Close")</f>
        <v>Close</v>
      </c>
      <c r="AQ6" s="270" t="str">
        <f>IFERROR(__xludf.DUMMYFUNCTION("""COMPUTED_VALUE"""),"Volume")</f>
        <v>Volume</v>
      </c>
      <c r="AR6" s="156" t="s">
        <v>233</v>
      </c>
      <c r="AS6" s="156" t="s">
        <v>234</v>
      </c>
      <c r="AT6" s="156" t="s">
        <v>235</v>
      </c>
      <c r="AU6" s="157" t="s">
        <v>236</v>
      </c>
      <c r="AW6" s="165" t="s">
        <v>237</v>
      </c>
      <c r="AY6" s="151" t="s">
        <v>223</v>
      </c>
      <c r="AZ6" s="151" t="s">
        <v>218</v>
      </c>
      <c r="BA6" s="151" t="s">
        <v>224</v>
      </c>
      <c r="BB6" s="151" t="s">
        <v>87</v>
      </c>
      <c r="BC6" s="151" t="s">
        <v>225</v>
      </c>
    </row>
    <row r="7" ht="15.75" customHeight="1">
      <c r="B7" s="271">
        <v>45779.0</v>
      </c>
      <c r="C7" s="272">
        <v>8814.12</v>
      </c>
      <c r="D7" s="272">
        <v>8877.52</v>
      </c>
      <c r="E7" s="272">
        <v>8751.92</v>
      </c>
      <c r="F7" s="272">
        <v>8801.92</v>
      </c>
      <c r="G7" s="273" t="s">
        <v>264</v>
      </c>
      <c r="H7" s="274">
        <v>0.0</v>
      </c>
      <c r="I7" s="275">
        <f>STDEV(H7:H27)*15.8745078664</f>
        <v>0.2500591826</v>
      </c>
      <c r="J7" s="276">
        <f>AVERAGE(H7:H27)</f>
        <v>0.001296091248</v>
      </c>
      <c r="K7" s="277">
        <f>(1 + J7)^252 - 1
</f>
        <v>0.3859745188</v>
      </c>
      <c r="N7" s="278">
        <f>IFERROR(__xludf.DUMMYFUNCTION("""COMPUTED_VALUE"""),45779.64583333333)</f>
        <v>45779.64583</v>
      </c>
      <c r="O7" s="279">
        <f>IFERROR(__xludf.DUMMYFUNCTION("""COMPUTED_VALUE"""),1426.9)</f>
        <v>1426.9</v>
      </c>
      <c r="P7" s="279">
        <f>IFERROR(__xludf.DUMMYFUNCTION("""COMPUTED_VALUE"""),1446.6)</f>
        <v>1446.6</v>
      </c>
      <c r="Q7" s="279">
        <f>IFERROR(__xludf.DUMMYFUNCTION("""COMPUTED_VALUE"""),1424.6)</f>
        <v>1424.6</v>
      </c>
      <c r="R7" s="279">
        <f>IFERROR(__xludf.DUMMYFUNCTION("""COMPUTED_VALUE"""),1432.4)</f>
        <v>1432.4</v>
      </c>
      <c r="S7" s="279">
        <f>IFERROR(__xludf.DUMMYFUNCTION("""COMPUTED_VALUE"""),8842434.0)</f>
        <v>8842434</v>
      </c>
      <c r="T7" s="280">
        <v>0.0</v>
      </c>
      <c r="U7" s="281">
        <f>STDEV(T7:T27)*15.8745078664</f>
        <v>0.2153236086</v>
      </c>
      <c r="V7" s="279">
        <f>AVERAGE(T7:T27)</f>
        <v>0.000443402021</v>
      </c>
      <c r="W7" s="282">
        <f>(1 + V7)^252 - 1
</f>
        <v>0.118191384</v>
      </c>
      <c r="Z7" s="278">
        <f>IFERROR(__xludf.DUMMYFUNCTION("""COMPUTED_VALUE"""),45779.64583333333)</f>
        <v>45779.64583</v>
      </c>
      <c r="AA7" s="279">
        <f>IFERROR(__xludf.DUMMYFUNCTION("""COMPUTED_VALUE"""),394.0)</f>
        <v>394</v>
      </c>
      <c r="AB7" s="279">
        <f>IFERROR(__xludf.DUMMYFUNCTION("""COMPUTED_VALUE"""),395.45)</f>
        <v>395.45</v>
      </c>
      <c r="AC7" s="279">
        <f>IFERROR(__xludf.DUMMYFUNCTION("""COMPUTED_VALUE"""),378.45)</f>
        <v>378.45</v>
      </c>
      <c r="AD7" s="279">
        <f>IFERROR(__xludf.DUMMYFUNCTION("""COMPUTED_VALUE"""),379.3)</f>
        <v>379.3</v>
      </c>
      <c r="AE7" s="279">
        <f>IFERROR(__xludf.DUMMYFUNCTION("""COMPUTED_VALUE"""),1.702877E7)</f>
        <v>17028770</v>
      </c>
      <c r="AF7" s="279">
        <v>0.0</v>
      </c>
      <c r="AG7" s="281">
        <f>STDEV(AF7:AF27)*15.8745078664</f>
        <v>0.1983093397</v>
      </c>
      <c r="AH7" s="283">
        <f>AVERAGE(AF7:AF27)</f>
        <v>0.0006050310771</v>
      </c>
      <c r="AI7" s="282">
        <f>(1 + AH7)^252 - 1
</f>
        <v>0.1646512968</v>
      </c>
      <c r="AL7" s="278">
        <f>IFERROR(__xludf.DUMMYFUNCTION("""COMPUTED_VALUE"""),45779.64583333333)</f>
        <v>45779.64583</v>
      </c>
      <c r="AM7" s="279">
        <f>IFERROR(__xludf.DUMMYFUNCTION("""COMPUTED_VALUE"""),4499.0)</f>
        <v>4499</v>
      </c>
      <c r="AN7" s="279">
        <f>IFERROR(__xludf.DUMMYFUNCTION("""COMPUTED_VALUE"""),4597.0)</f>
        <v>4597</v>
      </c>
      <c r="AO7" s="279">
        <f>IFERROR(__xludf.DUMMYFUNCTION("""COMPUTED_VALUE"""),4478.0)</f>
        <v>4478</v>
      </c>
      <c r="AP7" s="279">
        <f>IFERROR(__xludf.DUMMYFUNCTION("""COMPUTED_VALUE"""),4492.4)</f>
        <v>4492.4</v>
      </c>
      <c r="AQ7" s="279">
        <f>IFERROR(__xludf.DUMMYFUNCTION("""COMPUTED_VALUE"""),1735022.0)</f>
        <v>1735022</v>
      </c>
      <c r="AR7" s="280">
        <v>0.0</v>
      </c>
      <c r="AS7" s="281">
        <f>STDEV(AR7:AR27)*15.8745078664</f>
        <v>0.349414351</v>
      </c>
      <c r="AT7" s="279">
        <f>AVERAGE(AR7:AR27)</f>
        <v>0.004850350934</v>
      </c>
      <c r="AU7" s="282">
        <f>(1 + AT7)^252 - 1
</f>
        <v>2.384931676</v>
      </c>
      <c r="AW7" s="284">
        <v>0.0586</v>
      </c>
      <c r="AY7" s="151" t="s">
        <v>218</v>
      </c>
      <c r="AZ7" s="166">
        <f>(COVAR('Part B'!H7:H27,'Part B'!H7:H27))*252</f>
        <v>0.05955199504</v>
      </c>
      <c r="BA7" s="166">
        <f>(COVAR('Part B'!H7:H27,'Part B'!T7:T27))*252</f>
        <v>-0.01548184786</v>
      </c>
      <c r="BB7" s="166">
        <f>(COVAR('Part B'!H7:H27,'Part B'!AF7:AF27))*252</f>
        <v>-0.0178945285</v>
      </c>
      <c r="BC7" s="166">
        <f>(COVAR('Part B'!H7:H27,'Part B'!AR7:AR27))*252</f>
        <v>-0.009014716616</v>
      </c>
    </row>
    <row r="8" ht="15.75" customHeight="1">
      <c r="B8" s="271">
        <v>45782.0</v>
      </c>
      <c r="C8" s="272">
        <v>8804.12</v>
      </c>
      <c r="D8" s="272">
        <v>9045.52</v>
      </c>
      <c r="E8" s="272">
        <v>8799.12</v>
      </c>
      <c r="F8" s="272">
        <v>9036.78</v>
      </c>
      <c r="G8" s="273" t="s">
        <v>264</v>
      </c>
      <c r="H8" s="274">
        <f t="shared" ref="H8:H27" si="1">LN(F8/F7)</f>
        <v>0.02633303676</v>
      </c>
      <c r="I8" s="276"/>
      <c r="J8" s="276"/>
      <c r="K8" s="285"/>
      <c r="N8" s="278">
        <f>IFERROR(__xludf.DUMMYFUNCTION("""COMPUTED_VALUE"""),45782.64583333333)</f>
        <v>45782.64583</v>
      </c>
      <c r="O8" s="279">
        <f>IFERROR(__xludf.DUMMYFUNCTION("""COMPUTED_VALUE"""),1440.0)</f>
        <v>1440</v>
      </c>
      <c r="P8" s="279">
        <f>IFERROR(__xludf.DUMMYFUNCTION("""COMPUTED_VALUE"""),1446.8)</f>
        <v>1446.8</v>
      </c>
      <c r="Q8" s="279">
        <f>IFERROR(__xludf.DUMMYFUNCTION("""COMPUTED_VALUE"""),1426.0)</f>
        <v>1426</v>
      </c>
      <c r="R8" s="279">
        <f>IFERROR(__xludf.DUMMYFUNCTION("""COMPUTED_VALUE"""),1429.4)</f>
        <v>1429.4</v>
      </c>
      <c r="S8" s="279">
        <f>IFERROR(__xludf.DUMMYFUNCTION("""COMPUTED_VALUE"""),4565705.0)</f>
        <v>4565705</v>
      </c>
      <c r="T8" s="280">
        <f t="shared" ref="T8:T27" si="2">LN(R8/R7)</f>
        <v>-0.002096583338</v>
      </c>
      <c r="U8" s="279"/>
      <c r="V8" s="279"/>
      <c r="W8" s="286"/>
      <c r="Z8" s="278">
        <f>IFERROR(__xludf.DUMMYFUNCTION("""COMPUTED_VALUE"""),45782.64583333333)</f>
        <v>45782.64583</v>
      </c>
      <c r="AA8" s="279">
        <f>IFERROR(__xludf.DUMMYFUNCTION("""COMPUTED_VALUE"""),380.4)</f>
        <v>380.4</v>
      </c>
      <c r="AB8" s="279">
        <f>IFERROR(__xludf.DUMMYFUNCTION("""COMPUTED_VALUE"""),387.4)</f>
        <v>387.4</v>
      </c>
      <c r="AC8" s="279">
        <f>IFERROR(__xludf.DUMMYFUNCTION("""COMPUTED_VALUE"""),378.05)</f>
        <v>378.05</v>
      </c>
      <c r="AD8" s="279">
        <f>IFERROR(__xludf.DUMMYFUNCTION("""COMPUTED_VALUE"""),384.1)</f>
        <v>384.1</v>
      </c>
      <c r="AE8" s="279">
        <f>IFERROR(__xludf.DUMMYFUNCTION("""COMPUTED_VALUE"""),3295612.0)</f>
        <v>3295612</v>
      </c>
      <c r="AF8" s="279">
        <f t="shared" ref="AF8:AF27" si="3">LN(AD8/AD7)</f>
        <v>0.01257548666</v>
      </c>
      <c r="AG8" s="279"/>
      <c r="AH8" s="279"/>
      <c r="AI8" s="286"/>
      <c r="AL8" s="278">
        <f>IFERROR(__xludf.DUMMYFUNCTION("""COMPUTED_VALUE"""),45782.64583333333)</f>
        <v>45782.64583</v>
      </c>
      <c r="AM8" s="279">
        <f>IFERROR(__xludf.DUMMYFUNCTION("""COMPUTED_VALUE"""),4536.8)</f>
        <v>4536.8</v>
      </c>
      <c r="AN8" s="279">
        <f>IFERROR(__xludf.DUMMYFUNCTION("""COMPUTED_VALUE"""),4598.5)</f>
        <v>4598.5</v>
      </c>
      <c r="AO8" s="279">
        <f>IFERROR(__xludf.DUMMYFUNCTION("""COMPUTED_VALUE"""),4511.9)</f>
        <v>4511.9</v>
      </c>
      <c r="AP8" s="279">
        <f>IFERROR(__xludf.DUMMYFUNCTION("""COMPUTED_VALUE"""),4590.8)</f>
        <v>4590.8</v>
      </c>
      <c r="AQ8" s="279">
        <f>IFERROR(__xludf.DUMMYFUNCTION("""COMPUTED_VALUE"""),1497722.0)</f>
        <v>1497722</v>
      </c>
      <c r="AR8" s="280">
        <f t="shared" ref="AR8:AR27" si="4">LN(AP8/AP7)</f>
        <v>0.02166722072</v>
      </c>
      <c r="AS8" s="279"/>
      <c r="AT8" s="279"/>
      <c r="AU8" s="286"/>
      <c r="AY8" s="151" t="s">
        <v>224</v>
      </c>
      <c r="AZ8" s="166">
        <f>(COVAR('Part B'!H7:H27,'Part B'!T7:T27))*252</f>
        <v>-0.01548184786</v>
      </c>
      <c r="BA8" s="166">
        <f>(COVAR('Part B'!T7:T27,'Part B'!T7:T27))*252</f>
        <v>0.04415643469</v>
      </c>
      <c r="BB8" s="166">
        <f>(COVAR('Part B'!AF7:AF27,'Part B'!T7:T27))*252</f>
        <v>0.01275916524</v>
      </c>
      <c r="BC8" s="166">
        <f>(COVAR('Part B'!AR7:AR27,'Part B'!T7:T27))*252</f>
        <v>-0.01214131239</v>
      </c>
    </row>
    <row r="9" ht="15.75" customHeight="1">
      <c r="B9" s="271">
        <v>45783.0</v>
      </c>
      <c r="C9" s="272">
        <v>9036.12</v>
      </c>
      <c r="D9" s="272">
        <v>9311.52</v>
      </c>
      <c r="E9" s="272">
        <v>9005.52</v>
      </c>
      <c r="F9" s="272">
        <v>9300.78</v>
      </c>
      <c r="G9" s="273" t="s">
        <v>264</v>
      </c>
      <c r="H9" s="274">
        <f t="shared" si="1"/>
        <v>0.02879535135</v>
      </c>
      <c r="I9" s="276"/>
      <c r="J9" s="276"/>
      <c r="K9" s="285"/>
      <c r="N9" s="278">
        <f>IFERROR(__xludf.DUMMYFUNCTION("""COMPUTED_VALUE"""),45783.64583333333)</f>
        <v>45783.64583</v>
      </c>
      <c r="O9" s="279">
        <f>IFERROR(__xludf.DUMMYFUNCTION("""COMPUTED_VALUE"""),1429.0)</f>
        <v>1429</v>
      </c>
      <c r="P9" s="279">
        <f>IFERROR(__xludf.DUMMYFUNCTION("""COMPUTED_VALUE"""),1433.7)</f>
        <v>1433.7</v>
      </c>
      <c r="Q9" s="279">
        <f>IFERROR(__xludf.DUMMYFUNCTION("""COMPUTED_VALUE"""),1420.4)</f>
        <v>1420.4</v>
      </c>
      <c r="R9" s="279">
        <f>IFERROR(__xludf.DUMMYFUNCTION("""COMPUTED_VALUE"""),1431.6)</f>
        <v>1431.6</v>
      </c>
      <c r="S9" s="279">
        <f>IFERROR(__xludf.DUMMYFUNCTION("""COMPUTED_VALUE"""),6301690.0)</f>
        <v>6301690</v>
      </c>
      <c r="T9" s="280">
        <f t="shared" si="2"/>
        <v>0.001537924106</v>
      </c>
      <c r="U9" s="279"/>
      <c r="V9" s="279"/>
      <c r="W9" s="286"/>
      <c r="Z9" s="278">
        <f>IFERROR(__xludf.DUMMYFUNCTION("""COMPUTED_VALUE"""),45783.64583333333)</f>
        <v>45783.64583</v>
      </c>
      <c r="AA9" s="279">
        <f>IFERROR(__xludf.DUMMYFUNCTION("""COMPUTED_VALUE"""),384.9)</f>
        <v>384.9</v>
      </c>
      <c r="AB9" s="279">
        <f>IFERROR(__xludf.DUMMYFUNCTION("""COMPUTED_VALUE"""),387.5)</f>
        <v>387.5</v>
      </c>
      <c r="AC9" s="279">
        <f>IFERROR(__xludf.DUMMYFUNCTION("""COMPUTED_VALUE"""),376.55)</f>
        <v>376.55</v>
      </c>
      <c r="AD9" s="279">
        <f>IFERROR(__xludf.DUMMYFUNCTION("""COMPUTED_VALUE"""),378.9)</f>
        <v>378.9</v>
      </c>
      <c r="AE9" s="279">
        <f>IFERROR(__xludf.DUMMYFUNCTION("""COMPUTED_VALUE"""),6415596.0)</f>
        <v>6415596</v>
      </c>
      <c r="AF9" s="279">
        <f t="shared" si="3"/>
        <v>-0.01363061733</v>
      </c>
      <c r="AG9" s="279"/>
      <c r="AH9" s="279"/>
      <c r="AI9" s="286"/>
      <c r="AL9" s="278">
        <f>IFERROR(__xludf.DUMMYFUNCTION("""COMPUTED_VALUE"""),45783.64583333333)</f>
        <v>45783.64583</v>
      </c>
      <c r="AM9" s="279">
        <f>IFERROR(__xludf.DUMMYFUNCTION("""COMPUTED_VALUE"""),4602.0)</f>
        <v>4602</v>
      </c>
      <c r="AN9" s="279">
        <f>IFERROR(__xludf.DUMMYFUNCTION("""COMPUTED_VALUE"""),4675.0)</f>
        <v>4675</v>
      </c>
      <c r="AO9" s="279">
        <f>IFERROR(__xludf.DUMMYFUNCTION("""COMPUTED_VALUE"""),4490.0)</f>
        <v>4490</v>
      </c>
      <c r="AP9" s="279">
        <f>IFERROR(__xludf.DUMMYFUNCTION("""COMPUTED_VALUE"""),4507.5)</f>
        <v>4507.5</v>
      </c>
      <c r="AQ9" s="279">
        <f>IFERROR(__xludf.DUMMYFUNCTION("""COMPUTED_VALUE"""),2269493.0)</f>
        <v>2269493</v>
      </c>
      <c r="AR9" s="280">
        <f t="shared" si="4"/>
        <v>-0.01831162473</v>
      </c>
      <c r="AS9" s="279"/>
      <c r="AT9" s="279"/>
      <c r="AU9" s="286"/>
      <c r="AY9" s="151" t="s">
        <v>87</v>
      </c>
      <c r="AZ9" s="166">
        <f>(COVAR('Part B'!H7:H27,'Part B'!AF7:AF27))*252</f>
        <v>-0.0178945285</v>
      </c>
      <c r="BA9" s="166">
        <f>(COVAR('Part B'!AF7:AF27,'Part B'!T7:T27))*252</f>
        <v>0.01275916524</v>
      </c>
      <c r="BB9" s="166">
        <f>(COVAR('Part B'!AF7:AF27,'Part B'!AF7:AF27))*252</f>
        <v>0.03745389926</v>
      </c>
      <c r="BC9" s="166">
        <f>(COVAR('Part B'!AF7:AF27,'Part B'!AR7:AR27))*252</f>
        <v>0.01765224435</v>
      </c>
    </row>
    <row r="10" ht="15.75" customHeight="1">
      <c r="B10" s="271">
        <v>45784.0</v>
      </c>
      <c r="C10" s="272">
        <v>9301.12</v>
      </c>
      <c r="D10" s="272">
        <v>9319.52</v>
      </c>
      <c r="E10" s="272">
        <v>9107.12</v>
      </c>
      <c r="F10" s="272">
        <v>9164.78</v>
      </c>
      <c r="G10" s="273" t="s">
        <v>264</v>
      </c>
      <c r="H10" s="274">
        <f t="shared" si="1"/>
        <v>-0.01473039097</v>
      </c>
      <c r="I10" s="276"/>
      <c r="J10" s="276"/>
      <c r="K10" s="285"/>
      <c r="N10" s="278">
        <f>IFERROR(__xludf.DUMMYFUNCTION("""COMPUTED_VALUE"""),45784.64583333333)</f>
        <v>45784.64583</v>
      </c>
      <c r="O10" s="279">
        <f>IFERROR(__xludf.DUMMYFUNCTION("""COMPUTED_VALUE"""),1425.0)</f>
        <v>1425</v>
      </c>
      <c r="P10" s="279">
        <f>IFERROR(__xludf.DUMMYFUNCTION("""COMPUTED_VALUE"""),1442.0)</f>
        <v>1442</v>
      </c>
      <c r="Q10" s="279">
        <f>IFERROR(__xludf.DUMMYFUNCTION("""COMPUTED_VALUE"""),1421.0)</f>
        <v>1421</v>
      </c>
      <c r="R10" s="279">
        <f>IFERROR(__xludf.DUMMYFUNCTION("""COMPUTED_VALUE"""),1435.4)</f>
        <v>1435.4</v>
      </c>
      <c r="S10" s="279">
        <f>IFERROR(__xludf.DUMMYFUNCTION("""COMPUTED_VALUE"""),1.0480453E7)</f>
        <v>10480453</v>
      </c>
      <c r="T10" s="280">
        <f t="shared" si="2"/>
        <v>0.002650856104</v>
      </c>
      <c r="U10" s="279"/>
      <c r="V10" s="279"/>
      <c r="W10" s="286"/>
      <c r="Z10" s="278">
        <f>IFERROR(__xludf.DUMMYFUNCTION("""COMPUTED_VALUE"""),45784.64583333333)</f>
        <v>45784.64583</v>
      </c>
      <c r="AA10" s="279">
        <f>IFERROR(__xludf.DUMMYFUNCTION("""COMPUTED_VALUE"""),379.9)</f>
        <v>379.9</v>
      </c>
      <c r="AB10" s="279">
        <f>IFERROR(__xludf.DUMMYFUNCTION("""COMPUTED_VALUE"""),385.75)</f>
        <v>385.75</v>
      </c>
      <c r="AC10" s="279">
        <f>IFERROR(__xludf.DUMMYFUNCTION("""COMPUTED_VALUE"""),376.75)</f>
        <v>376.75</v>
      </c>
      <c r="AD10" s="279">
        <f>IFERROR(__xludf.DUMMYFUNCTION("""COMPUTED_VALUE"""),383.85)</f>
        <v>383.85</v>
      </c>
      <c r="AE10" s="279">
        <f>IFERROR(__xludf.DUMMYFUNCTION("""COMPUTED_VALUE"""),8336824.0)</f>
        <v>8336824</v>
      </c>
      <c r="AF10" s="279">
        <f t="shared" si="3"/>
        <v>0.01297953325</v>
      </c>
      <c r="AG10" s="279"/>
      <c r="AH10" s="279"/>
      <c r="AI10" s="286"/>
      <c r="AL10" s="278">
        <f>IFERROR(__xludf.DUMMYFUNCTION("""COMPUTED_VALUE"""),45784.64583333333)</f>
        <v>45784.64583</v>
      </c>
      <c r="AM10" s="279">
        <f>IFERROR(__xludf.DUMMYFUNCTION("""COMPUTED_VALUE"""),4417.4)</f>
        <v>4417.4</v>
      </c>
      <c r="AN10" s="279">
        <f>IFERROR(__xludf.DUMMYFUNCTION("""COMPUTED_VALUE"""),4591.8)</f>
        <v>4591.8</v>
      </c>
      <c r="AO10" s="279">
        <f>IFERROR(__xludf.DUMMYFUNCTION("""COMPUTED_VALUE"""),4411.8)</f>
        <v>4411.8</v>
      </c>
      <c r="AP10" s="279">
        <f>IFERROR(__xludf.DUMMYFUNCTION("""COMPUTED_VALUE"""),4470.3)</f>
        <v>4470.3</v>
      </c>
      <c r="AQ10" s="279">
        <f>IFERROR(__xludf.DUMMYFUNCTION("""COMPUTED_VALUE"""),2829729.0)</f>
        <v>2829729</v>
      </c>
      <c r="AR10" s="280">
        <f t="shared" si="4"/>
        <v>-0.008287155628</v>
      </c>
      <c r="AS10" s="279"/>
      <c r="AT10" s="279"/>
      <c r="AU10" s="286"/>
      <c r="AY10" s="151" t="s">
        <v>225</v>
      </c>
      <c r="AZ10" s="166">
        <f>(COVAR('Part B'!H7:H27,'Part B'!AR7:AR27))*252</f>
        <v>-0.009014716616</v>
      </c>
      <c r="BA10" s="166">
        <f>(COVAR('Part B'!AR7:AR27,'Part B'!T7:T27))*252</f>
        <v>-0.01214131239</v>
      </c>
      <c r="BB10" s="166">
        <f>(COVAR('Part B'!AF7:AF27,'Part B'!AR7:AR27))*252</f>
        <v>0.01765224435</v>
      </c>
      <c r="BC10" s="166">
        <f>(COVAR('Part B'!AR7:AR27,'Part B'!AR7:AR27))*252</f>
        <v>0.1162765606</v>
      </c>
    </row>
    <row r="11" ht="15.75" customHeight="1">
      <c r="B11" s="271">
        <v>45785.0</v>
      </c>
      <c r="C11" s="272">
        <v>9164.78</v>
      </c>
      <c r="D11" s="272">
        <v>9301.52</v>
      </c>
      <c r="E11" s="272">
        <v>9044.12</v>
      </c>
      <c r="F11" s="272">
        <v>9091.52</v>
      </c>
      <c r="G11" s="273" t="s">
        <v>264</v>
      </c>
      <c r="H11" s="274">
        <f t="shared" si="1"/>
        <v>-0.008025765707</v>
      </c>
      <c r="I11" s="276"/>
      <c r="J11" s="276"/>
      <c r="K11" s="285"/>
      <c r="N11" s="278">
        <f>IFERROR(__xludf.DUMMYFUNCTION("""COMPUTED_VALUE"""),45785.64583333333)</f>
        <v>45785.64583</v>
      </c>
      <c r="O11" s="279">
        <f>IFERROR(__xludf.DUMMYFUNCTION("""COMPUTED_VALUE"""),1438.6)</f>
        <v>1438.6</v>
      </c>
      <c r="P11" s="279">
        <f>IFERROR(__xludf.DUMMYFUNCTION("""COMPUTED_VALUE"""),1448.9)</f>
        <v>1448.9</v>
      </c>
      <c r="Q11" s="279">
        <f>IFERROR(__xludf.DUMMYFUNCTION("""COMPUTED_VALUE"""),1426.1)</f>
        <v>1426.1</v>
      </c>
      <c r="R11" s="279">
        <f>IFERROR(__xludf.DUMMYFUNCTION("""COMPUTED_VALUE"""),1435.5)</f>
        <v>1435.5</v>
      </c>
      <c r="S11" s="279">
        <f>IFERROR(__xludf.DUMMYFUNCTION("""COMPUTED_VALUE"""),1.530649E7)</f>
        <v>15306490</v>
      </c>
      <c r="T11" s="280">
        <f t="shared" si="2"/>
        <v>0.00006966456515</v>
      </c>
      <c r="U11" s="279"/>
      <c r="V11" s="279"/>
      <c r="W11" s="286"/>
      <c r="Z11" s="278">
        <f>IFERROR(__xludf.DUMMYFUNCTION("""COMPUTED_VALUE"""),45785.64583333333)</f>
        <v>45785.64583</v>
      </c>
      <c r="AA11" s="279">
        <f>IFERROR(__xludf.DUMMYFUNCTION("""COMPUTED_VALUE"""),383.9)</f>
        <v>383.9</v>
      </c>
      <c r="AB11" s="279">
        <f>IFERROR(__xludf.DUMMYFUNCTION("""COMPUTED_VALUE"""),395.6)</f>
        <v>395.6</v>
      </c>
      <c r="AC11" s="279">
        <f>IFERROR(__xludf.DUMMYFUNCTION("""COMPUTED_VALUE"""),380.6)</f>
        <v>380.6</v>
      </c>
      <c r="AD11" s="279">
        <f>IFERROR(__xludf.DUMMYFUNCTION("""COMPUTED_VALUE"""),384.65)</f>
        <v>384.65</v>
      </c>
      <c r="AE11" s="279">
        <f>IFERROR(__xludf.DUMMYFUNCTION("""COMPUTED_VALUE"""),1.1135804E7)</f>
        <v>11135804</v>
      </c>
      <c r="AF11" s="279">
        <f t="shared" si="3"/>
        <v>0.002081978631</v>
      </c>
      <c r="AG11" s="279"/>
      <c r="AH11" s="279"/>
      <c r="AI11" s="286"/>
      <c r="AL11" s="278">
        <f>IFERROR(__xludf.DUMMYFUNCTION("""COMPUTED_VALUE"""),45785.64583333333)</f>
        <v>45785.64583</v>
      </c>
      <c r="AM11" s="279">
        <f>IFERROR(__xludf.DUMMYFUNCTION("""COMPUTED_VALUE"""),4488.0)</f>
        <v>4488</v>
      </c>
      <c r="AN11" s="279">
        <f>IFERROR(__xludf.DUMMYFUNCTION("""COMPUTED_VALUE"""),4538.0)</f>
        <v>4538</v>
      </c>
      <c r="AO11" s="279">
        <f>IFERROR(__xludf.DUMMYFUNCTION("""COMPUTED_VALUE"""),4386.0)</f>
        <v>4386</v>
      </c>
      <c r="AP11" s="279">
        <f>IFERROR(__xludf.DUMMYFUNCTION("""COMPUTED_VALUE"""),4422.9)</f>
        <v>4422.9</v>
      </c>
      <c r="AQ11" s="279">
        <f>IFERROR(__xludf.DUMMYFUNCTION("""COMPUTED_VALUE"""),2292121.0)</f>
        <v>2292121</v>
      </c>
      <c r="AR11" s="280">
        <f t="shared" si="4"/>
        <v>-0.01065993093</v>
      </c>
      <c r="AS11" s="279"/>
      <c r="AT11" s="279"/>
      <c r="AU11" s="286"/>
    </row>
    <row r="12" ht="15.75" customHeight="1">
      <c r="B12" s="271">
        <v>45786.0</v>
      </c>
      <c r="C12" s="272">
        <v>9090.12</v>
      </c>
      <c r="D12" s="272">
        <v>9193.12</v>
      </c>
      <c r="E12" s="272">
        <v>9048.12</v>
      </c>
      <c r="F12" s="272">
        <v>9128.12</v>
      </c>
      <c r="G12" s="273" t="s">
        <v>264</v>
      </c>
      <c r="H12" s="274">
        <f t="shared" si="1"/>
        <v>0.004017647904</v>
      </c>
      <c r="I12" s="276"/>
      <c r="J12" s="276"/>
      <c r="K12" s="285"/>
      <c r="N12" s="278">
        <f>IFERROR(__xludf.DUMMYFUNCTION("""COMPUTED_VALUE"""),45786.64583333333)</f>
        <v>45786.64583</v>
      </c>
      <c r="O12" s="279">
        <f>IFERROR(__xludf.DUMMYFUNCTION("""COMPUTED_VALUE"""),1415.2)</f>
        <v>1415.2</v>
      </c>
      <c r="P12" s="279">
        <f>IFERROR(__xludf.DUMMYFUNCTION("""COMPUTED_VALUE"""),1419.9)</f>
        <v>1419.9</v>
      </c>
      <c r="Q12" s="279">
        <f>IFERROR(__xludf.DUMMYFUNCTION("""COMPUTED_VALUE"""),1387.0)</f>
        <v>1387</v>
      </c>
      <c r="R12" s="279">
        <f>IFERROR(__xludf.DUMMYFUNCTION("""COMPUTED_VALUE"""),1388.9)</f>
        <v>1388.9</v>
      </c>
      <c r="S12" s="279">
        <f>IFERROR(__xludf.DUMMYFUNCTION("""COMPUTED_VALUE"""),1.3491197E7)</f>
        <v>13491197</v>
      </c>
      <c r="T12" s="280">
        <f t="shared" si="2"/>
        <v>-0.03300115364</v>
      </c>
      <c r="U12" s="279"/>
      <c r="V12" s="279"/>
      <c r="W12" s="286"/>
      <c r="Z12" s="278">
        <f>IFERROR(__xludf.DUMMYFUNCTION("""COMPUTED_VALUE"""),45786.64583333333)</f>
        <v>45786.64583</v>
      </c>
      <c r="AA12" s="279">
        <f>IFERROR(__xludf.DUMMYFUNCTION("""COMPUTED_VALUE"""),379.4)</f>
        <v>379.4</v>
      </c>
      <c r="AB12" s="279">
        <f>IFERROR(__xludf.DUMMYFUNCTION("""COMPUTED_VALUE"""),389.85)</f>
        <v>389.85</v>
      </c>
      <c r="AC12" s="279">
        <f>IFERROR(__xludf.DUMMYFUNCTION("""COMPUTED_VALUE"""),377.6)</f>
        <v>377.6</v>
      </c>
      <c r="AD12" s="279">
        <f>IFERROR(__xludf.DUMMYFUNCTION("""COMPUTED_VALUE"""),388.2)</f>
        <v>388.2</v>
      </c>
      <c r="AE12" s="279">
        <f>IFERROR(__xludf.DUMMYFUNCTION("""COMPUTED_VALUE"""),5477155.0)</f>
        <v>5477155</v>
      </c>
      <c r="AF12" s="279">
        <f t="shared" si="3"/>
        <v>0.00918684083</v>
      </c>
      <c r="AG12" s="279"/>
      <c r="AH12" s="279"/>
      <c r="AI12" s="286"/>
      <c r="AL12" s="278">
        <f>IFERROR(__xludf.DUMMYFUNCTION("""COMPUTED_VALUE"""),45786.64583333333)</f>
        <v>45786.64583</v>
      </c>
      <c r="AM12" s="279">
        <f>IFERROR(__xludf.DUMMYFUNCTION("""COMPUTED_VALUE"""),4380.0)</f>
        <v>4380</v>
      </c>
      <c r="AN12" s="279">
        <f>IFERROR(__xludf.DUMMYFUNCTION("""COMPUTED_VALUE"""),4579.2)</f>
        <v>4579.2</v>
      </c>
      <c r="AO12" s="279">
        <f>IFERROR(__xludf.DUMMYFUNCTION("""COMPUTED_VALUE"""),4360.2)</f>
        <v>4360.2</v>
      </c>
      <c r="AP12" s="279">
        <f>IFERROR(__xludf.DUMMYFUNCTION("""COMPUTED_VALUE"""),4501.2)</f>
        <v>4501.2</v>
      </c>
      <c r="AQ12" s="279">
        <f>IFERROR(__xludf.DUMMYFUNCTION("""COMPUTED_VALUE"""),3536326.0)</f>
        <v>3536326</v>
      </c>
      <c r="AR12" s="280">
        <f t="shared" si="4"/>
        <v>0.01754843835</v>
      </c>
      <c r="AS12" s="279"/>
      <c r="AT12" s="279"/>
      <c r="AU12" s="286"/>
      <c r="AY12" s="204" t="s">
        <v>249</v>
      </c>
    </row>
    <row r="13" ht="15.75" customHeight="1">
      <c r="B13" s="271">
        <v>45789.0</v>
      </c>
      <c r="C13" s="272">
        <v>9129.52</v>
      </c>
      <c r="D13" s="272">
        <v>9131.52</v>
      </c>
      <c r="E13" s="272">
        <v>8754.78</v>
      </c>
      <c r="F13" s="272">
        <v>8827.52</v>
      </c>
      <c r="G13" s="273" t="s">
        <v>264</v>
      </c>
      <c r="H13" s="274">
        <f t="shared" si="1"/>
        <v>-0.03348564437</v>
      </c>
      <c r="I13" s="276"/>
      <c r="J13" s="276"/>
      <c r="K13" s="285"/>
      <c r="N13" s="278">
        <f>IFERROR(__xludf.DUMMYFUNCTION("""COMPUTED_VALUE"""),45789.64583333333)</f>
        <v>45789.64583</v>
      </c>
      <c r="O13" s="279">
        <f>IFERROR(__xludf.DUMMYFUNCTION("""COMPUTED_VALUE"""),1409.4)</f>
        <v>1409.4</v>
      </c>
      <c r="P13" s="279">
        <f>IFERROR(__xludf.DUMMYFUNCTION("""COMPUTED_VALUE"""),1453.0)</f>
        <v>1453</v>
      </c>
      <c r="Q13" s="279">
        <f>IFERROR(__xludf.DUMMYFUNCTION("""COMPUTED_VALUE"""),1404.0)</f>
        <v>1404</v>
      </c>
      <c r="R13" s="279">
        <f>IFERROR(__xludf.DUMMYFUNCTION("""COMPUTED_VALUE"""),1448.5)</f>
        <v>1448.5</v>
      </c>
      <c r="S13" s="279">
        <f>IFERROR(__xludf.DUMMYFUNCTION("""COMPUTED_VALUE"""),9925445.0)</f>
        <v>9925445</v>
      </c>
      <c r="T13" s="280">
        <f t="shared" si="2"/>
        <v>0.04201647129</v>
      </c>
      <c r="U13" s="279"/>
      <c r="V13" s="279"/>
      <c r="W13" s="286"/>
      <c r="Z13" s="278">
        <f>IFERROR(__xludf.DUMMYFUNCTION("""COMPUTED_VALUE"""),45789.64583333333)</f>
        <v>45789.64583</v>
      </c>
      <c r="AA13" s="279">
        <f>IFERROR(__xludf.DUMMYFUNCTION("""COMPUTED_VALUE"""),395.4)</f>
        <v>395.4</v>
      </c>
      <c r="AB13" s="279">
        <f>IFERROR(__xludf.DUMMYFUNCTION("""COMPUTED_VALUE"""),400.0)</f>
        <v>400</v>
      </c>
      <c r="AC13" s="279">
        <f>IFERROR(__xludf.DUMMYFUNCTION("""COMPUTED_VALUE"""),392.25)</f>
        <v>392.25</v>
      </c>
      <c r="AD13" s="279">
        <f>IFERROR(__xludf.DUMMYFUNCTION("""COMPUTED_VALUE"""),397.4)</f>
        <v>397.4</v>
      </c>
      <c r="AE13" s="279">
        <f>IFERROR(__xludf.DUMMYFUNCTION("""COMPUTED_VALUE"""),5386177.0)</f>
        <v>5386177</v>
      </c>
      <c r="AF13" s="279">
        <f t="shared" si="3"/>
        <v>0.02342265938</v>
      </c>
      <c r="AG13" s="279"/>
      <c r="AH13" s="279"/>
      <c r="AI13" s="286"/>
      <c r="AL13" s="278">
        <f>IFERROR(__xludf.DUMMYFUNCTION("""COMPUTED_VALUE"""),45789.64583333333)</f>
        <v>45789.64583</v>
      </c>
      <c r="AM13" s="279">
        <f>IFERROR(__xludf.DUMMYFUNCTION("""COMPUTED_VALUE"""),4603.1)</f>
        <v>4603.1</v>
      </c>
      <c r="AN13" s="279">
        <f>IFERROR(__xludf.DUMMYFUNCTION("""COMPUTED_VALUE"""),4608.0)</f>
        <v>4608</v>
      </c>
      <c r="AO13" s="279">
        <f>IFERROR(__xludf.DUMMYFUNCTION("""COMPUTED_VALUE"""),4420.0)</f>
        <v>4420</v>
      </c>
      <c r="AP13" s="279">
        <f>IFERROR(__xludf.DUMMYFUNCTION("""COMPUTED_VALUE"""),4439.7)</f>
        <v>4439.7</v>
      </c>
      <c r="AQ13" s="279">
        <f>IFERROR(__xludf.DUMMYFUNCTION("""COMPUTED_VALUE"""),4022655.0)</f>
        <v>4022655</v>
      </c>
      <c r="AR13" s="280">
        <f t="shared" si="4"/>
        <v>-0.0137572213</v>
      </c>
      <c r="AS13" s="279"/>
      <c r="AT13" s="279"/>
      <c r="AU13" s="286"/>
    </row>
    <row r="14" ht="15.75" customHeight="1">
      <c r="B14" s="271">
        <v>45790.0</v>
      </c>
      <c r="C14" s="272">
        <v>8827.52</v>
      </c>
      <c r="D14" s="272">
        <v>8946.78</v>
      </c>
      <c r="E14" s="272">
        <v>8777.12</v>
      </c>
      <c r="F14" s="272">
        <v>8910.78</v>
      </c>
      <c r="G14" s="273" t="s">
        <v>264</v>
      </c>
      <c r="H14" s="274">
        <f t="shared" si="1"/>
        <v>0.009387665274</v>
      </c>
      <c r="I14" s="276"/>
      <c r="J14" s="276"/>
      <c r="K14" s="285"/>
      <c r="N14" s="278">
        <f>IFERROR(__xludf.DUMMYFUNCTION("""COMPUTED_VALUE"""),45790.64583333333)</f>
        <v>45790.64583</v>
      </c>
      <c r="O14" s="279">
        <f>IFERROR(__xludf.DUMMYFUNCTION("""COMPUTED_VALUE"""),1440.1)</f>
        <v>1440.1</v>
      </c>
      <c r="P14" s="279">
        <f>IFERROR(__xludf.DUMMYFUNCTION("""COMPUTED_VALUE"""),1447.9)</f>
        <v>1447.9</v>
      </c>
      <c r="Q14" s="279">
        <f>IFERROR(__xludf.DUMMYFUNCTION("""COMPUTED_VALUE"""),1427.4)</f>
        <v>1427.4</v>
      </c>
      <c r="R14" s="279">
        <f>IFERROR(__xludf.DUMMYFUNCTION("""COMPUTED_VALUE"""),1430.6)</f>
        <v>1430.6</v>
      </c>
      <c r="S14" s="279">
        <f>IFERROR(__xludf.DUMMYFUNCTION("""COMPUTED_VALUE"""),1.2475424E7)</f>
        <v>12475424</v>
      </c>
      <c r="T14" s="280">
        <f t="shared" si="2"/>
        <v>-0.01243460154</v>
      </c>
      <c r="U14" s="279"/>
      <c r="V14" s="279"/>
      <c r="W14" s="286"/>
      <c r="Z14" s="278">
        <f>IFERROR(__xludf.DUMMYFUNCTION("""COMPUTED_VALUE"""),45790.64583333333)</f>
        <v>45790.64583</v>
      </c>
      <c r="AA14" s="279">
        <f>IFERROR(__xludf.DUMMYFUNCTION("""COMPUTED_VALUE"""),397.4)</f>
        <v>397.4</v>
      </c>
      <c r="AB14" s="279">
        <f>IFERROR(__xludf.DUMMYFUNCTION("""COMPUTED_VALUE"""),400.15)</f>
        <v>400.15</v>
      </c>
      <c r="AC14" s="279">
        <f>IFERROR(__xludf.DUMMYFUNCTION("""COMPUTED_VALUE"""),391.65)</f>
        <v>391.65</v>
      </c>
      <c r="AD14" s="279">
        <f>IFERROR(__xludf.DUMMYFUNCTION("""COMPUTED_VALUE"""),394.75)</f>
        <v>394.75</v>
      </c>
      <c r="AE14" s="279">
        <f>IFERROR(__xludf.DUMMYFUNCTION("""COMPUTED_VALUE"""),5876199.0)</f>
        <v>5876199</v>
      </c>
      <c r="AF14" s="279">
        <f t="shared" si="3"/>
        <v>-0.006690676982</v>
      </c>
      <c r="AG14" s="279"/>
      <c r="AH14" s="279"/>
      <c r="AI14" s="286"/>
      <c r="AL14" s="278">
        <f>IFERROR(__xludf.DUMMYFUNCTION("""COMPUTED_VALUE"""),45790.64583333333)</f>
        <v>45790.64583</v>
      </c>
      <c r="AM14" s="279">
        <f>IFERROR(__xludf.DUMMYFUNCTION("""COMPUTED_VALUE"""),4466.7)</f>
        <v>4466.7</v>
      </c>
      <c r="AN14" s="279">
        <f>IFERROR(__xludf.DUMMYFUNCTION("""COMPUTED_VALUE"""),4648.8)</f>
        <v>4648.8</v>
      </c>
      <c r="AO14" s="279">
        <f>IFERROR(__xludf.DUMMYFUNCTION("""COMPUTED_VALUE"""),4460.7)</f>
        <v>4460.7</v>
      </c>
      <c r="AP14" s="279">
        <f>IFERROR(__xludf.DUMMYFUNCTION("""COMPUTED_VALUE"""),4609.8)</f>
        <v>4609.8</v>
      </c>
      <c r="AQ14" s="279">
        <f>IFERROR(__xludf.DUMMYFUNCTION("""COMPUTED_VALUE"""),4339805.0)</f>
        <v>4339805</v>
      </c>
      <c r="AR14" s="280">
        <f t="shared" si="4"/>
        <v>0.03759766553</v>
      </c>
      <c r="AS14" s="279"/>
      <c r="AT14" s="279"/>
      <c r="AU14" s="286"/>
      <c r="AY14" s="287" t="s">
        <v>240</v>
      </c>
      <c r="AZ14" s="193" t="s">
        <v>218</v>
      </c>
      <c r="BA14" s="194" t="s">
        <v>224</v>
      </c>
      <c r="BB14" s="194" t="s">
        <v>87</v>
      </c>
      <c r="BC14" s="194" t="s">
        <v>225</v>
      </c>
      <c r="BD14" s="288"/>
    </row>
    <row r="15" ht="15.75" customHeight="1">
      <c r="B15" s="271">
        <v>45791.0</v>
      </c>
      <c r="C15" s="272">
        <v>8903.12</v>
      </c>
      <c r="D15" s="272">
        <v>8930.12</v>
      </c>
      <c r="E15" s="272">
        <v>8697.52</v>
      </c>
      <c r="F15" s="272">
        <v>8723.12</v>
      </c>
      <c r="G15" s="273" t="s">
        <v>264</v>
      </c>
      <c r="H15" s="274">
        <f t="shared" si="1"/>
        <v>-0.02128480765</v>
      </c>
      <c r="I15" s="276"/>
      <c r="J15" s="276"/>
      <c r="K15" s="285"/>
      <c r="N15" s="278">
        <f>IFERROR(__xludf.DUMMYFUNCTION("""COMPUTED_VALUE"""),45791.64583333333)</f>
        <v>45791.64583</v>
      </c>
      <c r="O15" s="279">
        <f>IFERROR(__xludf.DUMMYFUNCTION("""COMPUTED_VALUE"""),1429.9)</f>
        <v>1429.9</v>
      </c>
      <c r="P15" s="279">
        <f>IFERROR(__xludf.DUMMYFUNCTION("""COMPUTED_VALUE"""),1440.7)</f>
        <v>1440.7</v>
      </c>
      <c r="Q15" s="279">
        <f>IFERROR(__xludf.DUMMYFUNCTION("""COMPUTED_VALUE"""),1417.3)</f>
        <v>1417.3</v>
      </c>
      <c r="R15" s="279">
        <f>IFERROR(__xludf.DUMMYFUNCTION("""COMPUTED_VALUE"""),1426.2)</f>
        <v>1426.2</v>
      </c>
      <c r="S15" s="279">
        <f>IFERROR(__xludf.DUMMYFUNCTION("""COMPUTED_VALUE"""),8026837.0)</f>
        <v>8026837</v>
      </c>
      <c r="T15" s="280">
        <f t="shared" si="2"/>
        <v>-0.00308037208</v>
      </c>
      <c r="U15" s="279"/>
      <c r="V15" s="279"/>
      <c r="W15" s="286"/>
      <c r="Z15" s="278">
        <f>IFERROR(__xludf.DUMMYFUNCTION("""COMPUTED_VALUE"""),45791.64583333333)</f>
        <v>45791.64583</v>
      </c>
      <c r="AA15" s="279">
        <f>IFERROR(__xludf.DUMMYFUNCTION("""COMPUTED_VALUE"""),396.75)</f>
        <v>396.75</v>
      </c>
      <c r="AB15" s="279">
        <f>IFERROR(__xludf.DUMMYFUNCTION("""COMPUTED_VALUE"""),398.95)</f>
        <v>398.95</v>
      </c>
      <c r="AC15" s="279">
        <f>IFERROR(__xludf.DUMMYFUNCTION("""COMPUTED_VALUE"""),392.05)</f>
        <v>392.05</v>
      </c>
      <c r="AD15" s="279">
        <f>IFERROR(__xludf.DUMMYFUNCTION("""COMPUTED_VALUE"""),396.0)</f>
        <v>396</v>
      </c>
      <c r="AE15" s="279">
        <f>IFERROR(__xludf.DUMMYFUNCTION("""COMPUTED_VALUE"""),6920703.0)</f>
        <v>6920703</v>
      </c>
      <c r="AF15" s="279">
        <f t="shared" si="3"/>
        <v>0.003161558119</v>
      </c>
      <c r="AG15" s="279"/>
      <c r="AH15" s="279"/>
      <c r="AI15" s="286"/>
      <c r="AL15" s="278">
        <f>IFERROR(__xludf.DUMMYFUNCTION("""COMPUTED_VALUE"""),45791.64583333333)</f>
        <v>45791.64583</v>
      </c>
      <c r="AM15" s="279">
        <f>IFERROR(__xludf.DUMMYFUNCTION("""COMPUTED_VALUE"""),4647.9)</f>
        <v>4647.9</v>
      </c>
      <c r="AN15" s="279">
        <f>IFERROR(__xludf.DUMMYFUNCTION("""COMPUTED_VALUE"""),4798.0)</f>
        <v>4798</v>
      </c>
      <c r="AO15" s="279">
        <f>IFERROR(__xludf.DUMMYFUNCTION("""COMPUTED_VALUE"""),4580.1)</f>
        <v>4580.1</v>
      </c>
      <c r="AP15" s="279">
        <f>IFERROR(__xludf.DUMMYFUNCTION("""COMPUTED_VALUE"""),4768.0)</f>
        <v>4768</v>
      </c>
      <c r="AQ15" s="279">
        <f>IFERROR(__xludf.DUMMYFUNCTION("""COMPUTED_VALUE"""),8438062.0)</f>
        <v>8438062</v>
      </c>
      <c r="AR15" s="280">
        <f t="shared" si="4"/>
        <v>0.03374245764</v>
      </c>
      <c r="AS15" s="279"/>
      <c r="AT15" s="279"/>
      <c r="AU15" s="286"/>
      <c r="AY15" s="287" t="s">
        <v>241</v>
      </c>
      <c r="AZ15" s="289">
        <v>0.742</v>
      </c>
      <c r="BA15" s="289">
        <v>0.2577</v>
      </c>
      <c r="BB15" s="289">
        <v>-0.0048</v>
      </c>
      <c r="BC15" s="289">
        <v>0.005</v>
      </c>
      <c r="BD15" s="290"/>
    </row>
    <row r="16" ht="15.75" customHeight="1">
      <c r="B16" s="271">
        <v>45792.0</v>
      </c>
      <c r="C16" s="272">
        <v>8723.12</v>
      </c>
      <c r="D16" s="272">
        <v>8913.52</v>
      </c>
      <c r="E16" s="272">
        <v>8600.12</v>
      </c>
      <c r="F16" s="272">
        <v>8912.12</v>
      </c>
      <c r="G16" s="273" t="s">
        <v>264</v>
      </c>
      <c r="H16" s="274">
        <f t="shared" si="1"/>
        <v>0.02143517599</v>
      </c>
      <c r="I16" s="276"/>
      <c r="J16" s="276"/>
      <c r="K16" s="285"/>
      <c r="N16" s="278">
        <f>IFERROR(__xludf.DUMMYFUNCTION("""COMPUTED_VALUE"""),45792.64583333333)</f>
        <v>45792.64583</v>
      </c>
      <c r="O16" s="279">
        <f>IFERROR(__xludf.DUMMYFUNCTION("""COMPUTED_VALUE"""),1425.9)</f>
        <v>1425.9</v>
      </c>
      <c r="P16" s="279">
        <f>IFERROR(__xludf.DUMMYFUNCTION("""COMPUTED_VALUE"""),1456.5)</f>
        <v>1456.5</v>
      </c>
      <c r="Q16" s="279">
        <f>IFERROR(__xludf.DUMMYFUNCTION("""COMPUTED_VALUE"""),1415.5)</f>
        <v>1415.5</v>
      </c>
      <c r="R16" s="279">
        <f>IFERROR(__xludf.DUMMYFUNCTION("""COMPUTED_VALUE"""),1450.8)</f>
        <v>1450.8</v>
      </c>
      <c r="S16" s="279">
        <f>IFERROR(__xludf.DUMMYFUNCTION("""COMPUTED_VALUE"""),1.8209264E7)</f>
        <v>18209264</v>
      </c>
      <c r="T16" s="280">
        <f t="shared" si="2"/>
        <v>0.01710156381</v>
      </c>
      <c r="U16" s="279"/>
      <c r="V16" s="279"/>
      <c r="W16" s="286"/>
      <c r="Z16" s="278">
        <f>IFERROR(__xludf.DUMMYFUNCTION("""COMPUTED_VALUE"""),45792.64583333333)</f>
        <v>45792.64583</v>
      </c>
      <c r="AA16" s="279">
        <f>IFERROR(__xludf.DUMMYFUNCTION("""COMPUTED_VALUE"""),395.25)</f>
        <v>395.25</v>
      </c>
      <c r="AB16" s="279">
        <f>IFERROR(__xludf.DUMMYFUNCTION("""COMPUTED_VALUE"""),400.45)</f>
        <v>400.45</v>
      </c>
      <c r="AC16" s="279">
        <f>IFERROR(__xludf.DUMMYFUNCTION("""COMPUTED_VALUE"""),391.25)</f>
        <v>391.25</v>
      </c>
      <c r="AD16" s="279">
        <f>IFERROR(__xludf.DUMMYFUNCTION("""COMPUTED_VALUE"""),396.95)</f>
        <v>396.95</v>
      </c>
      <c r="AE16" s="279">
        <f>IFERROR(__xludf.DUMMYFUNCTION("""COMPUTED_VALUE"""),7283759.0)</f>
        <v>7283759</v>
      </c>
      <c r="AF16" s="279">
        <f t="shared" si="3"/>
        <v>0.002396116917</v>
      </c>
      <c r="AG16" s="279"/>
      <c r="AH16" s="279"/>
      <c r="AI16" s="286"/>
      <c r="AL16" s="278">
        <f>IFERROR(__xludf.DUMMYFUNCTION("""COMPUTED_VALUE"""),45792.64583333333)</f>
        <v>45792.64583</v>
      </c>
      <c r="AM16" s="279">
        <f>IFERROR(__xludf.DUMMYFUNCTION("""COMPUTED_VALUE"""),4825.0)</f>
        <v>4825</v>
      </c>
      <c r="AN16" s="279">
        <f>IFERROR(__xludf.DUMMYFUNCTION("""COMPUTED_VALUE"""),4883.0)</f>
        <v>4883</v>
      </c>
      <c r="AO16" s="279">
        <f>IFERROR(__xludf.DUMMYFUNCTION("""COMPUTED_VALUE"""),4747.2)</f>
        <v>4747.2</v>
      </c>
      <c r="AP16" s="279">
        <f>IFERROR(__xludf.DUMMYFUNCTION("""COMPUTED_VALUE"""),4864.8)</f>
        <v>4864.8</v>
      </c>
      <c r="AQ16" s="279">
        <f>IFERROR(__xludf.DUMMYFUNCTION("""COMPUTED_VALUE"""),4873995.0)</f>
        <v>4873995</v>
      </c>
      <c r="AR16" s="280">
        <f t="shared" si="4"/>
        <v>0.02009867506</v>
      </c>
      <c r="AS16" s="279"/>
      <c r="AT16" s="279"/>
      <c r="AU16" s="286"/>
      <c r="AY16" s="194" t="s">
        <v>236</v>
      </c>
      <c r="AZ16" s="291">
        <f>(1 + 'Part B'!$J$7)^252 - 1
</f>
        <v>0.3859745188</v>
      </c>
      <c r="BA16" s="291">
        <f>(1 + 'Part B'!$V$7)^252 - 1
</f>
        <v>0.118191384</v>
      </c>
      <c r="BB16" s="291">
        <f>(1 + 'Part B'!$AH$7)^252 - 1
</f>
        <v>0.1646512968</v>
      </c>
      <c r="BC16" s="291">
        <f>(1 + 'Part B'!$AT$7)^252 - 1
</f>
        <v>2.384931676</v>
      </c>
      <c r="BD16" s="288"/>
    </row>
    <row r="17" ht="15.75" customHeight="1">
      <c r="B17" s="271">
        <v>45793.0</v>
      </c>
      <c r="C17" s="272">
        <v>8911.52</v>
      </c>
      <c r="D17" s="272">
        <v>8934.12</v>
      </c>
      <c r="E17" s="272">
        <v>8681.12</v>
      </c>
      <c r="F17" s="272">
        <v>8803.52</v>
      </c>
      <c r="G17" s="273" t="s">
        <v>264</v>
      </c>
      <c r="H17" s="274">
        <f t="shared" si="1"/>
        <v>-0.01226050658</v>
      </c>
      <c r="I17" s="276"/>
      <c r="J17" s="276"/>
      <c r="K17" s="285"/>
      <c r="N17" s="278">
        <f>IFERROR(__xludf.DUMMYFUNCTION("""COMPUTED_VALUE"""),45793.64583333333)</f>
        <v>45793.64583</v>
      </c>
      <c r="O17" s="279">
        <f>IFERROR(__xludf.DUMMYFUNCTION("""COMPUTED_VALUE"""),1453.3)</f>
        <v>1453.3</v>
      </c>
      <c r="P17" s="279">
        <f>IFERROR(__xludf.DUMMYFUNCTION("""COMPUTED_VALUE"""),1458.7)</f>
        <v>1458.7</v>
      </c>
      <c r="Q17" s="279">
        <f>IFERROR(__xludf.DUMMYFUNCTION("""COMPUTED_VALUE"""),1447.0)</f>
        <v>1447</v>
      </c>
      <c r="R17" s="279">
        <f>IFERROR(__xludf.DUMMYFUNCTION("""COMPUTED_VALUE"""),1454.0)</f>
        <v>1454</v>
      </c>
      <c r="S17" s="279">
        <f>IFERROR(__xludf.DUMMYFUNCTION("""COMPUTED_VALUE"""),6439208.0)</f>
        <v>6439208</v>
      </c>
      <c r="T17" s="280">
        <f t="shared" si="2"/>
        <v>0.002203250685</v>
      </c>
      <c r="U17" s="279"/>
      <c r="V17" s="279"/>
      <c r="W17" s="286"/>
      <c r="Z17" s="278">
        <f>IFERROR(__xludf.DUMMYFUNCTION("""COMPUTED_VALUE"""),45793.64583333333)</f>
        <v>45793.64583</v>
      </c>
      <c r="AA17" s="279">
        <f>IFERROR(__xludf.DUMMYFUNCTION("""COMPUTED_VALUE"""),397.7)</f>
        <v>397.7</v>
      </c>
      <c r="AB17" s="279">
        <f>IFERROR(__xludf.DUMMYFUNCTION("""COMPUTED_VALUE"""),407.35)</f>
        <v>407.35</v>
      </c>
      <c r="AC17" s="279">
        <f>IFERROR(__xludf.DUMMYFUNCTION("""COMPUTED_VALUE"""),396.1)</f>
        <v>396.1</v>
      </c>
      <c r="AD17" s="279">
        <f>IFERROR(__xludf.DUMMYFUNCTION("""COMPUTED_VALUE"""),400.45)</f>
        <v>400.45</v>
      </c>
      <c r="AE17" s="279">
        <f>IFERROR(__xludf.DUMMYFUNCTION("""COMPUTED_VALUE"""),5908953.0)</f>
        <v>5908953</v>
      </c>
      <c r="AF17" s="279">
        <f t="shared" si="3"/>
        <v>0.008778586599</v>
      </c>
      <c r="AG17" s="279"/>
      <c r="AH17" s="279"/>
      <c r="AI17" s="286"/>
      <c r="AL17" s="278">
        <f>IFERROR(__xludf.DUMMYFUNCTION("""COMPUTED_VALUE"""),45793.64583333333)</f>
        <v>45793.64583</v>
      </c>
      <c r="AM17" s="279">
        <f>IFERROR(__xludf.DUMMYFUNCTION("""COMPUTED_VALUE"""),4874.0)</f>
        <v>4874</v>
      </c>
      <c r="AN17" s="279">
        <f>IFERROR(__xludf.DUMMYFUNCTION("""COMPUTED_VALUE"""),5165.0)</f>
        <v>5165</v>
      </c>
      <c r="AO17" s="279">
        <f>IFERROR(__xludf.DUMMYFUNCTION("""COMPUTED_VALUE"""),4833.6)</f>
        <v>4833.6</v>
      </c>
      <c r="AP17" s="279">
        <f>IFERROR(__xludf.DUMMYFUNCTION("""COMPUTED_VALUE"""),5127.7)</f>
        <v>5127.7</v>
      </c>
      <c r="AQ17" s="279">
        <f>IFERROR(__xludf.DUMMYFUNCTION("""COMPUTED_VALUE"""),6753397.0)</f>
        <v>6753397</v>
      </c>
      <c r="AR17" s="280">
        <f t="shared" si="4"/>
        <v>0.05263161074</v>
      </c>
      <c r="AS17" s="279"/>
      <c r="AT17" s="279"/>
      <c r="AU17" s="286"/>
      <c r="AY17" s="199" t="s">
        <v>234</v>
      </c>
      <c r="AZ17" s="292">
        <f>STDEV('Part B'!$H$7:$H$27)*15.8745078664</f>
        <v>0.2500591826</v>
      </c>
      <c r="BA17" s="292">
        <f>STDEV('Part B'!$T$7:$T$27)*15.8745078664</f>
        <v>0.2153236086</v>
      </c>
      <c r="BB17" s="292">
        <f>STDEV('Part B'!$AF$7:$AF$27)*15.8745078664</f>
        <v>0.1983093397</v>
      </c>
      <c r="BC17" s="292">
        <f>STDEV('Part B'!$AR$7:$AR$27)*15.8745078664</f>
        <v>0.349414351</v>
      </c>
      <c r="BD17" s="288"/>
    </row>
    <row r="18" ht="15.75" customHeight="1">
      <c r="B18" s="271">
        <v>45796.0</v>
      </c>
      <c r="C18" s="272">
        <v>8844.78</v>
      </c>
      <c r="D18" s="272">
        <v>8933.12</v>
      </c>
      <c r="E18" s="272">
        <v>8814.12</v>
      </c>
      <c r="F18" s="272">
        <v>8866.12</v>
      </c>
      <c r="G18" s="273" t="s">
        <v>264</v>
      </c>
      <c r="H18" s="274">
        <f t="shared" si="1"/>
        <v>0.007085629578</v>
      </c>
      <c r="I18" s="276"/>
      <c r="J18" s="276"/>
      <c r="K18" s="285"/>
      <c r="N18" s="278">
        <f>IFERROR(__xludf.DUMMYFUNCTION("""COMPUTED_VALUE"""),45796.64583333333)</f>
        <v>45796.64583</v>
      </c>
      <c r="O18" s="279">
        <f>IFERROR(__xludf.DUMMYFUNCTION("""COMPUTED_VALUE"""),1446.5)</f>
        <v>1446.5</v>
      </c>
      <c r="P18" s="279">
        <f>IFERROR(__xludf.DUMMYFUNCTION("""COMPUTED_VALUE"""),1459.7)</f>
        <v>1459.7</v>
      </c>
      <c r="Q18" s="279">
        <f>IFERROR(__xludf.DUMMYFUNCTION("""COMPUTED_VALUE"""),1443.8)</f>
        <v>1443.8</v>
      </c>
      <c r="R18" s="279">
        <f>IFERROR(__xludf.DUMMYFUNCTION("""COMPUTED_VALUE"""),1449.0)</f>
        <v>1449</v>
      </c>
      <c r="S18" s="279">
        <f>IFERROR(__xludf.DUMMYFUNCTION("""COMPUTED_VALUE"""),6005334.0)</f>
        <v>6005334</v>
      </c>
      <c r="T18" s="280">
        <f t="shared" si="2"/>
        <v>-0.003444715773</v>
      </c>
      <c r="U18" s="279"/>
      <c r="V18" s="279"/>
      <c r="W18" s="286"/>
      <c r="Z18" s="278">
        <f>IFERROR(__xludf.DUMMYFUNCTION("""COMPUTED_VALUE"""),45796.64583333333)</f>
        <v>45796.64583</v>
      </c>
      <c r="AA18" s="279">
        <f>IFERROR(__xludf.DUMMYFUNCTION("""COMPUTED_VALUE"""),402.25)</f>
        <v>402.25</v>
      </c>
      <c r="AB18" s="279">
        <f>IFERROR(__xludf.DUMMYFUNCTION("""COMPUTED_VALUE"""),403.9)</f>
        <v>403.9</v>
      </c>
      <c r="AC18" s="279">
        <f>IFERROR(__xludf.DUMMYFUNCTION("""COMPUTED_VALUE"""),382.0)</f>
        <v>382</v>
      </c>
      <c r="AD18" s="279">
        <f>IFERROR(__xludf.DUMMYFUNCTION("""COMPUTED_VALUE"""),389.1)</f>
        <v>389.1</v>
      </c>
      <c r="AE18" s="279">
        <f>IFERROR(__xludf.DUMMYFUNCTION("""COMPUTED_VALUE"""),1.1516967E7)</f>
        <v>11516967</v>
      </c>
      <c r="AF18" s="279">
        <f t="shared" si="3"/>
        <v>-0.02875253478</v>
      </c>
      <c r="AG18" s="279"/>
      <c r="AH18" s="279"/>
      <c r="AI18" s="286"/>
      <c r="AL18" s="278">
        <f>IFERROR(__xludf.DUMMYFUNCTION("""COMPUTED_VALUE"""),45796.64583333333)</f>
        <v>45796.64583</v>
      </c>
      <c r="AM18" s="279">
        <f>IFERROR(__xludf.DUMMYFUNCTION("""COMPUTED_VALUE"""),5140.0)</f>
        <v>5140</v>
      </c>
      <c r="AN18" s="279">
        <f>IFERROR(__xludf.DUMMYFUNCTION("""COMPUTED_VALUE"""),5157.9)</f>
        <v>5157.9</v>
      </c>
      <c r="AO18" s="279">
        <f>IFERROR(__xludf.DUMMYFUNCTION("""COMPUTED_VALUE"""),4972.0)</f>
        <v>4972</v>
      </c>
      <c r="AP18" s="279">
        <f>IFERROR(__xludf.DUMMYFUNCTION("""COMPUTED_VALUE"""),5016.3)</f>
        <v>5016.3</v>
      </c>
      <c r="AQ18" s="279">
        <f>IFERROR(__xludf.DUMMYFUNCTION("""COMPUTED_VALUE"""),4803284.0)</f>
        <v>4803284</v>
      </c>
      <c r="AR18" s="280">
        <f t="shared" si="4"/>
        <v>-0.02196460541</v>
      </c>
      <c r="AS18" s="279"/>
      <c r="AT18" s="279"/>
      <c r="AU18" s="286"/>
      <c r="AY18" s="193" t="s">
        <v>242</v>
      </c>
      <c r="AZ18" s="193" t="s">
        <v>243</v>
      </c>
      <c r="BA18" s="193" t="s">
        <v>244</v>
      </c>
      <c r="BB18" s="193" t="s">
        <v>245</v>
      </c>
      <c r="BC18" s="193" t="s">
        <v>246</v>
      </c>
      <c r="BD18" s="193" t="s">
        <v>247</v>
      </c>
    </row>
    <row r="19" ht="15.75" customHeight="1">
      <c r="B19" s="271">
        <v>45797.0</v>
      </c>
      <c r="C19" s="272">
        <v>8867.52</v>
      </c>
      <c r="D19" s="272">
        <v>9065.12</v>
      </c>
      <c r="E19" s="272">
        <v>8800.78</v>
      </c>
      <c r="F19" s="272">
        <v>9048.12</v>
      </c>
      <c r="G19" s="273" t="s">
        <v>264</v>
      </c>
      <c r="H19" s="274">
        <f t="shared" si="1"/>
        <v>0.02031973024</v>
      </c>
      <c r="I19" s="276"/>
      <c r="J19" s="276"/>
      <c r="K19" s="285"/>
      <c r="N19" s="278">
        <f>IFERROR(__xludf.DUMMYFUNCTION("""COMPUTED_VALUE"""),45797.64583333333)</f>
        <v>45797.64583</v>
      </c>
      <c r="O19" s="279">
        <f>IFERROR(__xludf.DUMMYFUNCTION("""COMPUTED_VALUE"""),1450.2)</f>
        <v>1450.2</v>
      </c>
      <c r="P19" s="279">
        <f>IFERROR(__xludf.DUMMYFUNCTION("""COMPUTED_VALUE"""),1459.0)</f>
        <v>1459</v>
      </c>
      <c r="Q19" s="279">
        <f>IFERROR(__xludf.DUMMYFUNCTION("""COMPUTED_VALUE"""),1435.5)</f>
        <v>1435.5</v>
      </c>
      <c r="R19" s="279">
        <f>IFERROR(__xludf.DUMMYFUNCTION("""COMPUTED_VALUE"""),1438.2)</f>
        <v>1438.2</v>
      </c>
      <c r="S19" s="279">
        <f>IFERROR(__xludf.DUMMYFUNCTION("""COMPUTED_VALUE"""),1.1352383E7)</f>
        <v>11352383</v>
      </c>
      <c r="T19" s="280">
        <f t="shared" si="2"/>
        <v>-0.007481331652</v>
      </c>
      <c r="U19" s="279"/>
      <c r="V19" s="279"/>
      <c r="W19" s="286"/>
      <c r="Z19" s="278">
        <f>IFERROR(__xludf.DUMMYFUNCTION("""COMPUTED_VALUE"""),45797.64583333333)</f>
        <v>45797.64583</v>
      </c>
      <c r="AA19" s="279">
        <f>IFERROR(__xludf.DUMMYFUNCTION("""COMPUTED_VALUE"""),389.1)</f>
        <v>389.1</v>
      </c>
      <c r="AB19" s="279">
        <f>IFERROR(__xludf.DUMMYFUNCTION("""COMPUTED_VALUE"""),392.5)</f>
        <v>392.5</v>
      </c>
      <c r="AC19" s="279">
        <f>IFERROR(__xludf.DUMMYFUNCTION("""COMPUTED_VALUE"""),384.85)</f>
        <v>384.85</v>
      </c>
      <c r="AD19" s="279">
        <f>IFERROR(__xludf.DUMMYFUNCTION("""COMPUTED_VALUE"""),386.5)</f>
        <v>386.5</v>
      </c>
      <c r="AE19" s="279">
        <f>IFERROR(__xludf.DUMMYFUNCTION("""COMPUTED_VALUE"""),5699529.0)</f>
        <v>5699529</v>
      </c>
      <c r="AF19" s="279">
        <f t="shared" si="3"/>
        <v>-0.006704511963</v>
      </c>
      <c r="AG19" s="279"/>
      <c r="AH19" s="279"/>
      <c r="AI19" s="286"/>
      <c r="AL19" s="278">
        <f>IFERROR(__xludf.DUMMYFUNCTION("""COMPUTED_VALUE"""),45797.64583333333)</f>
        <v>45797.64583</v>
      </c>
      <c r="AM19" s="279">
        <f>IFERROR(__xludf.DUMMYFUNCTION("""COMPUTED_VALUE"""),4950.0)</f>
        <v>4950</v>
      </c>
      <c r="AN19" s="279">
        <f>IFERROR(__xludf.DUMMYFUNCTION("""COMPUTED_VALUE"""),4998.7)</f>
        <v>4998.7</v>
      </c>
      <c r="AO19" s="279">
        <f>IFERROR(__xludf.DUMMYFUNCTION("""COMPUTED_VALUE"""),4838.1)</f>
        <v>4838.1</v>
      </c>
      <c r="AP19" s="279">
        <f>IFERROR(__xludf.DUMMYFUNCTION("""COMPUTED_VALUE"""),4851.3)</f>
        <v>4851.3</v>
      </c>
      <c r="AQ19" s="279">
        <f>IFERROR(__xludf.DUMMYFUNCTION("""COMPUTED_VALUE"""),3939528.0)</f>
        <v>3939528</v>
      </c>
      <c r="AR19" s="280">
        <f t="shared" si="4"/>
        <v>-0.03344589988</v>
      </c>
      <c r="AS19" s="279"/>
      <c r="AT19" s="279"/>
      <c r="AU19" s="286"/>
      <c r="AY19" s="193" t="s">
        <v>248</v>
      </c>
      <c r="AZ19" s="293">
        <f t="array" ref="AZ19">MMULT(AZ15:BC15, TRANSPOSE(AZ16:BC16))</f>
        <v>0.3279853448</v>
      </c>
      <c r="BA19" s="294">
        <f t="array" ref="BA19">MMULT(AZ15:BC15, MMULT(AZ7:BC10, TRANSPOSE(AZ15:BC15)))</f>
        <v>0.02979955488</v>
      </c>
      <c r="BB19" s="294">
        <f>SQRT(BA19)</f>
        <v>0.1726254757</v>
      </c>
      <c r="BC19" s="293">
        <f>SQRT(BA19)</f>
        <v>0.1726254757</v>
      </c>
      <c r="BD19" s="194">
        <f>(AZ19-'Part A'!BV21)/(BC19)</f>
        <v>1.899982279</v>
      </c>
    </row>
    <row r="20" ht="15.75" customHeight="1">
      <c r="B20" s="271">
        <v>45798.0</v>
      </c>
      <c r="C20" s="272">
        <v>9048.78</v>
      </c>
      <c r="D20" s="272">
        <v>9150.78</v>
      </c>
      <c r="E20" s="272">
        <v>9033.12</v>
      </c>
      <c r="F20" s="272">
        <v>9123.12</v>
      </c>
      <c r="G20" s="273" t="s">
        <v>264</v>
      </c>
      <c r="H20" s="274">
        <f t="shared" si="1"/>
        <v>0.008254849519</v>
      </c>
      <c r="I20" s="276"/>
      <c r="J20" s="276"/>
      <c r="K20" s="285"/>
      <c r="N20" s="278">
        <f>IFERROR(__xludf.DUMMYFUNCTION("""COMPUTED_VALUE"""),45798.64583333333)</f>
        <v>45798.64583</v>
      </c>
      <c r="O20" s="279">
        <f>IFERROR(__xludf.DUMMYFUNCTION("""COMPUTED_VALUE"""),1442.9)</f>
        <v>1442.9</v>
      </c>
      <c r="P20" s="279">
        <f>IFERROR(__xludf.DUMMYFUNCTION("""COMPUTED_VALUE"""),1451.3)</f>
        <v>1451.3</v>
      </c>
      <c r="Q20" s="279">
        <f>IFERROR(__xludf.DUMMYFUNCTION("""COMPUTED_VALUE"""),1438.5)</f>
        <v>1438.5</v>
      </c>
      <c r="R20" s="279">
        <f>IFERROR(__xludf.DUMMYFUNCTION("""COMPUTED_VALUE"""),1444.7)</f>
        <v>1444.7</v>
      </c>
      <c r="S20" s="279">
        <f>IFERROR(__xludf.DUMMYFUNCTION("""COMPUTED_VALUE"""),5510460.0)</f>
        <v>5510460</v>
      </c>
      <c r="T20" s="280">
        <f t="shared" si="2"/>
        <v>0.004509355867</v>
      </c>
      <c r="U20" s="279"/>
      <c r="V20" s="279"/>
      <c r="W20" s="286"/>
      <c r="Z20" s="278">
        <f>IFERROR(__xludf.DUMMYFUNCTION("""COMPUTED_VALUE"""),45798.64583333333)</f>
        <v>45798.64583</v>
      </c>
      <c r="AA20" s="279">
        <f>IFERROR(__xludf.DUMMYFUNCTION("""COMPUTED_VALUE"""),385.2)</f>
        <v>385.2</v>
      </c>
      <c r="AB20" s="279">
        <f>IFERROR(__xludf.DUMMYFUNCTION("""COMPUTED_VALUE"""),392.25)</f>
        <v>392.25</v>
      </c>
      <c r="AC20" s="279">
        <f>IFERROR(__xludf.DUMMYFUNCTION("""COMPUTED_VALUE"""),385.05)</f>
        <v>385.05</v>
      </c>
      <c r="AD20" s="279">
        <f>IFERROR(__xludf.DUMMYFUNCTION("""COMPUTED_VALUE"""),387.95)</f>
        <v>387.95</v>
      </c>
      <c r="AE20" s="279">
        <f>IFERROR(__xludf.DUMMYFUNCTION("""COMPUTED_VALUE"""),1.3139198E7)</f>
        <v>13139198</v>
      </c>
      <c r="AF20" s="279">
        <f t="shared" si="3"/>
        <v>0.003744597312</v>
      </c>
      <c r="AG20" s="279"/>
      <c r="AH20" s="279"/>
      <c r="AI20" s="286"/>
      <c r="AL20" s="278">
        <f>IFERROR(__xludf.DUMMYFUNCTION("""COMPUTED_VALUE"""),45798.64583333333)</f>
        <v>45798.64583</v>
      </c>
      <c r="AM20" s="279">
        <f>IFERROR(__xludf.DUMMYFUNCTION("""COMPUTED_VALUE"""),4830.0)</f>
        <v>4830</v>
      </c>
      <c r="AN20" s="279">
        <f>IFERROR(__xludf.DUMMYFUNCTION("""COMPUTED_VALUE"""),5009.9)</f>
        <v>5009.9</v>
      </c>
      <c r="AO20" s="279">
        <f>IFERROR(__xludf.DUMMYFUNCTION("""COMPUTED_VALUE"""),4779.3)</f>
        <v>4779.3</v>
      </c>
      <c r="AP20" s="279">
        <f>IFERROR(__xludf.DUMMYFUNCTION("""COMPUTED_VALUE"""),5001.1)</f>
        <v>5001.1</v>
      </c>
      <c r="AQ20" s="279">
        <f>IFERROR(__xludf.DUMMYFUNCTION("""COMPUTED_VALUE"""),3488551.0)</f>
        <v>3488551</v>
      </c>
      <c r="AR20" s="280">
        <f t="shared" si="4"/>
        <v>0.03041117797</v>
      </c>
      <c r="AS20" s="279"/>
      <c r="AT20" s="279"/>
      <c r="AU20" s="286"/>
    </row>
    <row r="21" ht="15.75" customHeight="1">
      <c r="B21" s="271">
        <v>45799.0</v>
      </c>
      <c r="C21" s="272">
        <v>9123.52</v>
      </c>
      <c r="D21" s="272">
        <v>9212.12</v>
      </c>
      <c r="E21" s="272">
        <v>9072.12</v>
      </c>
      <c r="F21" s="272">
        <v>9112.78</v>
      </c>
      <c r="G21" s="273" t="s">
        <v>264</v>
      </c>
      <c r="H21" s="274">
        <f t="shared" si="1"/>
        <v>-0.001134026959</v>
      </c>
      <c r="I21" s="276"/>
      <c r="J21" s="276"/>
      <c r="K21" s="285"/>
      <c r="N21" s="278">
        <f>IFERROR(__xludf.DUMMYFUNCTION("""COMPUTED_VALUE"""),45799.64583333333)</f>
        <v>45799.64583</v>
      </c>
      <c r="O21" s="279">
        <f>IFERROR(__xludf.DUMMYFUNCTION("""COMPUTED_VALUE"""),1441.1)</f>
        <v>1441.1</v>
      </c>
      <c r="P21" s="279">
        <f>IFERROR(__xludf.DUMMYFUNCTION("""COMPUTED_VALUE"""),1445.3)</f>
        <v>1445.3</v>
      </c>
      <c r="Q21" s="279">
        <f>IFERROR(__xludf.DUMMYFUNCTION("""COMPUTED_VALUE"""),1427.8)</f>
        <v>1427.8</v>
      </c>
      <c r="R21" s="279">
        <f>IFERROR(__xludf.DUMMYFUNCTION("""COMPUTED_VALUE"""),1442.1)</f>
        <v>1442.1</v>
      </c>
      <c r="S21" s="279">
        <f>IFERROR(__xludf.DUMMYFUNCTION("""COMPUTED_VALUE"""),7245933.0)</f>
        <v>7245933</v>
      </c>
      <c r="T21" s="280">
        <f t="shared" si="2"/>
        <v>-0.001801302967</v>
      </c>
      <c r="U21" s="279"/>
      <c r="V21" s="279"/>
      <c r="W21" s="286"/>
      <c r="Z21" s="278">
        <f>IFERROR(__xludf.DUMMYFUNCTION("""COMPUTED_VALUE"""),45799.64583333333)</f>
        <v>45799.64583</v>
      </c>
      <c r="AA21" s="279">
        <f>IFERROR(__xludf.DUMMYFUNCTION("""COMPUTED_VALUE"""),386.0)</f>
        <v>386</v>
      </c>
      <c r="AB21" s="279">
        <f>IFERROR(__xludf.DUMMYFUNCTION("""COMPUTED_VALUE"""),388.85)</f>
        <v>388.85</v>
      </c>
      <c r="AC21" s="279">
        <f>IFERROR(__xludf.DUMMYFUNCTION("""COMPUTED_VALUE"""),382.25)</f>
        <v>382.25</v>
      </c>
      <c r="AD21" s="279">
        <f>IFERROR(__xludf.DUMMYFUNCTION("""COMPUTED_VALUE"""),383.95)</f>
        <v>383.95</v>
      </c>
      <c r="AE21" s="279">
        <f>IFERROR(__xludf.DUMMYFUNCTION("""COMPUTED_VALUE"""),3595416.0)</f>
        <v>3595416</v>
      </c>
      <c r="AF21" s="279">
        <f t="shared" si="3"/>
        <v>-0.01036412956</v>
      </c>
      <c r="AG21" s="279"/>
      <c r="AH21" s="279"/>
      <c r="AI21" s="286"/>
      <c r="AL21" s="278">
        <f>IFERROR(__xludf.DUMMYFUNCTION("""COMPUTED_VALUE"""),45799.64583333333)</f>
        <v>45799.64583</v>
      </c>
      <c r="AM21" s="279">
        <f>IFERROR(__xludf.DUMMYFUNCTION("""COMPUTED_VALUE"""),5001.1)</f>
        <v>5001.1</v>
      </c>
      <c r="AN21" s="279">
        <f>IFERROR(__xludf.DUMMYFUNCTION("""COMPUTED_VALUE"""),5064.5)</f>
        <v>5064.5</v>
      </c>
      <c r="AO21" s="279">
        <f>IFERROR(__xludf.DUMMYFUNCTION("""COMPUTED_VALUE"""),4962.0)</f>
        <v>4962</v>
      </c>
      <c r="AP21" s="279">
        <f>IFERROR(__xludf.DUMMYFUNCTION("""COMPUTED_VALUE"""),5040.0)</f>
        <v>5040</v>
      </c>
      <c r="AQ21" s="279">
        <f>IFERROR(__xludf.DUMMYFUNCTION("""COMPUTED_VALUE"""),2323924.0)</f>
        <v>2323924</v>
      </c>
      <c r="AR21" s="280">
        <f t="shared" si="4"/>
        <v>0.007748193846</v>
      </c>
      <c r="AS21" s="279"/>
      <c r="AT21" s="279"/>
      <c r="AU21" s="286"/>
    </row>
    <row r="22" ht="15.75" customHeight="1">
      <c r="B22" s="271">
        <v>45800.0</v>
      </c>
      <c r="C22" s="272">
        <v>9109.52</v>
      </c>
      <c r="D22" s="272">
        <v>9225.12</v>
      </c>
      <c r="E22" s="272">
        <v>9088.78</v>
      </c>
      <c r="F22" s="272">
        <v>9197.12</v>
      </c>
      <c r="G22" s="273" t="s">
        <v>264</v>
      </c>
      <c r="H22" s="274">
        <f t="shared" si="1"/>
        <v>0.009212567682</v>
      </c>
      <c r="I22" s="276"/>
      <c r="J22" s="276"/>
      <c r="K22" s="285"/>
      <c r="N22" s="278">
        <f>IFERROR(__xludf.DUMMYFUNCTION("""COMPUTED_VALUE"""),45800.64583333333)</f>
        <v>45800.64583</v>
      </c>
      <c r="O22" s="279">
        <f>IFERROR(__xludf.DUMMYFUNCTION("""COMPUTED_VALUE"""),1442.2)</f>
        <v>1442.2</v>
      </c>
      <c r="P22" s="279">
        <f>IFERROR(__xludf.DUMMYFUNCTION("""COMPUTED_VALUE"""),1451.8)</f>
        <v>1451.8</v>
      </c>
      <c r="Q22" s="279">
        <f>IFERROR(__xludf.DUMMYFUNCTION("""COMPUTED_VALUE"""),1434.4)</f>
        <v>1434.4</v>
      </c>
      <c r="R22" s="279">
        <f>IFERROR(__xludf.DUMMYFUNCTION("""COMPUTED_VALUE"""),1449.8)</f>
        <v>1449.8</v>
      </c>
      <c r="S22" s="279">
        <f>IFERROR(__xludf.DUMMYFUNCTION("""COMPUTED_VALUE"""),5203706.0)</f>
        <v>5203706</v>
      </c>
      <c r="T22" s="280">
        <f t="shared" si="2"/>
        <v>0.005325231299</v>
      </c>
      <c r="U22" s="279"/>
      <c r="V22" s="279"/>
      <c r="W22" s="286"/>
      <c r="Z22" s="278">
        <f>IFERROR(__xludf.DUMMYFUNCTION("""COMPUTED_VALUE"""),45800.64583333333)</f>
        <v>45800.64583</v>
      </c>
      <c r="AA22" s="279">
        <f>IFERROR(__xludf.DUMMYFUNCTION("""COMPUTED_VALUE"""),385.25)</f>
        <v>385.25</v>
      </c>
      <c r="AB22" s="279">
        <f>IFERROR(__xludf.DUMMYFUNCTION("""COMPUTED_VALUE"""),389.2)</f>
        <v>389.2</v>
      </c>
      <c r="AC22" s="279">
        <f>IFERROR(__xludf.DUMMYFUNCTION("""COMPUTED_VALUE"""),381.3)</f>
        <v>381.3</v>
      </c>
      <c r="AD22" s="279">
        <f>IFERROR(__xludf.DUMMYFUNCTION("""COMPUTED_VALUE"""),383.6)</f>
        <v>383.6</v>
      </c>
      <c r="AE22" s="279">
        <f>IFERROR(__xludf.DUMMYFUNCTION("""COMPUTED_VALUE"""),3469258.0)</f>
        <v>3469258</v>
      </c>
      <c r="AF22" s="279">
        <f t="shared" si="3"/>
        <v>-0.0009119927673</v>
      </c>
      <c r="AG22" s="279"/>
      <c r="AH22" s="279"/>
      <c r="AI22" s="286"/>
      <c r="AL22" s="278">
        <f>IFERROR(__xludf.DUMMYFUNCTION("""COMPUTED_VALUE"""),45800.64583333333)</f>
        <v>45800.64583</v>
      </c>
      <c r="AM22" s="279">
        <f>IFERROR(__xludf.DUMMYFUNCTION("""COMPUTED_VALUE"""),5058.0)</f>
        <v>5058</v>
      </c>
      <c r="AN22" s="279">
        <f>IFERROR(__xludf.DUMMYFUNCTION("""COMPUTED_VALUE"""),5061.9)</f>
        <v>5061.9</v>
      </c>
      <c r="AO22" s="279">
        <f>IFERROR(__xludf.DUMMYFUNCTION("""COMPUTED_VALUE"""),4950.5)</f>
        <v>4950.5</v>
      </c>
      <c r="AP22" s="279">
        <f>IFERROR(__xludf.DUMMYFUNCTION("""COMPUTED_VALUE"""),4961.6)</f>
        <v>4961.6</v>
      </c>
      <c r="AQ22" s="279">
        <f>IFERROR(__xludf.DUMMYFUNCTION("""COMPUTED_VALUE"""),2318665.0)</f>
        <v>2318665</v>
      </c>
      <c r="AR22" s="280">
        <f t="shared" si="4"/>
        <v>-0.01567781272</v>
      </c>
      <c r="AS22" s="279"/>
      <c r="AT22" s="279"/>
      <c r="AU22" s="286"/>
    </row>
    <row r="23" ht="15.75" customHeight="1">
      <c r="B23" s="271">
        <v>45803.0</v>
      </c>
      <c r="C23" s="272">
        <v>9188.78</v>
      </c>
      <c r="D23" s="272">
        <v>9193.12</v>
      </c>
      <c r="E23" s="272">
        <v>9099.12</v>
      </c>
      <c r="F23" s="272">
        <v>9145.12</v>
      </c>
      <c r="G23" s="273" t="s">
        <v>264</v>
      </c>
      <c r="H23" s="274">
        <f t="shared" si="1"/>
        <v>-0.005669987887</v>
      </c>
      <c r="I23" s="276"/>
      <c r="J23" s="276"/>
      <c r="K23" s="285"/>
      <c r="N23" s="278">
        <f>IFERROR(__xludf.DUMMYFUNCTION("""COMPUTED_VALUE"""),45803.64583333333)</f>
        <v>45803.64583</v>
      </c>
      <c r="O23" s="279">
        <f>IFERROR(__xludf.DUMMYFUNCTION("""COMPUTED_VALUE"""),1458.0)</f>
        <v>1458</v>
      </c>
      <c r="P23" s="279">
        <f>IFERROR(__xludf.DUMMYFUNCTION("""COMPUTED_VALUE"""),1471.6)</f>
        <v>1471.6</v>
      </c>
      <c r="Q23" s="279">
        <f>IFERROR(__xludf.DUMMYFUNCTION("""COMPUTED_VALUE"""),1455.0)</f>
        <v>1455</v>
      </c>
      <c r="R23" s="279">
        <f>IFERROR(__xludf.DUMMYFUNCTION("""COMPUTED_VALUE"""),1460.6)</f>
        <v>1460.6</v>
      </c>
      <c r="S23" s="279">
        <f>IFERROR(__xludf.DUMMYFUNCTION("""COMPUTED_VALUE"""),5608725.0)</f>
        <v>5608725</v>
      </c>
      <c r="T23" s="280">
        <f t="shared" si="2"/>
        <v>0.007421694319</v>
      </c>
      <c r="U23" s="279"/>
      <c r="V23" s="279"/>
      <c r="W23" s="286"/>
      <c r="Z23" s="278">
        <f>IFERROR(__xludf.DUMMYFUNCTION("""COMPUTED_VALUE"""),45803.64583333333)</f>
        <v>45803.64583</v>
      </c>
      <c r="AA23" s="279">
        <f>IFERROR(__xludf.DUMMYFUNCTION("""COMPUTED_VALUE"""),383.6)</f>
        <v>383.6</v>
      </c>
      <c r="AB23" s="279">
        <f>IFERROR(__xludf.DUMMYFUNCTION("""COMPUTED_VALUE"""),385.0)</f>
        <v>385</v>
      </c>
      <c r="AC23" s="279">
        <f>IFERROR(__xludf.DUMMYFUNCTION("""COMPUTED_VALUE"""),375.6)</f>
        <v>375.6</v>
      </c>
      <c r="AD23" s="279">
        <f>IFERROR(__xludf.DUMMYFUNCTION("""COMPUTED_VALUE"""),380.5)</f>
        <v>380.5</v>
      </c>
      <c r="AE23" s="279">
        <f>IFERROR(__xludf.DUMMYFUNCTION("""COMPUTED_VALUE"""),8119620.0)</f>
        <v>8119620</v>
      </c>
      <c r="AF23" s="279">
        <f t="shared" si="3"/>
        <v>-0.008114165708</v>
      </c>
      <c r="AG23" s="279"/>
      <c r="AH23" s="279"/>
      <c r="AI23" s="286"/>
      <c r="AL23" s="278">
        <f>IFERROR(__xludf.DUMMYFUNCTION("""COMPUTED_VALUE"""),45803.64583333333)</f>
        <v>45803.64583</v>
      </c>
      <c r="AM23" s="279">
        <f>IFERROR(__xludf.DUMMYFUNCTION("""COMPUTED_VALUE"""),4990.0)</f>
        <v>4990</v>
      </c>
      <c r="AN23" s="279">
        <f>IFERROR(__xludf.DUMMYFUNCTION("""COMPUTED_VALUE"""),5034.1)</f>
        <v>5034.1</v>
      </c>
      <c r="AO23" s="279">
        <f>IFERROR(__xludf.DUMMYFUNCTION("""COMPUTED_VALUE"""),4950.0)</f>
        <v>4950</v>
      </c>
      <c r="AP23" s="279">
        <f>IFERROR(__xludf.DUMMYFUNCTION("""COMPUTED_VALUE"""),5003.2)</f>
        <v>5003.2</v>
      </c>
      <c r="AQ23" s="279">
        <f>IFERROR(__xludf.DUMMYFUNCTION("""COMPUTED_VALUE"""),1593646.0)</f>
        <v>1593646</v>
      </c>
      <c r="AR23" s="280">
        <f t="shared" si="4"/>
        <v>0.008349438357</v>
      </c>
      <c r="AS23" s="279"/>
      <c r="AT23" s="279"/>
      <c r="AU23" s="286"/>
    </row>
    <row r="24" ht="15.75" customHeight="1">
      <c r="B24" s="271">
        <v>45804.0</v>
      </c>
      <c r="C24" s="272">
        <v>9148.12</v>
      </c>
      <c r="D24" s="272">
        <v>9171.52</v>
      </c>
      <c r="E24" s="272">
        <v>9019.12</v>
      </c>
      <c r="F24" s="272">
        <v>9054.78</v>
      </c>
      <c r="G24" s="273" t="s">
        <v>264</v>
      </c>
      <c r="H24" s="274">
        <f t="shared" si="1"/>
        <v>-0.00992760861</v>
      </c>
      <c r="I24" s="276"/>
      <c r="J24" s="276"/>
      <c r="K24" s="285"/>
      <c r="N24" s="278">
        <f>IFERROR(__xludf.DUMMYFUNCTION("""COMPUTED_VALUE"""),45804.64583333333)</f>
        <v>45804.64583</v>
      </c>
      <c r="O24" s="279">
        <f>IFERROR(__xludf.DUMMYFUNCTION("""COMPUTED_VALUE"""),1452.5)</f>
        <v>1452.5</v>
      </c>
      <c r="P24" s="279">
        <f>IFERROR(__xludf.DUMMYFUNCTION("""COMPUTED_VALUE"""),1463.0)</f>
        <v>1463</v>
      </c>
      <c r="Q24" s="279">
        <f>IFERROR(__xludf.DUMMYFUNCTION("""COMPUTED_VALUE"""),1435.7)</f>
        <v>1435.7</v>
      </c>
      <c r="R24" s="279">
        <f>IFERROR(__xludf.DUMMYFUNCTION("""COMPUTED_VALUE"""),1446.4)</f>
        <v>1446.4</v>
      </c>
      <c r="S24" s="279">
        <f>IFERROR(__xludf.DUMMYFUNCTION("""COMPUTED_VALUE"""),1.4842959E7)</f>
        <v>14842959</v>
      </c>
      <c r="T24" s="280">
        <f t="shared" si="2"/>
        <v>-0.009769599548</v>
      </c>
      <c r="U24" s="279"/>
      <c r="V24" s="279"/>
      <c r="W24" s="286"/>
      <c r="Z24" s="278">
        <f>IFERROR(__xludf.DUMMYFUNCTION("""COMPUTED_VALUE"""),45804.64583333333)</f>
        <v>45804.64583</v>
      </c>
      <c r="AA24" s="279">
        <f>IFERROR(__xludf.DUMMYFUNCTION("""COMPUTED_VALUE"""),380.5)</f>
        <v>380.5</v>
      </c>
      <c r="AB24" s="279">
        <f>IFERROR(__xludf.DUMMYFUNCTION("""COMPUTED_VALUE"""),386.0)</f>
        <v>386</v>
      </c>
      <c r="AC24" s="279">
        <f>IFERROR(__xludf.DUMMYFUNCTION("""COMPUTED_VALUE"""),377.25)</f>
        <v>377.25</v>
      </c>
      <c r="AD24" s="279">
        <f>IFERROR(__xludf.DUMMYFUNCTION("""COMPUTED_VALUE"""),383.85)</f>
        <v>383.85</v>
      </c>
      <c r="AE24" s="279">
        <f>IFERROR(__xludf.DUMMYFUNCTION("""COMPUTED_VALUE"""),7402268.0)</f>
        <v>7402268</v>
      </c>
      <c r="AF24" s="279">
        <f t="shared" si="3"/>
        <v>0.008765673972</v>
      </c>
      <c r="AG24" s="279"/>
      <c r="AH24" s="279"/>
      <c r="AI24" s="286"/>
      <c r="AL24" s="278">
        <f>IFERROR(__xludf.DUMMYFUNCTION("""COMPUTED_VALUE"""),45804.64583333333)</f>
        <v>45804.64583</v>
      </c>
      <c r="AM24" s="279">
        <f>IFERROR(__xludf.DUMMYFUNCTION("""COMPUTED_VALUE"""),5003.2)</f>
        <v>5003.2</v>
      </c>
      <c r="AN24" s="279">
        <f>IFERROR(__xludf.DUMMYFUNCTION("""COMPUTED_VALUE"""),5110.0)</f>
        <v>5110</v>
      </c>
      <c r="AO24" s="279">
        <f>IFERROR(__xludf.DUMMYFUNCTION("""COMPUTED_VALUE"""),4979.0)</f>
        <v>4979</v>
      </c>
      <c r="AP24" s="279">
        <f>IFERROR(__xludf.DUMMYFUNCTION("""COMPUTED_VALUE"""),5029.1)</f>
        <v>5029.1</v>
      </c>
      <c r="AQ24" s="279">
        <f>IFERROR(__xludf.DUMMYFUNCTION("""COMPUTED_VALUE"""),2490282.0)</f>
        <v>2490282</v>
      </c>
      <c r="AR24" s="280">
        <f t="shared" si="4"/>
        <v>0.00516333394</v>
      </c>
      <c r="AS24" s="279"/>
      <c r="AT24" s="279"/>
      <c r="AU24" s="286"/>
    </row>
    <row r="25" ht="15.75" customHeight="1">
      <c r="B25" s="271">
        <v>45805.0</v>
      </c>
      <c r="C25" s="272">
        <v>9055.52</v>
      </c>
      <c r="D25" s="272">
        <v>9133.52</v>
      </c>
      <c r="E25" s="272">
        <v>8997.12</v>
      </c>
      <c r="F25" s="272">
        <v>9026.12</v>
      </c>
      <c r="G25" s="273" t="s">
        <v>264</v>
      </c>
      <c r="H25" s="274">
        <f t="shared" si="1"/>
        <v>-0.003170198829</v>
      </c>
      <c r="I25" s="276"/>
      <c r="J25" s="276"/>
      <c r="K25" s="285"/>
      <c r="N25" s="278">
        <f>IFERROR(__xludf.DUMMYFUNCTION("""COMPUTED_VALUE"""),45805.64583333333)</f>
        <v>45805.64583</v>
      </c>
      <c r="O25" s="279">
        <f>IFERROR(__xludf.DUMMYFUNCTION("""COMPUTED_VALUE"""),1447.6)</f>
        <v>1447.6</v>
      </c>
      <c r="P25" s="279">
        <f>IFERROR(__xludf.DUMMYFUNCTION("""COMPUTED_VALUE"""),1458.0)</f>
        <v>1458</v>
      </c>
      <c r="Q25" s="279">
        <f>IFERROR(__xludf.DUMMYFUNCTION("""COMPUTED_VALUE"""),1442.5)</f>
        <v>1442.5</v>
      </c>
      <c r="R25" s="279">
        <f>IFERROR(__xludf.DUMMYFUNCTION("""COMPUTED_VALUE"""),1453.8)</f>
        <v>1453.8</v>
      </c>
      <c r="S25" s="279">
        <f>IFERROR(__xludf.DUMMYFUNCTION("""COMPUTED_VALUE"""),8618343.0)</f>
        <v>8618343</v>
      </c>
      <c r="T25" s="280">
        <f t="shared" si="2"/>
        <v>0.005103107413</v>
      </c>
      <c r="U25" s="279"/>
      <c r="V25" s="279"/>
      <c r="W25" s="286"/>
      <c r="Z25" s="278">
        <f>IFERROR(__xludf.DUMMYFUNCTION("""COMPUTED_VALUE"""),45805.64583333333)</f>
        <v>45805.64583</v>
      </c>
      <c r="AA25" s="279">
        <f>IFERROR(__xludf.DUMMYFUNCTION("""COMPUTED_VALUE"""),385.7)</f>
        <v>385.7</v>
      </c>
      <c r="AB25" s="279">
        <f>IFERROR(__xludf.DUMMYFUNCTION("""COMPUTED_VALUE"""),398.95)</f>
        <v>398.95</v>
      </c>
      <c r="AC25" s="279">
        <f>IFERROR(__xludf.DUMMYFUNCTION("""COMPUTED_VALUE"""),383.8)</f>
        <v>383.8</v>
      </c>
      <c r="AD25" s="279">
        <f>IFERROR(__xludf.DUMMYFUNCTION("""COMPUTED_VALUE"""),391.3)</f>
        <v>391.3</v>
      </c>
      <c r="AE25" s="279">
        <f>IFERROR(__xludf.DUMMYFUNCTION("""COMPUTED_VALUE"""),1.4515992E7)</f>
        <v>14515992</v>
      </c>
      <c r="AF25" s="279">
        <f t="shared" si="3"/>
        <v>0.01922267794</v>
      </c>
      <c r="AG25" s="279"/>
      <c r="AH25" s="279"/>
      <c r="AI25" s="286"/>
      <c r="AL25" s="278">
        <f>IFERROR(__xludf.DUMMYFUNCTION("""COMPUTED_VALUE"""),45805.64583333333)</f>
        <v>45805.64583</v>
      </c>
      <c r="AM25" s="279">
        <f>IFERROR(__xludf.DUMMYFUNCTION("""COMPUTED_VALUE"""),5069.0)</f>
        <v>5069</v>
      </c>
      <c r="AN25" s="279">
        <f>IFERROR(__xludf.DUMMYFUNCTION("""COMPUTED_VALUE"""),5075.0)</f>
        <v>5075</v>
      </c>
      <c r="AO25" s="279">
        <f>IFERROR(__xludf.DUMMYFUNCTION("""COMPUTED_VALUE"""),5001.0)</f>
        <v>5001</v>
      </c>
      <c r="AP25" s="279">
        <f>IFERROR(__xludf.DUMMYFUNCTION("""COMPUTED_VALUE"""),5017.8)</f>
        <v>5017.8</v>
      </c>
      <c r="AQ25" s="279">
        <f>IFERROR(__xludf.DUMMYFUNCTION("""COMPUTED_VALUE"""),1273825.0)</f>
        <v>1273825</v>
      </c>
      <c r="AR25" s="280">
        <f t="shared" si="4"/>
        <v>-0.002249451028</v>
      </c>
      <c r="AS25" s="279"/>
      <c r="AT25" s="279"/>
      <c r="AU25" s="286"/>
    </row>
    <row r="26" ht="15.75" customHeight="1">
      <c r="B26" s="271">
        <v>45806.0</v>
      </c>
      <c r="C26" s="272">
        <v>9028.78</v>
      </c>
      <c r="D26" s="272">
        <v>9147.52</v>
      </c>
      <c r="E26" s="272">
        <v>8912.78</v>
      </c>
      <c r="F26" s="272">
        <v>9112.78</v>
      </c>
      <c r="G26" s="273" t="s">
        <v>264</v>
      </c>
      <c r="H26" s="274">
        <f t="shared" si="1"/>
        <v>0.009555227644</v>
      </c>
      <c r="I26" s="276"/>
      <c r="J26" s="276"/>
      <c r="K26" s="285"/>
      <c r="N26" s="278">
        <f>IFERROR(__xludf.DUMMYFUNCTION("""COMPUTED_VALUE"""),45806.64583333333)</f>
        <v>45806.64583</v>
      </c>
      <c r="O26" s="279">
        <f>IFERROR(__xludf.DUMMYFUNCTION("""COMPUTED_VALUE"""),1456.6)</f>
        <v>1456.6</v>
      </c>
      <c r="P26" s="279">
        <f>IFERROR(__xludf.DUMMYFUNCTION("""COMPUTED_VALUE"""),1462.9)</f>
        <v>1462.9</v>
      </c>
      <c r="Q26" s="279">
        <f>IFERROR(__xludf.DUMMYFUNCTION("""COMPUTED_VALUE"""),1445.0)</f>
        <v>1445</v>
      </c>
      <c r="R26" s="279">
        <f>IFERROR(__xludf.DUMMYFUNCTION("""COMPUTED_VALUE"""),1456.5)</f>
        <v>1456.5</v>
      </c>
      <c r="S26" s="279">
        <f>IFERROR(__xludf.DUMMYFUNCTION("""COMPUTED_VALUE"""),1.5545514E7)</f>
        <v>15545514</v>
      </c>
      <c r="T26" s="280">
        <f t="shared" si="2"/>
        <v>0.001855479349</v>
      </c>
      <c r="U26" s="279"/>
      <c r="V26" s="279"/>
      <c r="W26" s="286"/>
      <c r="Z26" s="278">
        <f>IFERROR(__xludf.DUMMYFUNCTION("""COMPUTED_VALUE"""),45806.64583333333)</f>
        <v>45806.64583</v>
      </c>
      <c r="AA26" s="279">
        <f>IFERROR(__xludf.DUMMYFUNCTION("""COMPUTED_VALUE"""),392.5)</f>
        <v>392.5</v>
      </c>
      <c r="AB26" s="279">
        <f>IFERROR(__xludf.DUMMYFUNCTION("""COMPUTED_VALUE"""),394.75)</f>
        <v>394.75</v>
      </c>
      <c r="AC26" s="279">
        <f>IFERROR(__xludf.DUMMYFUNCTION("""COMPUTED_VALUE"""),387.8)</f>
        <v>387.8</v>
      </c>
      <c r="AD26" s="279">
        <f>IFERROR(__xludf.DUMMYFUNCTION("""COMPUTED_VALUE"""),391.25)</f>
        <v>391.25</v>
      </c>
      <c r="AE26" s="279">
        <f>IFERROR(__xludf.DUMMYFUNCTION("""COMPUTED_VALUE"""),4344927.0)</f>
        <v>4344927</v>
      </c>
      <c r="AF26" s="279">
        <f t="shared" si="3"/>
        <v>-0.000127787362</v>
      </c>
      <c r="AG26" s="279"/>
      <c r="AH26" s="279"/>
      <c r="AI26" s="286"/>
      <c r="AL26" s="278">
        <f>IFERROR(__xludf.DUMMYFUNCTION("""COMPUTED_VALUE"""),45806.64583333333)</f>
        <v>45806.64583</v>
      </c>
      <c r="AM26" s="279">
        <f>IFERROR(__xludf.DUMMYFUNCTION("""COMPUTED_VALUE"""),5040.0)</f>
        <v>5040</v>
      </c>
      <c r="AN26" s="279">
        <f>IFERROR(__xludf.DUMMYFUNCTION("""COMPUTED_VALUE"""),5043.0)</f>
        <v>5043</v>
      </c>
      <c r="AO26" s="279">
        <f>IFERROR(__xludf.DUMMYFUNCTION("""COMPUTED_VALUE"""),4964.0)</f>
        <v>4964</v>
      </c>
      <c r="AP26" s="279">
        <f>IFERROR(__xludf.DUMMYFUNCTION("""COMPUTED_VALUE"""),5000.7)</f>
        <v>5000.7</v>
      </c>
      <c r="AQ26" s="279">
        <f>IFERROR(__xludf.DUMMYFUNCTION("""COMPUTED_VALUE"""),1401179.0)</f>
        <v>1401179</v>
      </c>
      <c r="AR26" s="280">
        <f t="shared" si="4"/>
        <v>-0.003413687998</v>
      </c>
      <c r="AS26" s="279"/>
      <c r="AT26" s="279"/>
      <c r="AU26" s="286"/>
    </row>
    <row r="27" ht="15.75" customHeight="1">
      <c r="B27" s="295">
        <v>45807.0</v>
      </c>
      <c r="C27" s="296">
        <v>9112.78</v>
      </c>
      <c r="D27" s="296">
        <v>9122.12</v>
      </c>
      <c r="E27" s="296">
        <v>9000.12</v>
      </c>
      <c r="F27" s="296">
        <v>9044.78</v>
      </c>
      <c r="G27" s="297" t="s">
        <v>264</v>
      </c>
      <c r="H27" s="298">
        <f t="shared" si="1"/>
        <v>-0.007490028165</v>
      </c>
      <c r="I27" s="299"/>
      <c r="J27" s="299"/>
      <c r="K27" s="300"/>
      <c r="N27" s="301">
        <f>IFERROR(__xludf.DUMMYFUNCTION("""COMPUTED_VALUE"""),45807.64583333333)</f>
        <v>45807.64583</v>
      </c>
      <c r="O27" s="302">
        <f>IFERROR(__xludf.DUMMYFUNCTION("""COMPUTED_VALUE"""),1459.9)</f>
        <v>1459.9</v>
      </c>
      <c r="P27" s="302">
        <f>IFERROR(__xludf.DUMMYFUNCTION("""COMPUTED_VALUE"""),1460.9)</f>
        <v>1460.9</v>
      </c>
      <c r="Q27" s="302">
        <f>IFERROR(__xludf.DUMMYFUNCTION("""COMPUTED_VALUE"""),1444.3)</f>
        <v>1444.3</v>
      </c>
      <c r="R27" s="302">
        <f>IFERROR(__xludf.DUMMYFUNCTION("""COMPUTED_VALUE"""),1445.8)</f>
        <v>1445.8</v>
      </c>
      <c r="S27" s="302">
        <f>IFERROR(__xludf.DUMMYFUNCTION("""COMPUTED_VALUE"""),1.1803975E7)</f>
        <v>11803975</v>
      </c>
      <c r="T27" s="303">
        <f t="shared" si="2"/>
        <v>-0.007373495833</v>
      </c>
      <c r="U27" s="302"/>
      <c r="V27" s="302"/>
      <c r="W27" s="304"/>
      <c r="Z27" s="301">
        <f>IFERROR(__xludf.DUMMYFUNCTION("""COMPUTED_VALUE"""),45807.64583333333)</f>
        <v>45807.64583</v>
      </c>
      <c r="AA27" s="302">
        <f>IFERROR(__xludf.DUMMYFUNCTION("""COMPUTED_VALUE"""),391.25)</f>
        <v>391.25</v>
      </c>
      <c r="AB27" s="302">
        <f>IFERROR(__xludf.DUMMYFUNCTION("""COMPUTED_VALUE"""),394.5)</f>
        <v>394.5</v>
      </c>
      <c r="AC27" s="302">
        <f>IFERROR(__xludf.DUMMYFUNCTION("""COMPUTED_VALUE"""),381.35)</f>
        <v>381.35</v>
      </c>
      <c r="AD27" s="302">
        <f>IFERROR(__xludf.DUMMYFUNCTION("""COMPUTED_VALUE"""),384.15)</f>
        <v>384.15</v>
      </c>
      <c r="AE27" s="302">
        <f>IFERROR(__xludf.DUMMYFUNCTION("""COMPUTED_VALUE"""),2.35017E7)</f>
        <v>23501700</v>
      </c>
      <c r="AF27" s="302">
        <f t="shared" si="3"/>
        <v>-0.01831364054</v>
      </c>
      <c r="AG27" s="302"/>
      <c r="AH27" s="302"/>
      <c r="AI27" s="304"/>
      <c r="AL27" s="301">
        <f>IFERROR(__xludf.DUMMYFUNCTION("""COMPUTED_VALUE"""),45807.64583333333)</f>
        <v>45807.64583</v>
      </c>
      <c r="AM27" s="302">
        <f>IFERROR(__xludf.DUMMYFUNCTION("""COMPUTED_VALUE"""),5004.0)</f>
        <v>5004</v>
      </c>
      <c r="AN27" s="302">
        <f>IFERROR(__xludf.DUMMYFUNCTION("""COMPUTED_VALUE"""),5065.0)</f>
        <v>5065</v>
      </c>
      <c r="AO27" s="302">
        <f>IFERROR(__xludf.DUMMYFUNCTION("""COMPUTED_VALUE"""),4958.4)</f>
        <v>4958.4</v>
      </c>
      <c r="AP27" s="302">
        <f>IFERROR(__xludf.DUMMYFUNCTION("""COMPUTED_VALUE"""),4974.1)</f>
        <v>4974.1</v>
      </c>
      <c r="AQ27" s="302">
        <f>IFERROR(__xludf.DUMMYFUNCTION("""COMPUTED_VALUE"""),1852727.0)</f>
        <v>1852727</v>
      </c>
      <c r="AR27" s="303">
        <f t="shared" si="4"/>
        <v>-0.005333452912</v>
      </c>
      <c r="AS27" s="302"/>
      <c r="AT27" s="302"/>
      <c r="AU27" s="304"/>
    </row>
    <row r="28" ht="15.75" customHeight="1">
      <c r="B28" s="32"/>
      <c r="C28" s="32"/>
      <c r="D28" s="32"/>
      <c r="E28" s="32"/>
      <c r="F28" s="32"/>
      <c r="G28" s="305"/>
      <c r="H28" s="306"/>
      <c r="I28" s="32"/>
      <c r="J28" s="32"/>
      <c r="K28" s="32"/>
    </row>
    <row r="29" ht="15.75" customHeight="1">
      <c r="G29" s="262"/>
    </row>
    <row r="30" ht="15.75" customHeight="1">
      <c r="G30" s="262"/>
    </row>
    <row r="31" ht="15.75" customHeight="1">
      <c r="G31" s="262"/>
    </row>
    <row r="32" ht="15.75" customHeight="1">
      <c r="G32" s="262"/>
    </row>
    <row r="33" ht="15.75" customHeight="1">
      <c r="G33" s="262"/>
    </row>
    <row r="34" ht="15.75" customHeight="1">
      <c r="G34" s="262"/>
    </row>
    <row r="35" ht="15.75" customHeight="1">
      <c r="G35" s="262"/>
    </row>
    <row r="36" ht="15.75" customHeight="1">
      <c r="G36" s="262"/>
    </row>
    <row r="37" ht="15.75" customHeight="1">
      <c r="G37" s="262"/>
    </row>
    <row r="38" ht="15.75" customHeight="1">
      <c r="G38" s="262"/>
    </row>
    <row r="39" ht="15.75" customHeight="1">
      <c r="G39" s="262"/>
    </row>
    <row r="40" ht="15.75" customHeight="1">
      <c r="G40" s="262"/>
    </row>
    <row r="41" ht="15.75" customHeight="1">
      <c r="G41" s="262"/>
    </row>
    <row r="42" ht="15.75" customHeight="1">
      <c r="G42" s="262"/>
    </row>
    <row r="43" ht="15.75" customHeight="1">
      <c r="G43" s="262"/>
    </row>
    <row r="44" ht="15.75" customHeight="1">
      <c r="G44" s="262"/>
    </row>
    <row r="45" ht="15.75" customHeight="1">
      <c r="G45" s="262"/>
    </row>
    <row r="46" ht="15.75" customHeight="1">
      <c r="G46" s="262"/>
    </row>
    <row r="47" ht="15.75" customHeight="1">
      <c r="G47" s="262"/>
    </row>
    <row r="48" ht="15.75" customHeight="1">
      <c r="G48" s="262"/>
    </row>
    <row r="49" ht="15.75" customHeight="1">
      <c r="G49" s="262"/>
    </row>
    <row r="50" ht="15.75" customHeight="1">
      <c r="G50" s="262"/>
    </row>
    <row r="51" ht="15.75" customHeight="1">
      <c r="G51" s="262"/>
    </row>
    <row r="52" ht="15.75" customHeight="1">
      <c r="G52" s="262"/>
    </row>
    <row r="53" ht="15.75" customHeight="1">
      <c r="G53" s="262"/>
    </row>
    <row r="54" ht="15.75" customHeight="1">
      <c r="G54" s="262"/>
    </row>
    <row r="55" ht="15.75" customHeight="1">
      <c r="G55" s="262"/>
    </row>
    <row r="56" ht="15.75" customHeight="1">
      <c r="G56" s="262"/>
    </row>
    <row r="57" ht="15.75" customHeight="1">
      <c r="G57" s="262"/>
    </row>
    <row r="58" ht="15.75" customHeight="1">
      <c r="G58" s="262"/>
    </row>
    <row r="59" ht="15.75" customHeight="1">
      <c r="G59" s="262"/>
    </row>
    <row r="60" ht="15.75" customHeight="1">
      <c r="G60" s="262"/>
    </row>
    <row r="61" ht="15.75" customHeight="1">
      <c r="G61" s="262"/>
    </row>
    <row r="62" ht="15.75" customHeight="1">
      <c r="G62" s="262"/>
    </row>
    <row r="63" ht="15.75" customHeight="1">
      <c r="G63" s="262"/>
    </row>
    <row r="64" ht="15.75" customHeight="1">
      <c r="G64" s="262"/>
    </row>
    <row r="65" ht="15.75" customHeight="1">
      <c r="G65" s="262"/>
    </row>
    <row r="66" ht="15.75" customHeight="1">
      <c r="G66" s="262"/>
    </row>
    <row r="67" ht="15.75" customHeight="1">
      <c r="G67" s="262"/>
    </row>
    <row r="68" ht="15.75" customHeight="1">
      <c r="G68" s="262"/>
    </row>
    <row r="69" ht="15.75" customHeight="1">
      <c r="G69" s="262"/>
    </row>
    <row r="70" ht="15.75" customHeight="1">
      <c r="G70" s="262"/>
    </row>
    <row r="71" ht="15.75" customHeight="1">
      <c r="G71" s="262"/>
    </row>
    <row r="72" ht="15.75" customHeight="1">
      <c r="G72" s="262"/>
    </row>
    <row r="73" ht="15.75" customHeight="1">
      <c r="G73" s="262"/>
    </row>
    <row r="74" ht="15.75" customHeight="1">
      <c r="G74" s="262"/>
    </row>
    <row r="75" ht="15.75" customHeight="1">
      <c r="G75" s="262"/>
    </row>
    <row r="76" ht="15.75" customHeight="1">
      <c r="G76" s="262"/>
    </row>
    <row r="77" ht="15.75" customHeight="1">
      <c r="G77" s="262"/>
    </row>
    <row r="78" ht="15.75" customHeight="1">
      <c r="G78" s="262"/>
    </row>
    <row r="79" ht="15.75" customHeight="1">
      <c r="G79" s="262"/>
    </row>
    <row r="80" ht="15.75" customHeight="1">
      <c r="G80" s="262"/>
    </row>
    <row r="81" ht="15.75" customHeight="1">
      <c r="G81" s="262"/>
    </row>
    <row r="82" ht="15.75" customHeight="1">
      <c r="G82" s="262"/>
    </row>
    <row r="83" ht="15.75" customHeight="1">
      <c r="G83" s="262"/>
    </row>
    <row r="84" ht="15.75" customHeight="1">
      <c r="G84" s="262"/>
    </row>
    <row r="85" ht="15.75" customHeight="1">
      <c r="G85" s="262"/>
    </row>
    <row r="86" ht="15.75" customHeight="1">
      <c r="G86" s="262"/>
    </row>
    <row r="87" ht="15.75" customHeight="1">
      <c r="G87" s="262"/>
    </row>
    <row r="88" ht="15.75" customHeight="1">
      <c r="G88" s="262"/>
    </row>
    <row r="89" ht="15.75" customHeight="1">
      <c r="G89" s="262"/>
    </row>
    <row r="90" ht="15.75" customHeight="1">
      <c r="G90" s="262"/>
    </row>
    <row r="91" ht="15.75" customHeight="1">
      <c r="G91" s="262"/>
    </row>
    <row r="92" ht="15.75" customHeight="1">
      <c r="G92" s="262"/>
    </row>
    <row r="93" ht="15.75" customHeight="1">
      <c r="G93" s="262"/>
    </row>
    <row r="94" ht="15.75" customHeight="1">
      <c r="G94" s="262"/>
    </row>
    <row r="95" ht="15.75" customHeight="1">
      <c r="G95" s="262"/>
    </row>
    <row r="96" ht="15.75" customHeight="1">
      <c r="G96" s="262"/>
    </row>
    <row r="97" ht="15.75" customHeight="1">
      <c r="G97" s="262"/>
    </row>
    <row r="98" ht="15.75" customHeight="1">
      <c r="G98" s="262"/>
    </row>
    <row r="99" ht="15.75" customHeight="1">
      <c r="G99" s="262"/>
    </row>
    <row r="100" ht="15.75" customHeight="1">
      <c r="G100" s="262"/>
    </row>
    <row r="101" ht="15.75" customHeight="1">
      <c r="G101" s="262"/>
    </row>
    <row r="102" ht="15.75" customHeight="1">
      <c r="G102" s="262"/>
    </row>
    <row r="103" ht="15.75" customHeight="1">
      <c r="G103" s="262"/>
    </row>
    <row r="104" ht="15.75" customHeight="1">
      <c r="G104" s="262"/>
    </row>
    <row r="105" ht="15.75" customHeight="1">
      <c r="G105" s="262"/>
    </row>
    <row r="106" ht="15.75" customHeight="1">
      <c r="G106" s="262"/>
    </row>
    <row r="107" ht="15.75" customHeight="1">
      <c r="G107" s="262"/>
    </row>
    <row r="108" ht="15.75" customHeight="1">
      <c r="G108" s="262"/>
    </row>
    <row r="109" ht="15.75" customHeight="1">
      <c r="G109" s="262"/>
    </row>
    <row r="110" ht="15.75" customHeight="1">
      <c r="G110" s="262"/>
    </row>
    <row r="111" ht="15.75" customHeight="1">
      <c r="G111" s="262"/>
    </row>
    <row r="112" ht="15.75" customHeight="1">
      <c r="G112" s="262"/>
    </row>
    <row r="113" ht="15.75" customHeight="1">
      <c r="G113" s="262"/>
    </row>
    <row r="114" ht="15.75" customHeight="1">
      <c r="G114" s="262"/>
    </row>
    <row r="115" ht="15.75" customHeight="1">
      <c r="G115" s="262"/>
    </row>
    <row r="116" ht="15.75" customHeight="1">
      <c r="G116" s="262"/>
    </row>
    <row r="117" ht="15.75" customHeight="1">
      <c r="G117" s="262"/>
    </row>
    <row r="118" ht="15.75" customHeight="1">
      <c r="G118" s="262"/>
    </row>
    <row r="119" ht="15.75" customHeight="1">
      <c r="G119" s="262"/>
    </row>
    <row r="120" ht="15.75" customHeight="1">
      <c r="G120" s="262"/>
    </row>
    <row r="121" ht="15.75" customHeight="1">
      <c r="G121" s="262"/>
    </row>
    <row r="122" ht="15.75" customHeight="1">
      <c r="G122" s="262"/>
    </row>
    <row r="123" ht="15.75" customHeight="1">
      <c r="G123" s="262"/>
    </row>
    <row r="124" ht="15.75" customHeight="1">
      <c r="G124" s="262"/>
    </row>
    <row r="125" ht="15.75" customHeight="1">
      <c r="G125" s="262"/>
    </row>
    <row r="126" ht="15.75" customHeight="1">
      <c r="G126" s="262"/>
    </row>
    <row r="127" ht="15.75" customHeight="1">
      <c r="G127" s="262"/>
    </row>
    <row r="128" ht="15.75" customHeight="1">
      <c r="G128" s="262"/>
    </row>
    <row r="129" ht="15.75" customHeight="1">
      <c r="G129" s="262"/>
    </row>
    <row r="130" ht="15.75" customHeight="1">
      <c r="G130" s="262"/>
    </row>
    <row r="131" ht="15.75" customHeight="1">
      <c r="G131" s="262"/>
    </row>
    <row r="132" ht="15.75" customHeight="1">
      <c r="G132" s="262"/>
    </row>
    <row r="133" ht="15.75" customHeight="1">
      <c r="G133" s="262"/>
    </row>
    <row r="134" ht="15.75" customHeight="1">
      <c r="G134" s="262"/>
    </row>
    <row r="135" ht="15.75" customHeight="1">
      <c r="G135" s="262"/>
    </row>
    <row r="136" ht="15.75" customHeight="1">
      <c r="G136" s="262"/>
    </row>
    <row r="137" ht="15.75" customHeight="1">
      <c r="G137" s="262"/>
    </row>
    <row r="138" ht="15.75" customHeight="1">
      <c r="G138" s="262"/>
    </row>
    <row r="139" ht="15.75" customHeight="1">
      <c r="G139" s="262"/>
    </row>
    <row r="140" ht="15.75" customHeight="1">
      <c r="G140" s="262"/>
    </row>
    <row r="141" ht="15.75" customHeight="1">
      <c r="G141" s="262"/>
    </row>
    <row r="142" ht="15.75" customHeight="1">
      <c r="G142" s="262"/>
    </row>
    <row r="143" ht="15.75" customHeight="1">
      <c r="G143" s="262"/>
    </row>
    <row r="144" ht="15.75" customHeight="1">
      <c r="G144" s="262"/>
    </row>
    <row r="145" ht="15.75" customHeight="1">
      <c r="G145" s="262"/>
    </row>
    <row r="146" ht="15.75" customHeight="1">
      <c r="G146" s="262"/>
    </row>
    <row r="147" ht="15.75" customHeight="1">
      <c r="G147" s="262"/>
    </row>
    <row r="148" ht="15.75" customHeight="1">
      <c r="G148" s="262"/>
    </row>
    <row r="149" ht="15.75" customHeight="1">
      <c r="G149" s="262"/>
    </row>
    <row r="150" ht="15.75" customHeight="1">
      <c r="G150" s="262"/>
    </row>
    <row r="151" ht="15.75" customHeight="1">
      <c r="G151" s="262"/>
    </row>
    <row r="152" ht="15.75" customHeight="1">
      <c r="G152" s="262"/>
    </row>
    <row r="153" ht="15.75" customHeight="1">
      <c r="G153" s="262"/>
    </row>
    <row r="154" ht="15.75" customHeight="1">
      <c r="G154" s="262"/>
    </row>
    <row r="155" ht="15.75" customHeight="1">
      <c r="G155" s="262"/>
    </row>
    <row r="156" ht="15.75" customHeight="1">
      <c r="G156" s="262"/>
    </row>
    <row r="157" ht="15.75" customHeight="1">
      <c r="G157" s="262"/>
    </row>
    <row r="158" ht="15.75" customHeight="1">
      <c r="G158" s="262"/>
    </row>
    <row r="159" ht="15.75" customHeight="1">
      <c r="G159" s="262"/>
    </row>
    <row r="160" ht="15.75" customHeight="1">
      <c r="G160" s="262"/>
    </row>
    <row r="161" ht="15.75" customHeight="1">
      <c r="G161" s="262"/>
    </row>
    <row r="162" ht="15.75" customHeight="1">
      <c r="G162" s="262"/>
    </row>
    <row r="163" ht="15.75" customHeight="1">
      <c r="G163" s="262"/>
    </row>
    <row r="164" ht="15.75" customHeight="1">
      <c r="G164" s="262"/>
    </row>
    <row r="165" ht="15.75" customHeight="1">
      <c r="G165" s="262"/>
    </row>
    <row r="166" ht="15.75" customHeight="1">
      <c r="G166" s="262"/>
    </row>
    <row r="167" ht="15.75" customHeight="1">
      <c r="G167" s="262"/>
    </row>
    <row r="168" ht="15.75" customHeight="1">
      <c r="G168" s="262"/>
    </row>
    <row r="169" ht="15.75" customHeight="1">
      <c r="G169" s="262"/>
    </row>
    <row r="170" ht="15.75" customHeight="1">
      <c r="G170" s="262"/>
    </row>
    <row r="171" ht="15.75" customHeight="1">
      <c r="G171" s="262"/>
    </row>
    <row r="172" ht="15.75" customHeight="1">
      <c r="G172" s="262"/>
    </row>
    <row r="173" ht="15.75" customHeight="1">
      <c r="G173" s="262"/>
    </row>
    <row r="174" ht="15.75" customHeight="1">
      <c r="G174" s="262"/>
    </row>
    <row r="175" ht="15.75" customHeight="1">
      <c r="G175" s="262"/>
    </row>
    <row r="176" ht="15.75" customHeight="1">
      <c r="G176" s="262"/>
    </row>
    <row r="177" ht="15.75" customHeight="1">
      <c r="G177" s="262"/>
    </row>
    <row r="178" ht="15.75" customHeight="1">
      <c r="G178" s="262"/>
    </row>
    <row r="179" ht="15.75" customHeight="1">
      <c r="G179" s="262"/>
    </row>
    <row r="180" ht="15.75" customHeight="1">
      <c r="G180" s="262"/>
    </row>
    <row r="181" ht="15.75" customHeight="1">
      <c r="G181" s="262"/>
    </row>
    <row r="182" ht="15.75" customHeight="1">
      <c r="G182" s="262"/>
    </row>
    <row r="183" ht="15.75" customHeight="1">
      <c r="G183" s="262"/>
    </row>
    <row r="184" ht="15.75" customHeight="1">
      <c r="G184" s="262"/>
    </row>
    <row r="185" ht="15.75" customHeight="1">
      <c r="G185" s="262"/>
    </row>
    <row r="186" ht="15.75" customHeight="1">
      <c r="G186" s="262"/>
    </row>
    <row r="187" ht="15.75" customHeight="1">
      <c r="G187" s="262"/>
    </row>
    <row r="188" ht="15.75" customHeight="1">
      <c r="G188" s="262"/>
    </row>
    <row r="189" ht="15.75" customHeight="1">
      <c r="G189" s="262"/>
    </row>
    <row r="190" ht="15.75" customHeight="1">
      <c r="G190" s="262"/>
    </row>
    <row r="191" ht="15.75" customHeight="1">
      <c r="G191" s="262"/>
    </row>
    <row r="192" ht="15.75" customHeight="1">
      <c r="G192" s="262"/>
    </row>
    <row r="193" ht="15.75" customHeight="1">
      <c r="G193" s="262"/>
    </row>
    <row r="194" ht="15.75" customHeight="1">
      <c r="G194" s="262"/>
    </row>
    <row r="195" ht="15.75" customHeight="1">
      <c r="G195" s="262"/>
    </row>
    <row r="196" ht="15.75" customHeight="1">
      <c r="G196" s="262"/>
    </row>
    <row r="197" ht="15.75" customHeight="1">
      <c r="G197" s="262"/>
    </row>
    <row r="198" ht="15.75" customHeight="1">
      <c r="G198" s="262"/>
    </row>
    <row r="199" ht="15.75" customHeight="1">
      <c r="G199" s="262"/>
    </row>
    <row r="200" ht="15.75" customHeight="1">
      <c r="G200" s="262"/>
    </row>
    <row r="201" ht="15.75" customHeight="1">
      <c r="G201" s="262"/>
    </row>
    <row r="202" ht="15.75" customHeight="1">
      <c r="G202" s="262"/>
    </row>
    <row r="203" ht="15.75" customHeight="1">
      <c r="G203" s="262"/>
    </row>
    <row r="204" ht="15.75" customHeight="1">
      <c r="G204" s="262"/>
    </row>
    <row r="205" ht="15.75" customHeight="1">
      <c r="G205" s="262"/>
    </row>
    <row r="206" ht="15.75" customHeight="1">
      <c r="G206" s="262"/>
    </row>
    <row r="207" ht="15.75" customHeight="1">
      <c r="G207" s="262"/>
    </row>
    <row r="208" ht="15.75" customHeight="1">
      <c r="G208" s="262"/>
    </row>
    <row r="209" ht="15.75" customHeight="1">
      <c r="G209" s="262"/>
    </row>
    <row r="210" ht="15.75" customHeight="1">
      <c r="G210" s="262"/>
    </row>
    <row r="211" ht="15.75" customHeight="1">
      <c r="G211" s="262"/>
    </row>
    <row r="212" ht="15.75" customHeight="1">
      <c r="G212" s="262"/>
    </row>
    <row r="213" ht="15.75" customHeight="1">
      <c r="G213" s="262"/>
    </row>
    <row r="214" ht="15.75" customHeight="1">
      <c r="G214" s="262"/>
    </row>
    <row r="215" ht="15.75" customHeight="1">
      <c r="G215" s="262"/>
    </row>
    <row r="216" ht="15.75" customHeight="1">
      <c r="G216" s="262"/>
    </row>
    <row r="217" ht="15.75" customHeight="1">
      <c r="G217" s="262"/>
    </row>
    <row r="218" ht="15.75" customHeight="1">
      <c r="G218" s="262"/>
    </row>
    <row r="219" ht="15.75" customHeight="1">
      <c r="G219" s="262"/>
    </row>
    <row r="220" ht="15.75" customHeight="1">
      <c r="G220" s="262"/>
    </row>
    <row r="221" ht="15.75" customHeight="1">
      <c r="G221" s="262"/>
    </row>
    <row r="222" ht="15.75" customHeight="1">
      <c r="G222" s="262"/>
    </row>
    <row r="223" ht="15.75" customHeight="1">
      <c r="G223" s="262"/>
    </row>
    <row r="224" ht="15.75" customHeight="1">
      <c r="G224" s="262"/>
    </row>
    <row r="225" ht="15.75" customHeight="1">
      <c r="G225" s="262"/>
    </row>
    <row r="226" ht="15.75" customHeight="1">
      <c r="G226" s="262"/>
    </row>
    <row r="227" ht="15.75" customHeight="1">
      <c r="G227" s="262"/>
    </row>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2:K4"/>
    <mergeCell ref="N2:W4"/>
    <mergeCell ref="Z2:AI4"/>
    <mergeCell ref="AL2:AU4"/>
    <mergeCell ref="AY12:BC13"/>
  </mergeCells>
  <drawing r:id="rId1"/>
  <tableParts count="4">
    <tablePart r:id="rId6"/>
    <tablePart r:id="rId7"/>
    <tablePart r:id="rId8"/>
    <tablePart r:id="rId9"/>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7.75"/>
    <col customWidth="1" min="3" max="6" width="12.63"/>
    <col customWidth="1" min="8" max="8" width="22.0"/>
    <col customWidth="1" min="9" max="9" width="19.88"/>
    <col customWidth="1" min="10" max="10" width="19.13"/>
    <col customWidth="1" min="11" max="11" width="19.63"/>
    <col customWidth="1" min="14" max="14" width="21.13"/>
    <col customWidth="1" min="20" max="20" width="18.88"/>
    <col customWidth="1" min="21" max="21" width="19.13"/>
    <col customWidth="1" min="22" max="22" width="15.75"/>
    <col customWidth="1" min="23" max="23" width="19.25"/>
    <col customWidth="1" min="26" max="26" width="19.25"/>
    <col customWidth="1" min="32" max="32" width="18.5"/>
    <col customWidth="1" min="33" max="33" width="21.38"/>
    <col customWidth="1" min="34" max="34" width="16.75"/>
    <col customWidth="1" min="35" max="35" width="15.13"/>
    <col customWidth="1" min="38" max="38" width="18.25"/>
    <col customWidth="1" min="44" max="44" width="20.13"/>
    <col customWidth="1" min="45" max="45" width="19.88"/>
    <col customWidth="1" min="46" max="46" width="15.13"/>
    <col customWidth="1" min="47" max="47" width="16.63"/>
    <col customWidth="1" min="49" max="49" width="19.75"/>
    <col customWidth="1" min="50" max="50" width="19.13"/>
    <col customWidth="1" min="51" max="51" width="32.0"/>
    <col customWidth="1" min="52" max="52" width="20.63"/>
    <col customWidth="1" min="53" max="53" width="18.75"/>
    <col customWidth="1" min="54" max="54" width="28.75"/>
    <col customWidth="1" min="55" max="55" width="29.63"/>
    <col customWidth="1" min="57" max="57" width="32.38"/>
    <col customWidth="1" min="58" max="58" width="15.38"/>
    <col customWidth="1" min="59" max="59" width="18.5"/>
    <col customWidth="1" min="60" max="60" width="31.63"/>
    <col customWidth="1" min="61" max="61" width="31.38"/>
    <col customWidth="1" min="62" max="62" width="22.38"/>
  </cols>
  <sheetData>
    <row r="1" ht="15.75" customHeight="1">
      <c r="A1" s="307"/>
      <c r="B1" s="307"/>
      <c r="C1" s="307"/>
      <c r="D1" s="307"/>
      <c r="E1" s="307"/>
      <c r="F1" s="307"/>
      <c r="G1" s="307"/>
      <c r="H1" s="307"/>
      <c r="I1" s="307"/>
      <c r="J1" s="307"/>
      <c r="K1" s="307"/>
      <c r="L1" s="308"/>
      <c r="M1" s="308"/>
      <c r="N1" s="309"/>
      <c r="O1" s="309"/>
      <c r="P1" s="309"/>
      <c r="Q1" s="309"/>
      <c r="R1" s="309"/>
      <c r="S1" s="309"/>
      <c r="T1" s="309"/>
      <c r="U1" s="309"/>
      <c r="V1" s="309"/>
      <c r="W1" s="309"/>
      <c r="X1" s="308"/>
      <c r="Y1" s="308"/>
      <c r="Z1" s="310"/>
      <c r="AA1" s="310"/>
      <c r="AB1" s="310"/>
      <c r="AC1" s="310"/>
      <c r="AD1" s="310"/>
      <c r="AE1" s="310"/>
      <c r="AF1" s="310"/>
      <c r="AG1" s="310"/>
      <c r="AH1" s="310"/>
      <c r="AI1" s="310"/>
      <c r="AJ1" s="308"/>
      <c r="AK1" s="308"/>
      <c r="AL1" s="310"/>
      <c r="AM1" s="310"/>
      <c r="AN1" s="310"/>
      <c r="AO1" s="310"/>
      <c r="AP1" s="310"/>
      <c r="AQ1" s="310"/>
      <c r="AR1" s="310"/>
      <c r="AS1" s="310"/>
      <c r="AT1" s="310"/>
      <c r="AU1" s="310"/>
      <c r="AV1" s="308"/>
      <c r="AW1" s="308"/>
      <c r="AX1" s="308"/>
      <c r="AY1" s="308"/>
      <c r="AZ1" s="308"/>
      <c r="BA1" s="308"/>
      <c r="BB1" s="308"/>
      <c r="BC1" s="308"/>
      <c r="BD1" s="308"/>
      <c r="BE1" s="308"/>
      <c r="BF1" s="308"/>
      <c r="BG1" s="308"/>
      <c r="BH1" s="308"/>
      <c r="BI1" s="308"/>
      <c r="BJ1" s="308"/>
      <c r="BK1" s="308"/>
      <c r="BL1" s="308"/>
      <c r="BM1" s="308"/>
      <c r="BN1" s="308"/>
      <c r="BO1" s="308"/>
      <c r="BP1" s="308"/>
      <c r="BQ1" s="308"/>
      <c r="BR1" s="308"/>
      <c r="BS1" s="308"/>
      <c r="BT1" s="308"/>
      <c r="BU1" s="308"/>
      <c r="BV1" s="308"/>
      <c r="BW1" s="308"/>
      <c r="BX1" s="308"/>
      <c r="BY1" s="308"/>
      <c r="BZ1" s="308"/>
      <c r="CA1" s="308"/>
      <c r="CB1" s="308"/>
      <c r="CC1" s="308"/>
      <c r="CD1" s="308"/>
    </row>
    <row r="2" ht="15.75" customHeight="1">
      <c r="A2" s="307"/>
      <c r="B2" s="311" t="s">
        <v>265</v>
      </c>
      <c r="C2" s="20"/>
      <c r="D2" s="20"/>
      <c r="E2" s="20"/>
      <c r="F2" s="20"/>
      <c r="G2" s="20"/>
      <c r="H2" s="20"/>
      <c r="I2" s="20"/>
      <c r="J2" s="20"/>
      <c r="K2" s="21"/>
      <c r="L2" s="312"/>
      <c r="M2" s="312"/>
      <c r="N2" s="313" t="s">
        <v>266</v>
      </c>
      <c r="O2" s="20"/>
      <c r="P2" s="20"/>
      <c r="Q2" s="20"/>
      <c r="R2" s="20"/>
      <c r="S2" s="20"/>
      <c r="T2" s="20"/>
      <c r="U2" s="20"/>
      <c r="V2" s="20"/>
      <c r="W2" s="21"/>
      <c r="X2" s="312"/>
      <c r="Y2" s="312"/>
      <c r="Z2" s="314" t="s">
        <v>267</v>
      </c>
      <c r="AA2" s="20"/>
      <c r="AB2" s="20"/>
      <c r="AC2" s="20"/>
      <c r="AD2" s="20"/>
      <c r="AE2" s="20"/>
      <c r="AF2" s="20"/>
      <c r="AG2" s="20"/>
      <c r="AH2" s="20"/>
      <c r="AI2" s="21"/>
      <c r="AJ2" s="312"/>
      <c r="AK2" s="312"/>
      <c r="AL2" s="315" t="s">
        <v>268</v>
      </c>
      <c r="AM2" s="20"/>
      <c r="AN2" s="20"/>
      <c r="AO2" s="20"/>
      <c r="AP2" s="20"/>
      <c r="AQ2" s="20"/>
      <c r="AR2" s="20"/>
      <c r="AS2" s="20"/>
      <c r="AT2" s="20"/>
      <c r="AU2" s="21"/>
      <c r="AV2" s="312"/>
      <c r="AW2" s="312"/>
      <c r="AX2" s="312"/>
      <c r="AY2" s="312"/>
      <c r="AZ2" s="312"/>
      <c r="BA2" s="312"/>
      <c r="BB2" s="312"/>
      <c r="BC2" s="312"/>
      <c r="BD2" s="316"/>
      <c r="BE2" s="316"/>
      <c r="BF2" s="316"/>
      <c r="BG2" s="316"/>
      <c r="BH2" s="316"/>
      <c r="BI2" s="316"/>
      <c r="BJ2" s="316"/>
      <c r="BK2" s="316"/>
      <c r="BL2" s="316"/>
      <c r="BM2" s="316"/>
      <c r="BN2" s="316"/>
      <c r="BO2" s="316"/>
      <c r="BP2" s="316"/>
      <c r="BQ2" s="316"/>
      <c r="BR2" s="316"/>
      <c r="BS2" s="316"/>
      <c r="BT2" s="316"/>
      <c r="BU2" s="316"/>
      <c r="BV2" s="316"/>
      <c r="BW2" s="316"/>
      <c r="BX2" s="316"/>
      <c r="BY2" s="316"/>
      <c r="BZ2" s="316"/>
      <c r="CA2" s="316"/>
      <c r="CB2" s="316"/>
      <c r="CC2" s="316"/>
      <c r="CD2" s="316"/>
    </row>
    <row r="3" ht="15.75" customHeight="1">
      <c r="A3" s="307"/>
      <c r="B3" s="23"/>
      <c r="K3" s="24"/>
      <c r="L3" s="312"/>
      <c r="M3" s="312"/>
      <c r="N3" s="23"/>
      <c r="W3" s="24"/>
      <c r="X3" s="312"/>
      <c r="Y3" s="312"/>
      <c r="Z3" s="23"/>
      <c r="AI3" s="24"/>
      <c r="AJ3" s="312"/>
      <c r="AK3" s="312"/>
      <c r="AL3" s="23"/>
      <c r="AU3" s="24"/>
      <c r="AV3" s="312"/>
      <c r="AW3" s="312"/>
      <c r="AX3" s="312"/>
      <c r="AY3" s="312"/>
      <c r="AZ3" s="312"/>
      <c r="BA3" s="312"/>
      <c r="BB3" s="312"/>
      <c r="BC3" s="312"/>
      <c r="BD3" s="316"/>
      <c r="BE3" s="316"/>
      <c r="BF3" s="316"/>
      <c r="BG3" s="316"/>
      <c r="BH3" s="316"/>
      <c r="BI3" s="316"/>
      <c r="BJ3" s="316"/>
      <c r="BK3" s="316"/>
      <c r="BL3" s="316"/>
      <c r="BM3" s="316"/>
      <c r="BN3" s="316"/>
      <c r="BO3" s="316"/>
      <c r="BP3" s="316"/>
      <c r="BQ3" s="316"/>
      <c r="BR3" s="316"/>
      <c r="BS3" s="316"/>
      <c r="BT3" s="316"/>
      <c r="BU3" s="316"/>
      <c r="BV3" s="316"/>
      <c r="BW3" s="316"/>
      <c r="BX3" s="316"/>
      <c r="BY3" s="316"/>
      <c r="BZ3" s="316"/>
      <c r="CA3" s="316"/>
      <c r="CB3" s="316"/>
      <c r="CC3" s="316"/>
      <c r="CD3" s="316"/>
    </row>
    <row r="4" ht="15.75" customHeight="1">
      <c r="A4" s="307"/>
      <c r="B4" s="28"/>
      <c r="C4" s="29"/>
      <c r="D4" s="29"/>
      <c r="E4" s="29"/>
      <c r="F4" s="29"/>
      <c r="G4" s="29"/>
      <c r="H4" s="29"/>
      <c r="I4" s="29"/>
      <c r="J4" s="29"/>
      <c r="K4" s="30"/>
      <c r="L4" s="312"/>
      <c r="M4" s="312"/>
      <c r="N4" s="28"/>
      <c r="O4" s="29"/>
      <c r="P4" s="29"/>
      <c r="Q4" s="29"/>
      <c r="R4" s="29"/>
      <c r="S4" s="29"/>
      <c r="T4" s="29"/>
      <c r="U4" s="29"/>
      <c r="V4" s="29"/>
      <c r="W4" s="30"/>
      <c r="X4" s="312"/>
      <c r="Y4" s="312"/>
      <c r="Z4" s="28"/>
      <c r="AA4" s="29"/>
      <c r="AB4" s="29"/>
      <c r="AC4" s="29"/>
      <c r="AD4" s="29"/>
      <c r="AE4" s="29"/>
      <c r="AF4" s="29"/>
      <c r="AG4" s="29"/>
      <c r="AH4" s="29"/>
      <c r="AI4" s="30"/>
      <c r="AJ4" s="312"/>
      <c r="AK4" s="312"/>
      <c r="AL4" s="28"/>
      <c r="AM4" s="29"/>
      <c r="AN4" s="29"/>
      <c r="AO4" s="29"/>
      <c r="AP4" s="29"/>
      <c r="AQ4" s="29"/>
      <c r="AR4" s="29"/>
      <c r="AS4" s="29"/>
      <c r="AT4" s="29"/>
      <c r="AU4" s="30"/>
      <c r="AV4" s="312"/>
      <c r="AW4" s="312"/>
      <c r="AX4" s="312"/>
      <c r="AY4" s="317" t="s">
        <v>269</v>
      </c>
      <c r="AZ4" s="318"/>
      <c r="BA4" s="318"/>
      <c r="BB4" s="318"/>
      <c r="BC4" s="319"/>
      <c r="BD4" s="316"/>
      <c r="BE4" s="320" t="s">
        <v>270</v>
      </c>
      <c r="BF4" s="318"/>
      <c r="BG4" s="318"/>
      <c r="BH4" s="318"/>
      <c r="BI4" s="319"/>
      <c r="BJ4" s="316"/>
      <c r="BK4" s="316"/>
      <c r="BL4" s="316"/>
      <c r="BM4" s="316"/>
      <c r="BN4" s="316"/>
      <c r="BO4" s="316"/>
      <c r="BP4" s="316"/>
      <c r="BQ4" s="316"/>
      <c r="BR4" s="316"/>
      <c r="BS4" s="316"/>
      <c r="BT4" s="316"/>
      <c r="BU4" s="316"/>
      <c r="BV4" s="316"/>
      <c r="BW4" s="316"/>
      <c r="BX4" s="316"/>
      <c r="BY4" s="316"/>
      <c r="BZ4" s="316"/>
      <c r="CA4" s="316"/>
      <c r="CB4" s="316"/>
      <c r="CC4" s="316"/>
      <c r="CD4" s="316"/>
    </row>
    <row r="5" ht="15.75" customHeight="1">
      <c r="A5" s="308"/>
      <c r="B5" s="312"/>
      <c r="C5" s="312"/>
      <c r="D5" s="312"/>
      <c r="E5" s="312"/>
      <c r="F5" s="312"/>
      <c r="G5" s="312"/>
      <c r="H5" s="312"/>
      <c r="I5" s="312"/>
      <c r="J5" s="312"/>
      <c r="K5" s="312"/>
      <c r="L5" s="312"/>
      <c r="M5" s="312"/>
      <c r="N5" s="312"/>
      <c r="O5" s="312"/>
      <c r="P5" s="312"/>
      <c r="Q5" s="312"/>
      <c r="R5" s="312"/>
      <c r="S5" s="312"/>
      <c r="T5" s="312"/>
      <c r="U5" s="312"/>
      <c r="V5" s="312"/>
      <c r="W5" s="312"/>
      <c r="X5" s="312"/>
      <c r="Y5" s="312"/>
      <c r="Z5" s="312"/>
      <c r="AA5" s="312"/>
      <c r="AB5" s="312"/>
      <c r="AC5" s="312"/>
      <c r="AD5" s="312"/>
      <c r="AE5" s="312"/>
      <c r="AF5" s="312"/>
      <c r="AG5" s="312"/>
      <c r="AH5" s="312"/>
      <c r="AI5" s="312"/>
      <c r="AJ5" s="312"/>
      <c r="AK5" s="312"/>
      <c r="AL5" s="312"/>
      <c r="AM5" s="312"/>
      <c r="AN5" s="312"/>
      <c r="AO5" s="312"/>
      <c r="AP5" s="312"/>
      <c r="AQ5" s="312"/>
      <c r="AR5" s="312"/>
      <c r="AS5" s="312"/>
      <c r="AT5" s="312"/>
      <c r="AU5" s="312"/>
      <c r="AV5" s="312"/>
      <c r="AW5" s="312"/>
      <c r="AX5" s="312"/>
      <c r="AY5" s="151" t="s">
        <v>223</v>
      </c>
      <c r="AZ5" s="151" t="s">
        <v>271</v>
      </c>
      <c r="BA5" s="151" t="s">
        <v>266</v>
      </c>
      <c r="BB5" s="151" t="s">
        <v>267</v>
      </c>
      <c r="BC5" s="151" t="s">
        <v>268</v>
      </c>
      <c r="BD5" s="316"/>
      <c r="BE5" s="167" t="s">
        <v>226</v>
      </c>
      <c r="BF5" s="321" t="s">
        <v>271</v>
      </c>
      <c r="BG5" s="321" t="s">
        <v>266</v>
      </c>
      <c r="BH5" s="321" t="s">
        <v>267</v>
      </c>
      <c r="BI5" s="321" t="s">
        <v>268</v>
      </c>
      <c r="BJ5" s="308"/>
      <c r="BK5" s="308"/>
      <c r="BL5" s="308"/>
      <c r="BM5" s="308"/>
      <c r="BN5" s="308"/>
      <c r="BO5" s="308"/>
      <c r="BP5" s="308"/>
      <c r="BQ5" s="308"/>
      <c r="BR5" s="308"/>
      <c r="BS5" s="308"/>
      <c r="BT5" s="308"/>
      <c r="BU5" s="308"/>
      <c r="BV5" s="308"/>
      <c r="BW5" s="308"/>
      <c r="BX5" s="308"/>
      <c r="BY5" s="308"/>
      <c r="BZ5" s="308"/>
      <c r="CA5" s="308"/>
      <c r="CB5" s="308"/>
      <c r="CC5" s="308"/>
      <c r="CD5" s="308"/>
    </row>
    <row r="6" ht="15.75" customHeight="1">
      <c r="A6" s="322"/>
      <c r="B6" s="323" t="s">
        <v>227</v>
      </c>
      <c r="C6" s="324" t="s">
        <v>228</v>
      </c>
      <c r="D6" s="324" t="s">
        <v>229</v>
      </c>
      <c r="E6" s="324" t="s">
        <v>230</v>
      </c>
      <c r="F6" s="324" t="s">
        <v>231</v>
      </c>
      <c r="G6" s="324" t="s">
        <v>232</v>
      </c>
      <c r="H6" s="325" t="s">
        <v>233</v>
      </c>
      <c r="I6" s="325" t="s">
        <v>234</v>
      </c>
      <c r="J6" s="325" t="s">
        <v>272</v>
      </c>
      <c r="K6" s="326" t="s">
        <v>273</v>
      </c>
      <c r="L6" s="327"/>
      <c r="M6" s="327"/>
      <c r="N6" s="328" t="s">
        <v>227</v>
      </c>
      <c r="O6" s="325" t="s">
        <v>228</v>
      </c>
      <c r="P6" s="325" t="s">
        <v>229</v>
      </c>
      <c r="Q6" s="325" t="s">
        <v>230</v>
      </c>
      <c r="R6" s="325" t="s">
        <v>274</v>
      </c>
      <c r="S6" s="324" t="s">
        <v>232</v>
      </c>
      <c r="T6" s="325" t="s">
        <v>233</v>
      </c>
      <c r="U6" s="325" t="s">
        <v>234</v>
      </c>
      <c r="V6" s="325" t="s">
        <v>272</v>
      </c>
      <c r="W6" s="326" t="s">
        <v>273</v>
      </c>
      <c r="X6" s="327"/>
      <c r="Y6" s="327"/>
      <c r="Z6" s="328" t="s">
        <v>227</v>
      </c>
      <c r="AA6" s="325" t="s">
        <v>228</v>
      </c>
      <c r="AB6" s="325" t="s">
        <v>229</v>
      </c>
      <c r="AC6" s="325" t="s">
        <v>230</v>
      </c>
      <c r="AD6" s="325" t="s">
        <v>274</v>
      </c>
      <c r="AE6" s="324" t="s">
        <v>232</v>
      </c>
      <c r="AF6" s="325" t="s">
        <v>233</v>
      </c>
      <c r="AG6" s="325" t="s">
        <v>234</v>
      </c>
      <c r="AH6" s="325" t="s">
        <v>272</v>
      </c>
      <c r="AI6" s="326" t="s">
        <v>273</v>
      </c>
      <c r="AJ6" s="327"/>
      <c r="AK6" s="327"/>
      <c r="AL6" s="329" t="s">
        <v>227</v>
      </c>
      <c r="AM6" s="330" t="s">
        <v>228</v>
      </c>
      <c r="AN6" s="330" t="s">
        <v>229</v>
      </c>
      <c r="AO6" s="330" t="s">
        <v>230</v>
      </c>
      <c r="AP6" s="330" t="s">
        <v>274</v>
      </c>
      <c r="AQ6" s="324" t="s">
        <v>232</v>
      </c>
      <c r="AR6" s="325" t="s">
        <v>233</v>
      </c>
      <c r="AS6" s="325" t="s">
        <v>234</v>
      </c>
      <c r="AT6" s="325" t="s">
        <v>272</v>
      </c>
      <c r="AU6" s="326" t="s">
        <v>273</v>
      </c>
      <c r="AV6" s="331"/>
      <c r="AW6" s="332" t="s">
        <v>237</v>
      </c>
      <c r="AX6" s="331"/>
      <c r="AY6" s="151" t="s">
        <v>271</v>
      </c>
      <c r="AZ6" s="166">
        <f>(COVAR(H7:H271,H7:H271))*252</f>
        <v>0.0125309138</v>
      </c>
      <c r="BA6" s="166">
        <f>(COVAR(H7:H264,T7:T264))*252</f>
        <v>0.001319977003</v>
      </c>
      <c r="BB6" s="166">
        <f>(COVAR(H7:H264,AF7:AF264))*252</f>
        <v>0.01291858076</v>
      </c>
      <c r="BC6" s="166">
        <f>(COVAR(H7:H264,AR7:AR264))*252</f>
        <v>0.0004704928612</v>
      </c>
      <c r="BD6" s="333"/>
      <c r="BE6" s="321" t="s">
        <v>271</v>
      </c>
      <c r="BF6" s="153">
        <f>CORREL(H7:H272,H7:H272)</f>
        <v>1</v>
      </c>
      <c r="BG6" s="153">
        <f>CORREL(H7:H264,T7:T264)</f>
        <v>0.07761537012</v>
      </c>
      <c r="BH6" s="153">
        <f>CORREL(H7:H264,AF7:AF264)</f>
        <v>0.8835406202</v>
      </c>
      <c r="BI6" s="153">
        <f>CORREL(H7:H264,AR7:AR264)</f>
        <v>0.09441135933</v>
      </c>
      <c r="BJ6" s="207"/>
      <c r="BK6" s="207"/>
      <c r="BL6" s="207"/>
      <c r="BM6" s="207"/>
      <c r="BN6" s="207"/>
      <c r="BO6" s="207"/>
      <c r="BP6" s="207"/>
      <c r="BQ6" s="207"/>
      <c r="BR6" s="207"/>
      <c r="BS6" s="207"/>
      <c r="BT6" s="207"/>
      <c r="BU6" s="207"/>
      <c r="BV6" s="207"/>
      <c r="BW6" s="207"/>
      <c r="BX6" s="207"/>
      <c r="BY6" s="207"/>
      <c r="BZ6" s="207"/>
      <c r="CA6" s="207"/>
      <c r="CB6" s="207"/>
      <c r="CC6" s="207"/>
      <c r="CD6" s="207"/>
    </row>
    <row r="7" ht="15.75" customHeight="1">
      <c r="A7" s="308"/>
      <c r="B7" s="334">
        <v>45384.0</v>
      </c>
      <c r="C7" s="335">
        <v>75.667</v>
      </c>
      <c r="D7" s="335">
        <v>75.667</v>
      </c>
      <c r="E7" s="335">
        <v>75.667</v>
      </c>
      <c r="F7" s="335">
        <v>75.667</v>
      </c>
      <c r="G7" s="335" t="s">
        <v>238</v>
      </c>
      <c r="H7" s="336">
        <v>0.0</v>
      </c>
      <c r="I7" s="337">
        <f>STDEV(H7:H264)*15.8745078664</f>
        <v>0.1121591379</v>
      </c>
      <c r="J7" s="338">
        <f>AVERAGE(H7:H264)</f>
        <v>0.0005592652671</v>
      </c>
      <c r="K7" s="339">
        <f>(1 + J7)^252 - 1
</f>
        <v>0.1513042752</v>
      </c>
      <c r="L7" s="312"/>
      <c r="M7" s="312"/>
      <c r="N7" s="340">
        <v>45384.0</v>
      </c>
      <c r="O7" s="341">
        <v>28.362</v>
      </c>
      <c r="P7" s="341">
        <v>28.362</v>
      </c>
      <c r="Q7" s="341">
        <v>28.362</v>
      </c>
      <c r="R7" s="341">
        <v>28.362</v>
      </c>
      <c r="S7" s="335" t="s">
        <v>238</v>
      </c>
      <c r="T7" s="336">
        <v>0.0</v>
      </c>
      <c r="U7" s="337">
        <f>STDEV(T7:T264)*15.8745078664</f>
        <v>0.1522195915</v>
      </c>
      <c r="V7" s="338">
        <f>AVERAGE(T7:T264)</f>
        <v>0.001153496247</v>
      </c>
      <c r="W7" s="339">
        <f>(1 + V7)^252 - 1
</f>
        <v>0.3371139643</v>
      </c>
      <c r="X7" s="312"/>
      <c r="Y7" s="312"/>
      <c r="Z7" s="340">
        <v>45384.0</v>
      </c>
      <c r="AA7" s="341">
        <v>1757.667</v>
      </c>
      <c r="AB7" s="341">
        <v>1757.667</v>
      </c>
      <c r="AC7" s="341">
        <v>1757.667</v>
      </c>
      <c r="AD7" s="341">
        <v>1757.667</v>
      </c>
      <c r="AE7" s="335" t="s">
        <v>238</v>
      </c>
      <c r="AF7" s="336">
        <v>0.0</v>
      </c>
      <c r="AG7" s="337">
        <f>STDEV(AF7:AF264)*15.8745078664</f>
        <v>0.1308700306</v>
      </c>
      <c r="AH7" s="338">
        <f>AVERAGE(AF7:AF264)</f>
        <v>0.0006843539067</v>
      </c>
      <c r="AI7" s="339">
        <f>(1 + AH7)^252 - 1
</f>
        <v>0.1881508613</v>
      </c>
      <c r="AJ7" s="312"/>
      <c r="AK7" s="312"/>
      <c r="AL7" s="342">
        <v>45384.0</v>
      </c>
      <c r="AM7" s="343">
        <v>20.277</v>
      </c>
      <c r="AN7" s="343">
        <v>20.277</v>
      </c>
      <c r="AO7" s="343">
        <v>20.277</v>
      </c>
      <c r="AP7" s="343">
        <v>20.277</v>
      </c>
      <c r="AQ7" s="335" t="s">
        <v>238</v>
      </c>
      <c r="AR7" s="336">
        <v>0.0</v>
      </c>
      <c r="AS7" s="337">
        <f>STDEV(AR7:AR264)*15.8745078664</f>
        <v>0.04460470872</v>
      </c>
      <c r="AT7" s="338">
        <f>AVERAGE(AR7:AR264)</f>
        <v>0.0006646473372</v>
      </c>
      <c r="AU7" s="339">
        <f>(1 + AT7)^252 - 1
</f>
        <v>0.1822690224</v>
      </c>
      <c r="AV7" s="312"/>
      <c r="AW7" s="344">
        <v>0.0586</v>
      </c>
      <c r="AX7" s="312"/>
      <c r="AY7" s="151" t="s">
        <v>266</v>
      </c>
      <c r="AZ7" s="166">
        <f>(COVAR(H7:H264,T7:T264))*252</f>
        <v>0.001319977003</v>
      </c>
      <c r="BA7" s="166">
        <f>(COVAR(T7:T264,T7:T264))*252</f>
        <v>0.02308099473</v>
      </c>
      <c r="BB7" s="166">
        <f>(COVAR(AF7:AF264,T7:T264))*252</f>
        <v>0.001626176471</v>
      </c>
      <c r="BC7" s="166">
        <f>(COVAR(T7:T264,AR7:AR264))*252</f>
        <v>0.0004050961474</v>
      </c>
      <c r="BD7" s="345"/>
      <c r="BE7" s="321" t="s">
        <v>275</v>
      </c>
      <c r="BF7" s="153">
        <f>CORREL(H7:H264,T7:T264)</f>
        <v>0.07761537012</v>
      </c>
      <c r="BG7" s="153">
        <f>CORREL(T7:T271,T7:T271)</f>
        <v>1</v>
      </c>
      <c r="BH7" s="153">
        <f>CORREL(AF7:AF271,T7:T271)</f>
        <v>0.08194897004</v>
      </c>
      <c r="BI7" s="153">
        <f>CORREL(T7:T270,AR7:AR270)</f>
        <v>0.05989539531</v>
      </c>
      <c r="BJ7" s="346"/>
      <c r="BK7" s="346"/>
      <c r="BL7" s="346"/>
      <c r="BM7" s="346"/>
      <c r="BN7" s="346"/>
      <c r="BO7" s="346"/>
      <c r="BP7" s="346"/>
      <c r="BQ7" s="346"/>
      <c r="BR7" s="346"/>
      <c r="BS7" s="346"/>
      <c r="BT7" s="346"/>
      <c r="BU7" s="346"/>
      <c r="BV7" s="346"/>
      <c r="BW7" s="346"/>
      <c r="BX7" s="346"/>
      <c r="BY7" s="346"/>
      <c r="BZ7" s="346"/>
      <c r="CA7" s="346"/>
      <c r="CB7" s="346"/>
      <c r="CC7" s="346"/>
      <c r="CD7" s="346"/>
    </row>
    <row r="8" ht="15.75" customHeight="1">
      <c r="A8" s="308"/>
      <c r="B8" s="334">
        <v>45385.0</v>
      </c>
      <c r="C8" s="335">
        <v>75.748</v>
      </c>
      <c r="D8" s="335">
        <v>75.748</v>
      </c>
      <c r="E8" s="335">
        <v>75.748</v>
      </c>
      <c r="F8" s="335">
        <v>75.748</v>
      </c>
      <c r="G8" s="335" t="s">
        <v>238</v>
      </c>
      <c r="H8" s="336">
        <f t="shared" ref="H8:H264" si="1">LN(F8/F7)</f>
        <v>0.001069907311</v>
      </c>
      <c r="I8" s="338"/>
      <c r="J8" s="338"/>
      <c r="K8" s="347">
        <f>(1 + J7)^252 - 1
</f>
        <v>0.1513042752</v>
      </c>
      <c r="L8" s="312"/>
      <c r="M8" s="312"/>
      <c r="N8" s="340">
        <v>45385.0</v>
      </c>
      <c r="O8" s="341">
        <v>28.425</v>
      </c>
      <c r="P8" s="341">
        <v>28.425</v>
      </c>
      <c r="Q8" s="341">
        <v>28.425</v>
      </c>
      <c r="R8" s="341">
        <v>28.425</v>
      </c>
      <c r="S8" s="335" t="s">
        <v>238</v>
      </c>
      <c r="T8" s="336">
        <f t="shared" ref="T8:T264" si="2">LN(R8/R7)</f>
        <v>0.002218818597</v>
      </c>
      <c r="U8" s="338"/>
      <c r="V8" s="338"/>
      <c r="W8" s="347">
        <f>(1 + V7)^252 - 1
</f>
        <v>0.3371139643</v>
      </c>
      <c r="X8" s="312"/>
      <c r="Y8" s="312"/>
      <c r="Z8" s="340">
        <v>45385.0</v>
      </c>
      <c r="AA8" s="341">
        <v>1759.755</v>
      </c>
      <c r="AB8" s="341">
        <v>1759.755</v>
      </c>
      <c r="AC8" s="341">
        <v>1759.755</v>
      </c>
      <c r="AD8" s="341">
        <v>1759.755</v>
      </c>
      <c r="AE8" s="335" t="s">
        <v>238</v>
      </c>
      <c r="AF8" s="336">
        <f t="shared" ref="AF8:AF264" si="3">LN(AD8/AD7)</f>
        <v>0.001187233289</v>
      </c>
      <c r="AG8" s="338"/>
      <c r="AH8" s="338"/>
      <c r="AI8" s="347">
        <f>(1 + AH7)^252 - 1
</f>
        <v>0.1881508613</v>
      </c>
      <c r="AJ8" s="312"/>
      <c r="AK8" s="312"/>
      <c r="AL8" s="342">
        <v>45385.0</v>
      </c>
      <c r="AM8" s="343">
        <v>20.282</v>
      </c>
      <c r="AN8" s="343">
        <v>20.282</v>
      </c>
      <c r="AO8" s="343">
        <v>20.282</v>
      </c>
      <c r="AP8" s="343">
        <v>20.282</v>
      </c>
      <c r="AQ8" s="335" t="s">
        <v>238</v>
      </c>
      <c r="AR8" s="336">
        <f t="shared" ref="AR8:AR264" si="4">LN(AP8/AP7)</f>
        <v>0.0002465544035</v>
      </c>
      <c r="AS8" s="338"/>
      <c r="AT8" s="338"/>
      <c r="AU8" s="347">
        <f>(1 + AT7)^252 - 1
</f>
        <v>0.1822690224</v>
      </c>
      <c r="AV8" s="312"/>
      <c r="AW8" s="312"/>
      <c r="AX8" s="312"/>
      <c r="AY8" s="151" t="s">
        <v>267</v>
      </c>
      <c r="AZ8" s="166">
        <f>(COVAR(H7:H264,AF7:AF264))*252</f>
        <v>0.01291858076</v>
      </c>
      <c r="BA8" s="166">
        <f>(COVAR(AF7:AF264,T7:T264))*252</f>
        <v>0.001626176471</v>
      </c>
      <c r="BB8" s="166">
        <f>(COVAR(AF7:AF264,AF7:AF264))*252</f>
        <v>0.01706058132</v>
      </c>
      <c r="BC8" s="166">
        <f>(COVAR(AR7:AR264,AF7:AF264))*252</f>
        <v>0.000609126063</v>
      </c>
      <c r="BD8" s="345"/>
      <c r="BE8" s="321" t="s">
        <v>276</v>
      </c>
      <c r="BF8" s="153">
        <f>CORREL(H7:H264,AF7:AF264)</f>
        <v>0.8835406202</v>
      </c>
      <c r="BG8" s="153">
        <f>CORREL(AF7:AF270,T7:T270)</f>
        <v>0.08194897004</v>
      </c>
      <c r="BH8" s="153">
        <f>CORREL(AF7:AF271,AF7:AF271)</f>
        <v>1</v>
      </c>
      <c r="BI8" s="153">
        <f>CORREL(AF7:AF270,AR7:AR270)</f>
        <v>0.1047545398</v>
      </c>
      <c r="BJ8" s="346"/>
      <c r="BK8" s="346"/>
      <c r="BL8" s="346"/>
      <c r="BM8" s="346"/>
      <c r="BN8" s="346"/>
      <c r="BO8" s="346"/>
      <c r="BP8" s="346"/>
      <c r="BQ8" s="346"/>
      <c r="BR8" s="346"/>
      <c r="BS8" s="346"/>
      <c r="BT8" s="346"/>
      <c r="BU8" s="346"/>
      <c r="BV8" s="346"/>
      <c r="BW8" s="346"/>
      <c r="BX8" s="346"/>
      <c r="BY8" s="346"/>
      <c r="BZ8" s="346"/>
      <c r="CA8" s="346"/>
      <c r="CB8" s="346"/>
      <c r="CC8" s="346"/>
      <c r="CD8" s="346"/>
    </row>
    <row r="9" ht="15.75" customHeight="1">
      <c r="A9" s="308"/>
      <c r="B9" s="334">
        <v>45386.0</v>
      </c>
      <c r="C9" s="335">
        <v>75.787</v>
      </c>
      <c r="D9" s="335">
        <v>75.787</v>
      </c>
      <c r="E9" s="335">
        <v>75.787</v>
      </c>
      <c r="F9" s="335">
        <v>75.787</v>
      </c>
      <c r="G9" s="335" t="s">
        <v>238</v>
      </c>
      <c r="H9" s="336">
        <f t="shared" si="1"/>
        <v>0.0005147325814</v>
      </c>
      <c r="I9" s="336"/>
      <c r="J9" s="336"/>
      <c r="K9" s="348"/>
      <c r="L9" s="312"/>
      <c r="M9" s="312"/>
      <c r="N9" s="340">
        <v>45386.0</v>
      </c>
      <c r="O9" s="341">
        <v>28.623</v>
      </c>
      <c r="P9" s="341">
        <v>28.623</v>
      </c>
      <c r="Q9" s="341">
        <v>28.623</v>
      </c>
      <c r="R9" s="341">
        <v>28.623</v>
      </c>
      <c r="S9" s="335" t="s">
        <v>238</v>
      </c>
      <c r="T9" s="336">
        <f t="shared" si="2"/>
        <v>0.006941550801</v>
      </c>
      <c r="U9" s="336"/>
      <c r="V9" s="336"/>
      <c r="W9" s="348"/>
      <c r="X9" s="312"/>
      <c r="Y9" s="312"/>
      <c r="Z9" s="340">
        <v>45386.0</v>
      </c>
      <c r="AA9" s="341">
        <v>1763.545</v>
      </c>
      <c r="AB9" s="341">
        <v>1763.545</v>
      </c>
      <c r="AC9" s="341">
        <v>1763.545</v>
      </c>
      <c r="AD9" s="341">
        <v>1763.545</v>
      </c>
      <c r="AE9" s="335" t="s">
        <v>238</v>
      </c>
      <c r="AF9" s="336">
        <f t="shared" si="3"/>
        <v>0.002151392991</v>
      </c>
      <c r="AG9" s="336"/>
      <c r="AH9" s="336"/>
      <c r="AI9" s="348"/>
      <c r="AJ9" s="312"/>
      <c r="AK9" s="312"/>
      <c r="AL9" s="342">
        <v>45386.0</v>
      </c>
      <c r="AM9" s="343">
        <v>20.291</v>
      </c>
      <c r="AN9" s="343">
        <v>20.291</v>
      </c>
      <c r="AO9" s="343">
        <v>20.291</v>
      </c>
      <c r="AP9" s="343">
        <v>20.291</v>
      </c>
      <c r="AQ9" s="335" t="s">
        <v>238</v>
      </c>
      <c r="AR9" s="336">
        <f t="shared" si="4"/>
        <v>0.0004436447957</v>
      </c>
      <c r="AS9" s="336"/>
      <c r="AT9" s="336"/>
      <c r="AU9" s="348"/>
      <c r="AV9" s="312"/>
      <c r="AW9" s="312"/>
      <c r="AX9" s="312"/>
      <c r="AY9" s="151" t="s">
        <v>268</v>
      </c>
      <c r="AZ9" s="166">
        <f>(COVAR(H7:H264,AR7:AR264))*252</f>
        <v>0.0004704928612</v>
      </c>
      <c r="BA9" s="166">
        <f>(COVAR(T7:T264,AR7:AR264))*252</f>
        <v>0.0004050961474</v>
      </c>
      <c r="BB9" s="166">
        <f>(COVAR(AR7:AR264,AF7:AF264))*252</f>
        <v>0.000609126063</v>
      </c>
      <c r="BC9" s="166">
        <f>(COVAR(AR7:AR264,AR7:AR264))*252</f>
        <v>0.00198186849</v>
      </c>
      <c r="BD9" s="345"/>
      <c r="BE9" s="349" t="s">
        <v>277</v>
      </c>
      <c r="BF9" s="350">
        <f>CORREL(H7:H264,AR7:AR264)</f>
        <v>0.09441135933</v>
      </c>
      <c r="BG9" s="350">
        <f>CORREL(T7:T270,AR7:AR270)</f>
        <v>0.05989539531</v>
      </c>
      <c r="BH9" s="350">
        <f>CORREL(AF7:AF264,AR7:AR264)</f>
        <v>0.1047545398</v>
      </c>
      <c r="BI9" s="350">
        <f>CORREL(AR7:AR270,AR7:AR270)</f>
        <v>1</v>
      </c>
      <c r="BJ9" s="346"/>
      <c r="BK9" s="346"/>
      <c r="BL9" s="346"/>
      <c r="BM9" s="346"/>
      <c r="BN9" s="346"/>
      <c r="BO9" s="346"/>
      <c r="BP9" s="346"/>
      <c r="BQ9" s="346"/>
      <c r="BR9" s="346"/>
      <c r="BS9" s="346"/>
      <c r="BT9" s="346"/>
      <c r="BU9" s="346"/>
      <c r="BV9" s="346"/>
      <c r="BW9" s="346"/>
      <c r="BX9" s="346"/>
      <c r="BY9" s="346"/>
      <c r="BZ9" s="346"/>
      <c r="CA9" s="346"/>
      <c r="CB9" s="346"/>
      <c r="CC9" s="346"/>
      <c r="CD9" s="346"/>
    </row>
    <row r="10" ht="15.75" customHeight="1">
      <c r="A10" s="308"/>
      <c r="B10" s="334">
        <v>45387.0</v>
      </c>
      <c r="C10" s="335">
        <v>76.328</v>
      </c>
      <c r="D10" s="335">
        <v>76.328</v>
      </c>
      <c r="E10" s="335">
        <v>76.328</v>
      </c>
      <c r="F10" s="335">
        <v>76.328</v>
      </c>
      <c r="G10" s="335" t="s">
        <v>238</v>
      </c>
      <c r="H10" s="336">
        <f t="shared" si="1"/>
        <v>0.007113069467</v>
      </c>
      <c r="I10" s="336"/>
      <c r="J10" s="336"/>
      <c r="K10" s="348"/>
      <c r="L10" s="312"/>
      <c r="M10" s="312"/>
      <c r="N10" s="340">
        <v>45387.0</v>
      </c>
      <c r="O10" s="341">
        <v>28.55</v>
      </c>
      <c r="P10" s="341">
        <v>28.55</v>
      </c>
      <c r="Q10" s="341">
        <v>28.55</v>
      </c>
      <c r="R10" s="341">
        <v>28.55</v>
      </c>
      <c r="S10" s="335" t="s">
        <v>238</v>
      </c>
      <c r="T10" s="336">
        <f t="shared" si="2"/>
        <v>-0.002553654336</v>
      </c>
      <c r="U10" s="336"/>
      <c r="V10" s="336"/>
      <c r="W10" s="348"/>
      <c r="X10" s="312"/>
      <c r="Y10" s="312"/>
      <c r="Z10" s="340">
        <v>45387.0</v>
      </c>
      <c r="AA10" s="341">
        <v>1768.908</v>
      </c>
      <c r="AB10" s="341">
        <v>1768.908</v>
      </c>
      <c r="AC10" s="341">
        <v>1768.908</v>
      </c>
      <c r="AD10" s="341">
        <v>1768.908</v>
      </c>
      <c r="AE10" s="335" t="s">
        <v>238</v>
      </c>
      <c r="AF10" s="336">
        <f t="shared" si="3"/>
        <v>0.003036419236</v>
      </c>
      <c r="AG10" s="336"/>
      <c r="AH10" s="336"/>
      <c r="AI10" s="348"/>
      <c r="AJ10" s="312"/>
      <c r="AK10" s="312"/>
      <c r="AL10" s="342">
        <v>45387.0</v>
      </c>
      <c r="AM10" s="343">
        <v>20.289</v>
      </c>
      <c r="AN10" s="343">
        <v>20.289</v>
      </c>
      <c r="AO10" s="343">
        <v>20.289</v>
      </c>
      <c r="AP10" s="343">
        <v>20.289</v>
      </c>
      <c r="AQ10" s="335" t="s">
        <v>238</v>
      </c>
      <c r="AR10" s="336">
        <f t="shared" si="4"/>
        <v>-0.00009857072457</v>
      </c>
      <c r="AS10" s="336"/>
      <c r="AT10" s="336"/>
      <c r="AU10" s="348"/>
      <c r="AV10" s="312"/>
      <c r="AW10" s="312"/>
      <c r="AX10" s="312"/>
      <c r="AY10" s="312"/>
      <c r="AZ10" s="312"/>
      <c r="BA10" s="312"/>
      <c r="BB10" s="312"/>
      <c r="BC10" s="312"/>
      <c r="BD10" s="345"/>
      <c r="BE10" s="207"/>
      <c r="BF10" s="346"/>
      <c r="BG10" s="346"/>
      <c r="BH10" s="346"/>
      <c r="BI10" s="346"/>
      <c r="BJ10" s="346"/>
      <c r="BK10" s="346"/>
      <c r="BL10" s="346"/>
      <c r="BM10" s="346"/>
      <c r="BN10" s="346"/>
      <c r="BO10" s="346"/>
      <c r="BP10" s="346"/>
      <c r="BQ10" s="346"/>
      <c r="BR10" s="346"/>
      <c r="BS10" s="346"/>
      <c r="BT10" s="346"/>
      <c r="BU10" s="346"/>
      <c r="BV10" s="346"/>
      <c r="BW10" s="346"/>
      <c r="BX10" s="346"/>
      <c r="BY10" s="346"/>
      <c r="BZ10" s="346"/>
      <c r="CA10" s="346"/>
      <c r="CB10" s="346"/>
      <c r="CC10" s="346"/>
      <c r="CD10" s="346"/>
    </row>
    <row r="11" ht="15.75" customHeight="1">
      <c r="A11" s="308"/>
      <c r="B11" s="334">
        <v>45390.0</v>
      </c>
      <c r="C11" s="335">
        <v>76.729</v>
      </c>
      <c r="D11" s="335">
        <v>76.729</v>
      </c>
      <c r="E11" s="335">
        <v>76.729</v>
      </c>
      <c r="F11" s="335">
        <v>76.729</v>
      </c>
      <c r="G11" s="335" t="s">
        <v>238</v>
      </c>
      <c r="H11" s="336">
        <f t="shared" si="1"/>
        <v>0.005239889943</v>
      </c>
      <c r="I11" s="336"/>
      <c r="J11" s="336"/>
      <c r="K11" s="348"/>
      <c r="L11" s="312"/>
      <c r="M11" s="312"/>
      <c r="N11" s="340">
        <v>45390.0</v>
      </c>
      <c r="O11" s="341">
        <v>29.12</v>
      </c>
      <c r="P11" s="341">
        <v>29.12</v>
      </c>
      <c r="Q11" s="341">
        <v>29.12</v>
      </c>
      <c r="R11" s="341">
        <v>29.12</v>
      </c>
      <c r="S11" s="335" t="s">
        <v>238</v>
      </c>
      <c r="T11" s="336">
        <f t="shared" si="2"/>
        <v>0.01976828723</v>
      </c>
      <c r="U11" s="336"/>
      <c r="V11" s="336"/>
      <c r="W11" s="348"/>
      <c r="X11" s="312"/>
      <c r="Y11" s="312"/>
      <c r="Z11" s="340">
        <v>45390.0</v>
      </c>
      <c r="AA11" s="341">
        <v>1776.619</v>
      </c>
      <c r="AB11" s="341">
        <v>1776.619</v>
      </c>
      <c r="AC11" s="341">
        <v>1776.619</v>
      </c>
      <c r="AD11" s="341">
        <v>1776.619</v>
      </c>
      <c r="AE11" s="335" t="s">
        <v>238</v>
      </c>
      <c r="AF11" s="336">
        <f t="shared" si="3"/>
        <v>0.00434971284</v>
      </c>
      <c r="AG11" s="336"/>
      <c r="AH11" s="336"/>
      <c r="AI11" s="348"/>
      <c r="AJ11" s="312"/>
      <c r="AK11" s="312"/>
      <c r="AL11" s="342">
        <v>45390.0</v>
      </c>
      <c r="AM11" s="343">
        <v>20.282</v>
      </c>
      <c r="AN11" s="343">
        <v>20.282</v>
      </c>
      <c r="AO11" s="343">
        <v>20.282</v>
      </c>
      <c r="AP11" s="343">
        <v>20.282</v>
      </c>
      <c r="AQ11" s="335" t="s">
        <v>238</v>
      </c>
      <c r="AR11" s="336">
        <f t="shared" si="4"/>
        <v>-0.0003450740711</v>
      </c>
      <c r="AS11" s="336"/>
      <c r="AT11" s="336"/>
      <c r="AU11" s="348"/>
      <c r="AV11" s="312"/>
      <c r="AW11" s="312"/>
      <c r="AX11" s="312"/>
      <c r="AY11" s="351" t="s">
        <v>278</v>
      </c>
      <c r="AZ11" s="318"/>
      <c r="BA11" s="318"/>
      <c r="BB11" s="318"/>
      <c r="BC11" s="319"/>
      <c r="BD11" s="316"/>
      <c r="BE11" s="352" t="s">
        <v>279</v>
      </c>
      <c r="BF11" s="318"/>
      <c r="BG11" s="318"/>
      <c r="BH11" s="318"/>
      <c r="BI11" s="319"/>
      <c r="BJ11" s="308"/>
      <c r="BK11" s="308"/>
      <c r="BL11" s="308"/>
      <c r="BM11" s="308"/>
      <c r="BN11" s="308"/>
      <c r="BO11" s="308"/>
      <c r="BP11" s="308"/>
      <c r="BQ11" s="308"/>
      <c r="BR11" s="308"/>
      <c r="BS11" s="308"/>
      <c r="BT11" s="308"/>
      <c r="BU11" s="308"/>
      <c r="BV11" s="308"/>
      <c r="BW11" s="308"/>
      <c r="BX11" s="308"/>
      <c r="BY11" s="308"/>
      <c r="BZ11" s="308"/>
      <c r="CA11" s="308"/>
      <c r="CB11" s="308"/>
      <c r="CC11" s="308"/>
      <c r="CD11" s="308"/>
    </row>
    <row r="12" ht="15.75" customHeight="1">
      <c r="A12" s="308"/>
      <c r="B12" s="334">
        <v>45392.0</v>
      </c>
      <c r="C12" s="335">
        <v>77.248</v>
      </c>
      <c r="D12" s="335">
        <v>77.248</v>
      </c>
      <c r="E12" s="335">
        <v>77.248</v>
      </c>
      <c r="F12" s="335">
        <v>77.248</v>
      </c>
      <c r="G12" s="335" t="s">
        <v>238</v>
      </c>
      <c r="H12" s="336">
        <f t="shared" si="1"/>
        <v>0.006741292083</v>
      </c>
      <c r="I12" s="336"/>
      <c r="J12" s="336"/>
      <c r="K12" s="348"/>
      <c r="L12" s="312"/>
      <c r="M12" s="312"/>
      <c r="N12" s="340">
        <v>45392.0</v>
      </c>
      <c r="O12" s="341">
        <v>29.319</v>
      </c>
      <c r="P12" s="341">
        <v>29.319</v>
      </c>
      <c r="Q12" s="341">
        <v>29.319</v>
      </c>
      <c r="R12" s="341">
        <v>29.319</v>
      </c>
      <c r="S12" s="335" t="s">
        <v>238</v>
      </c>
      <c r="T12" s="336">
        <f t="shared" si="2"/>
        <v>0.006810546696</v>
      </c>
      <c r="U12" s="336"/>
      <c r="V12" s="336"/>
      <c r="W12" s="348"/>
      <c r="X12" s="312"/>
      <c r="Y12" s="312"/>
      <c r="Z12" s="340">
        <v>45392.0</v>
      </c>
      <c r="AA12" s="341">
        <v>1783.552</v>
      </c>
      <c r="AB12" s="341">
        <v>1783.552</v>
      </c>
      <c r="AC12" s="341">
        <v>1783.552</v>
      </c>
      <c r="AD12" s="341">
        <v>1783.552</v>
      </c>
      <c r="AE12" s="335" t="s">
        <v>238</v>
      </c>
      <c r="AF12" s="336">
        <f t="shared" si="3"/>
        <v>0.003894761664</v>
      </c>
      <c r="AG12" s="336"/>
      <c r="AH12" s="336"/>
      <c r="AI12" s="348"/>
      <c r="AJ12" s="312"/>
      <c r="AK12" s="312"/>
      <c r="AL12" s="353">
        <v>45392.0</v>
      </c>
      <c r="AM12" s="343">
        <v>20.301</v>
      </c>
      <c r="AN12" s="343">
        <v>20.301</v>
      </c>
      <c r="AO12" s="343">
        <v>20.301</v>
      </c>
      <c r="AP12" s="343">
        <v>20.301</v>
      </c>
      <c r="AQ12" s="335" t="s">
        <v>238</v>
      </c>
      <c r="AR12" s="336">
        <f t="shared" si="4"/>
        <v>0.0009363527284</v>
      </c>
      <c r="AS12" s="336"/>
      <c r="AT12" s="336"/>
      <c r="AU12" s="348"/>
      <c r="AV12" s="312"/>
      <c r="AW12" s="312"/>
      <c r="AX12" s="312"/>
      <c r="AY12" s="354" t="s">
        <v>223</v>
      </c>
      <c r="AZ12" s="190" t="s">
        <v>271</v>
      </c>
      <c r="BA12" s="190" t="s">
        <v>266</v>
      </c>
      <c r="BB12" s="355" t="s">
        <v>267</v>
      </c>
      <c r="BC12" s="356" t="s">
        <v>268</v>
      </c>
      <c r="BD12" s="316"/>
      <c r="BE12" s="357" t="s">
        <v>240</v>
      </c>
      <c r="BF12" s="358" t="s">
        <v>271</v>
      </c>
      <c r="BG12" s="358" t="s">
        <v>266</v>
      </c>
      <c r="BH12" s="358" t="s">
        <v>267</v>
      </c>
      <c r="BI12" s="359" t="s">
        <v>268</v>
      </c>
      <c r="BJ12" s="360"/>
      <c r="BK12" s="312"/>
      <c r="BL12" s="312"/>
      <c r="BM12" s="312"/>
      <c r="BN12" s="312"/>
      <c r="BO12" s="312"/>
      <c r="BP12" s="312"/>
      <c r="BQ12" s="312"/>
      <c r="BR12" s="312"/>
      <c r="BS12" s="312"/>
      <c r="BT12" s="312"/>
      <c r="BU12" s="312"/>
      <c r="BV12" s="312"/>
      <c r="BW12" s="312"/>
      <c r="BX12" s="312"/>
      <c r="BY12" s="312"/>
      <c r="BZ12" s="312"/>
      <c r="CA12" s="312"/>
      <c r="CB12" s="312"/>
      <c r="CC12" s="312"/>
      <c r="CD12" s="312"/>
    </row>
    <row r="13" ht="15.75" customHeight="1">
      <c r="A13" s="308"/>
      <c r="B13" s="334">
        <v>45394.0</v>
      </c>
      <c r="C13" s="335">
        <v>76.707</v>
      </c>
      <c r="D13" s="335">
        <v>76.707</v>
      </c>
      <c r="E13" s="335">
        <v>76.707</v>
      </c>
      <c r="F13" s="335">
        <v>76.707</v>
      </c>
      <c r="G13" s="335" t="s">
        <v>238</v>
      </c>
      <c r="H13" s="336">
        <f t="shared" si="1"/>
        <v>-0.007028056599</v>
      </c>
      <c r="I13" s="336"/>
      <c r="J13" s="336"/>
      <c r="K13" s="348"/>
      <c r="L13" s="312"/>
      <c r="M13" s="312"/>
      <c r="N13" s="340">
        <v>45394.0</v>
      </c>
      <c r="O13" s="341">
        <v>29.941</v>
      </c>
      <c r="P13" s="341">
        <v>29.941</v>
      </c>
      <c r="Q13" s="341">
        <v>29.941</v>
      </c>
      <c r="R13" s="341">
        <v>29.941</v>
      </c>
      <c r="S13" s="335" t="s">
        <v>238</v>
      </c>
      <c r="T13" s="336">
        <f t="shared" si="2"/>
        <v>0.02099300854</v>
      </c>
      <c r="U13" s="336"/>
      <c r="V13" s="336"/>
      <c r="W13" s="348"/>
      <c r="X13" s="312"/>
      <c r="Y13" s="312"/>
      <c r="Z13" s="340">
        <v>45394.0</v>
      </c>
      <c r="AA13" s="341">
        <v>1767.613</v>
      </c>
      <c r="AB13" s="341">
        <v>1767.613</v>
      </c>
      <c r="AC13" s="341">
        <v>1767.613</v>
      </c>
      <c r="AD13" s="341">
        <v>1767.613</v>
      </c>
      <c r="AE13" s="335" t="s">
        <v>238</v>
      </c>
      <c r="AF13" s="336">
        <f t="shared" si="3"/>
        <v>-0.008976832693</v>
      </c>
      <c r="AG13" s="336"/>
      <c r="AH13" s="336"/>
      <c r="AI13" s="348"/>
      <c r="AJ13" s="312"/>
      <c r="AK13" s="312"/>
      <c r="AL13" s="353">
        <v>45394.0</v>
      </c>
      <c r="AM13" s="343">
        <v>20.292</v>
      </c>
      <c r="AN13" s="343">
        <v>20.292</v>
      </c>
      <c r="AO13" s="343">
        <v>20.292</v>
      </c>
      <c r="AP13" s="343">
        <v>20.292</v>
      </c>
      <c r="AQ13" s="335" t="s">
        <v>238</v>
      </c>
      <c r="AR13" s="336">
        <f t="shared" si="4"/>
        <v>-0.0004434262138</v>
      </c>
      <c r="AS13" s="336"/>
      <c r="AT13" s="336"/>
      <c r="AU13" s="348"/>
      <c r="AV13" s="312"/>
      <c r="AW13" s="312"/>
      <c r="AX13" s="312"/>
      <c r="AY13" s="190" t="s">
        <v>271</v>
      </c>
      <c r="AZ13" s="361">
        <v>0.012530913800848389</v>
      </c>
      <c r="BA13" s="361">
        <v>0.0013199770033903073</v>
      </c>
      <c r="BB13" s="361">
        <v>0.012918580759180984</v>
      </c>
      <c r="BC13" s="361">
        <v>4.7049286122921325E-4</v>
      </c>
      <c r="BD13" s="316"/>
      <c r="BE13" s="287" t="s">
        <v>241</v>
      </c>
      <c r="BF13" s="289">
        <v>0.25</v>
      </c>
      <c r="BG13" s="289">
        <v>0.25</v>
      </c>
      <c r="BH13" s="289">
        <v>0.25</v>
      </c>
      <c r="BI13" s="289">
        <v>0.25</v>
      </c>
      <c r="BJ13" s="360"/>
      <c r="BK13" s="312"/>
      <c r="BL13" s="312"/>
      <c r="BM13" s="312"/>
      <c r="BN13" s="312"/>
      <c r="BO13" s="312"/>
      <c r="BP13" s="312"/>
      <c r="BQ13" s="312"/>
      <c r="BR13" s="312"/>
      <c r="BS13" s="312"/>
      <c r="BT13" s="312"/>
      <c r="BU13" s="312"/>
      <c r="BV13" s="312"/>
      <c r="BW13" s="312"/>
      <c r="BX13" s="312"/>
      <c r="BY13" s="312"/>
      <c r="BZ13" s="312"/>
      <c r="CA13" s="312"/>
      <c r="CB13" s="312"/>
      <c r="CC13" s="312"/>
      <c r="CD13" s="312"/>
    </row>
    <row r="14" ht="15.75" customHeight="1">
      <c r="A14" s="308"/>
      <c r="B14" s="362">
        <v>45397.0</v>
      </c>
      <c r="C14" s="335">
        <v>75.83</v>
      </c>
      <c r="D14" s="335">
        <v>75.83</v>
      </c>
      <c r="E14" s="335">
        <v>75.83</v>
      </c>
      <c r="F14" s="335">
        <v>75.83</v>
      </c>
      <c r="G14" s="335" t="s">
        <v>238</v>
      </c>
      <c r="H14" s="336">
        <f t="shared" si="1"/>
        <v>-0.01149897616</v>
      </c>
      <c r="I14" s="336"/>
      <c r="J14" s="336"/>
      <c r="K14" s="348"/>
      <c r="L14" s="312"/>
      <c r="M14" s="312"/>
      <c r="N14" s="363">
        <v>45397.0</v>
      </c>
      <c r="O14" s="341">
        <v>29.613</v>
      </c>
      <c r="P14" s="341">
        <v>29.613</v>
      </c>
      <c r="Q14" s="341">
        <v>29.613</v>
      </c>
      <c r="R14" s="341">
        <v>29.613</v>
      </c>
      <c r="S14" s="335" t="s">
        <v>238</v>
      </c>
      <c r="T14" s="336">
        <f t="shared" si="2"/>
        <v>-0.01101532446</v>
      </c>
      <c r="U14" s="336"/>
      <c r="V14" s="336"/>
      <c r="W14" s="348"/>
      <c r="X14" s="312"/>
      <c r="Y14" s="312"/>
      <c r="Z14" s="363">
        <v>45397.0</v>
      </c>
      <c r="AA14" s="341">
        <v>1750.382</v>
      </c>
      <c r="AB14" s="341">
        <v>1750.382</v>
      </c>
      <c r="AC14" s="341">
        <v>1750.382</v>
      </c>
      <c r="AD14" s="341">
        <v>1750.382</v>
      </c>
      <c r="AE14" s="335" t="s">
        <v>238</v>
      </c>
      <c r="AF14" s="336">
        <f t="shared" si="3"/>
        <v>-0.009795999024</v>
      </c>
      <c r="AG14" s="336"/>
      <c r="AH14" s="336"/>
      <c r="AI14" s="348"/>
      <c r="AJ14" s="312"/>
      <c r="AK14" s="312"/>
      <c r="AL14" s="353">
        <v>45397.0</v>
      </c>
      <c r="AM14" s="343">
        <v>20.308</v>
      </c>
      <c r="AN14" s="343">
        <v>20.308</v>
      </c>
      <c r="AO14" s="343">
        <v>20.308</v>
      </c>
      <c r="AP14" s="343">
        <v>20.308</v>
      </c>
      <c r="AQ14" s="335" t="s">
        <v>238</v>
      </c>
      <c r="AR14" s="336">
        <f t="shared" si="4"/>
        <v>0.0007881773807</v>
      </c>
      <c r="AS14" s="336"/>
      <c r="AT14" s="336"/>
      <c r="AU14" s="348"/>
      <c r="AV14" s="312"/>
      <c r="AW14" s="312"/>
      <c r="AX14" s="312"/>
      <c r="AY14" s="190" t="s">
        <v>266</v>
      </c>
      <c r="AZ14" s="361">
        <v>0.0013199770033903073</v>
      </c>
      <c r="BA14" s="361">
        <v>0.023080994732035523</v>
      </c>
      <c r="BB14" s="361">
        <v>0.0016261764711103766</v>
      </c>
      <c r="BC14" s="361">
        <v>4.0509614743058665E-4</v>
      </c>
      <c r="BD14" s="316"/>
      <c r="BE14" s="194" t="s">
        <v>236</v>
      </c>
      <c r="BF14" s="291">
        <f>(1 + $J$7)^252 - 1
</f>
        <v>0.1513042752</v>
      </c>
      <c r="BG14" s="291">
        <f>(1 + $V$7)^252 - 1
</f>
        <v>0.3371139643</v>
      </c>
      <c r="BH14" s="291">
        <f>(1 + $AH$7)^252 - 1
</f>
        <v>0.1881508613</v>
      </c>
      <c r="BI14" s="291">
        <f>(1 + $AT$7)^252 - 1
</f>
        <v>0.1822690224</v>
      </c>
      <c r="BJ14" s="360"/>
      <c r="BK14" s="312"/>
      <c r="BL14" s="312"/>
      <c r="BM14" s="312"/>
      <c r="BN14" s="312"/>
      <c r="BO14" s="312"/>
      <c r="BP14" s="312"/>
      <c r="BQ14" s="312"/>
      <c r="BR14" s="312"/>
      <c r="BS14" s="312"/>
      <c r="BT14" s="312"/>
      <c r="BU14" s="312"/>
      <c r="BV14" s="312"/>
      <c r="BW14" s="312"/>
      <c r="BX14" s="312"/>
      <c r="BY14" s="312"/>
      <c r="BZ14" s="312"/>
      <c r="CA14" s="312"/>
      <c r="CB14" s="312"/>
      <c r="CC14" s="312"/>
      <c r="CD14" s="312"/>
    </row>
    <row r="15" ht="15.75" customHeight="1">
      <c r="A15" s="308"/>
      <c r="B15" s="362">
        <v>45398.0</v>
      </c>
      <c r="C15" s="335">
        <v>75.791</v>
      </c>
      <c r="D15" s="335">
        <v>75.791</v>
      </c>
      <c r="E15" s="335">
        <v>75.791</v>
      </c>
      <c r="F15" s="335">
        <v>75.791</v>
      </c>
      <c r="G15" s="335" t="s">
        <v>238</v>
      </c>
      <c r="H15" s="336">
        <f t="shared" si="1"/>
        <v>-0.0005144406231</v>
      </c>
      <c r="I15" s="336"/>
      <c r="J15" s="336"/>
      <c r="K15" s="348"/>
      <c r="L15" s="312"/>
      <c r="M15" s="312"/>
      <c r="N15" s="363">
        <v>45398.0</v>
      </c>
      <c r="O15" s="341">
        <v>29.932</v>
      </c>
      <c r="P15" s="341">
        <v>29.932</v>
      </c>
      <c r="Q15" s="341">
        <v>29.932</v>
      </c>
      <c r="R15" s="341">
        <v>29.932</v>
      </c>
      <c r="S15" s="335" t="s">
        <v>238</v>
      </c>
      <c r="T15" s="336">
        <f t="shared" si="2"/>
        <v>0.01071468811</v>
      </c>
      <c r="U15" s="336"/>
      <c r="V15" s="336"/>
      <c r="W15" s="348"/>
      <c r="X15" s="312"/>
      <c r="Y15" s="312"/>
      <c r="Z15" s="363">
        <v>45398.0</v>
      </c>
      <c r="AA15" s="341">
        <v>1746.998</v>
      </c>
      <c r="AB15" s="341">
        <v>1746.998</v>
      </c>
      <c r="AC15" s="341">
        <v>1746.998</v>
      </c>
      <c r="AD15" s="341">
        <v>1746.998</v>
      </c>
      <c r="AE15" s="335" t="s">
        <v>238</v>
      </c>
      <c r="AF15" s="336">
        <f t="shared" si="3"/>
        <v>-0.001935163497</v>
      </c>
      <c r="AG15" s="336"/>
      <c r="AH15" s="336"/>
      <c r="AI15" s="348"/>
      <c r="AJ15" s="312"/>
      <c r="AK15" s="312"/>
      <c r="AL15" s="353">
        <v>45398.0</v>
      </c>
      <c r="AM15" s="343">
        <v>20.303</v>
      </c>
      <c r="AN15" s="343">
        <v>20.303</v>
      </c>
      <c r="AO15" s="343">
        <v>20.303</v>
      </c>
      <c r="AP15" s="343">
        <v>20.303</v>
      </c>
      <c r="AQ15" s="335" t="s">
        <v>238</v>
      </c>
      <c r="AR15" s="336">
        <f t="shared" si="4"/>
        <v>-0.000246238705</v>
      </c>
      <c r="AS15" s="336"/>
      <c r="AT15" s="336"/>
      <c r="AU15" s="348"/>
      <c r="AV15" s="312"/>
      <c r="AW15" s="312"/>
      <c r="AX15" s="312"/>
      <c r="AY15" s="355" t="s">
        <v>267</v>
      </c>
      <c r="AZ15" s="361">
        <v>0.012918580759180984</v>
      </c>
      <c r="BA15" s="361">
        <v>0.0016261764711103766</v>
      </c>
      <c r="BB15" s="361">
        <v>0.01706058131523393</v>
      </c>
      <c r="BC15" s="361">
        <v>6.091260630341931E-4</v>
      </c>
      <c r="BD15" s="316"/>
      <c r="BE15" s="199" t="s">
        <v>234</v>
      </c>
      <c r="BF15" s="292">
        <f>STDEV($H$7:$H$265)*15.8745078664</f>
        <v>0.1121591379</v>
      </c>
      <c r="BG15" s="292">
        <f>STDEV($T$7:$T$265)*15.8745078664</f>
        <v>0.1522195915</v>
      </c>
      <c r="BH15" s="292">
        <f>STDEV($AF$7:$AF$264)*15.8745078664</f>
        <v>0.1308700306</v>
      </c>
      <c r="BI15" s="292">
        <f>STDEV($AR$7:$AR$265)*15.8745078664</f>
        <v>0.04460470872</v>
      </c>
      <c r="BJ15" s="360"/>
      <c r="BK15" s="312"/>
      <c r="BL15" s="312"/>
      <c r="BM15" s="312"/>
      <c r="BN15" s="312"/>
      <c r="BO15" s="312"/>
      <c r="BP15" s="312"/>
      <c r="BQ15" s="312"/>
      <c r="BR15" s="312"/>
      <c r="BS15" s="312"/>
      <c r="BT15" s="312"/>
      <c r="BU15" s="312"/>
      <c r="BV15" s="312"/>
      <c r="BW15" s="312"/>
      <c r="BX15" s="312"/>
      <c r="BY15" s="312"/>
      <c r="BZ15" s="312"/>
      <c r="CA15" s="312"/>
      <c r="CB15" s="312"/>
      <c r="CC15" s="312"/>
      <c r="CD15" s="312"/>
    </row>
    <row r="16" ht="15.75" customHeight="1">
      <c r="A16" s="308"/>
      <c r="B16" s="362">
        <v>45400.0</v>
      </c>
      <c r="C16" s="335">
        <v>75.329</v>
      </c>
      <c r="D16" s="335">
        <v>75.329</v>
      </c>
      <c r="E16" s="335">
        <v>75.329</v>
      </c>
      <c r="F16" s="335">
        <v>75.329</v>
      </c>
      <c r="G16" s="335" t="s">
        <v>238</v>
      </c>
      <c r="H16" s="336">
        <f t="shared" si="1"/>
        <v>-0.006114365264</v>
      </c>
      <c r="I16" s="336"/>
      <c r="J16" s="336"/>
      <c r="K16" s="348"/>
      <c r="L16" s="312"/>
      <c r="M16" s="312"/>
      <c r="N16" s="363">
        <v>45400.0</v>
      </c>
      <c r="O16" s="341">
        <v>29.965</v>
      </c>
      <c r="P16" s="341">
        <v>29.965</v>
      </c>
      <c r="Q16" s="341">
        <v>29.965</v>
      </c>
      <c r="R16" s="341">
        <v>29.965</v>
      </c>
      <c r="S16" s="335" t="s">
        <v>238</v>
      </c>
      <c r="T16" s="336">
        <f t="shared" si="2"/>
        <v>0.001101891692</v>
      </c>
      <c r="U16" s="336"/>
      <c r="V16" s="336"/>
      <c r="W16" s="348"/>
      <c r="X16" s="312"/>
      <c r="Y16" s="312"/>
      <c r="Z16" s="363">
        <v>45400.0</v>
      </c>
      <c r="AA16" s="341">
        <v>1736.383</v>
      </c>
      <c r="AB16" s="341">
        <v>1736.383</v>
      </c>
      <c r="AC16" s="341">
        <v>1736.383</v>
      </c>
      <c r="AD16" s="341">
        <v>1736.383</v>
      </c>
      <c r="AE16" s="335" t="s">
        <v>238</v>
      </c>
      <c r="AF16" s="336">
        <f t="shared" si="3"/>
        <v>-0.006094672307</v>
      </c>
      <c r="AG16" s="336"/>
      <c r="AH16" s="336"/>
      <c r="AI16" s="348"/>
      <c r="AJ16" s="312"/>
      <c r="AK16" s="312"/>
      <c r="AL16" s="353">
        <v>45400.0</v>
      </c>
      <c r="AM16" s="343">
        <v>20.316</v>
      </c>
      <c r="AN16" s="343">
        <v>20.316</v>
      </c>
      <c r="AO16" s="343">
        <v>20.316</v>
      </c>
      <c r="AP16" s="343">
        <v>20.316</v>
      </c>
      <c r="AQ16" s="335" t="s">
        <v>238</v>
      </c>
      <c r="AR16" s="336">
        <f t="shared" si="4"/>
        <v>0.0006400945589</v>
      </c>
      <c r="AS16" s="336"/>
      <c r="AT16" s="336"/>
      <c r="AU16" s="348"/>
      <c r="AV16" s="312"/>
      <c r="AW16" s="312"/>
      <c r="AX16" s="312"/>
      <c r="AY16" s="355" t="s">
        <v>268</v>
      </c>
      <c r="AZ16" s="361">
        <v>4.7049286122921325E-4</v>
      </c>
      <c r="BA16" s="361">
        <v>4.0509614743058665E-4</v>
      </c>
      <c r="BB16" s="361">
        <v>6.091260630341931E-4</v>
      </c>
      <c r="BC16" s="361">
        <v>0.0019818684898186534</v>
      </c>
      <c r="BD16" s="316"/>
      <c r="BE16" s="193" t="s">
        <v>242</v>
      </c>
      <c r="BF16" s="193" t="s">
        <v>243</v>
      </c>
      <c r="BG16" s="193" t="s">
        <v>244</v>
      </c>
      <c r="BH16" s="193" t="s">
        <v>245</v>
      </c>
      <c r="BI16" s="193" t="s">
        <v>246</v>
      </c>
      <c r="BJ16" s="193" t="s">
        <v>247</v>
      </c>
      <c r="BK16" s="312"/>
      <c r="BL16" s="312"/>
      <c r="BM16" s="312"/>
      <c r="BN16" s="312"/>
      <c r="BO16" s="312"/>
      <c r="BP16" s="312"/>
      <c r="BQ16" s="312"/>
      <c r="BR16" s="312"/>
      <c r="BS16" s="312"/>
      <c r="BT16" s="312"/>
      <c r="BU16" s="312"/>
      <c r="BV16" s="312"/>
      <c r="BW16" s="312"/>
      <c r="BX16" s="312"/>
      <c r="BY16" s="312"/>
      <c r="BZ16" s="312"/>
      <c r="CA16" s="312"/>
      <c r="CB16" s="312"/>
      <c r="CC16" s="312"/>
      <c r="CD16" s="312"/>
    </row>
    <row r="17" ht="15.75" customHeight="1">
      <c r="A17" s="308"/>
      <c r="B17" s="362">
        <v>45401.0</v>
      </c>
      <c r="C17" s="335">
        <v>75.4</v>
      </c>
      <c r="D17" s="335">
        <v>75.4</v>
      </c>
      <c r="E17" s="335">
        <v>75.4</v>
      </c>
      <c r="F17" s="335">
        <v>75.4</v>
      </c>
      <c r="G17" s="335" t="s">
        <v>238</v>
      </c>
      <c r="H17" s="336">
        <f t="shared" si="1"/>
        <v>0.0009420881881</v>
      </c>
      <c r="I17" s="336"/>
      <c r="J17" s="336"/>
      <c r="K17" s="348"/>
      <c r="L17" s="312"/>
      <c r="M17" s="312"/>
      <c r="N17" s="363">
        <v>45401.0</v>
      </c>
      <c r="O17" s="341">
        <v>30.101</v>
      </c>
      <c r="P17" s="341">
        <v>30.101</v>
      </c>
      <c r="Q17" s="341">
        <v>30.101</v>
      </c>
      <c r="R17" s="341">
        <v>30.101</v>
      </c>
      <c r="S17" s="335" t="s">
        <v>238</v>
      </c>
      <c r="T17" s="336">
        <f t="shared" si="2"/>
        <v>0.004528359884</v>
      </c>
      <c r="U17" s="336"/>
      <c r="V17" s="336"/>
      <c r="W17" s="348"/>
      <c r="X17" s="312"/>
      <c r="Y17" s="312"/>
      <c r="Z17" s="363">
        <v>45401.0</v>
      </c>
      <c r="AA17" s="341">
        <v>1747.471</v>
      </c>
      <c r="AB17" s="341">
        <v>1747.471</v>
      </c>
      <c r="AC17" s="341">
        <v>1747.471</v>
      </c>
      <c r="AD17" s="341">
        <v>1747.471</v>
      </c>
      <c r="AE17" s="335" t="s">
        <v>238</v>
      </c>
      <c r="AF17" s="336">
        <f t="shared" si="3"/>
        <v>0.006365385828</v>
      </c>
      <c r="AG17" s="336"/>
      <c r="AH17" s="336"/>
      <c r="AI17" s="348"/>
      <c r="AJ17" s="312"/>
      <c r="AK17" s="312"/>
      <c r="AL17" s="353">
        <v>45401.0</v>
      </c>
      <c r="AM17" s="343">
        <v>20.303</v>
      </c>
      <c r="AN17" s="343">
        <v>20.303</v>
      </c>
      <c r="AO17" s="343">
        <v>20.303</v>
      </c>
      <c r="AP17" s="343">
        <v>20.303</v>
      </c>
      <c r="AQ17" s="335" t="s">
        <v>238</v>
      </c>
      <c r="AR17" s="336">
        <f t="shared" si="4"/>
        <v>-0.0006400945589</v>
      </c>
      <c r="AS17" s="336"/>
      <c r="AT17" s="336"/>
      <c r="AU17" s="348"/>
      <c r="AV17" s="312"/>
      <c r="AW17" s="312"/>
      <c r="AX17" s="312"/>
      <c r="AY17" s="312"/>
      <c r="AZ17" s="312"/>
      <c r="BA17" s="312"/>
      <c r="BB17" s="312"/>
      <c r="BC17" s="312"/>
      <c r="BD17" s="316"/>
      <c r="BE17" s="193" t="s">
        <v>248</v>
      </c>
      <c r="BF17" s="201">
        <f t="array" ref="BF17">MMULT($BF$13:$BI$13, TRANSPOSE($BF$14:$BI$14))</f>
        <v>0.2147095308</v>
      </c>
      <c r="BG17" s="202">
        <f t="array" ref="BG17">MMULT($BF$13:$BI$13, MMULT($AZ$6:$BC$9, TRANSPOSE($BF$13:$BI$13)))</f>
        <v>0.005584578559</v>
      </c>
      <c r="BH17" s="202">
        <f t="array" ref="BH17">SQRT(MMULT($BF$13:$BI$13, MMULT($AZ$6:$BC$9, TRANSPOSE($BF$13:$BI$13))))</f>
        <v>0.07473003786</v>
      </c>
      <c r="BI17" s="201">
        <f t="array" ref="BI17">SQRT(MMULT($BF$13:$BI$13, MMULT($AZ$6:$BC$9, TRANSPOSE($BF$13:$BI$13))))</f>
        <v>0.07473003786</v>
      </c>
      <c r="BJ17" s="203">
        <f>($BF$17-$AW$7)/($BI$17)</f>
        <v>2.088979683</v>
      </c>
      <c r="BK17" s="316"/>
      <c r="BL17" s="316"/>
      <c r="BM17" s="316"/>
      <c r="BN17" s="316"/>
      <c r="BO17" s="316"/>
      <c r="BP17" s="316"/>
      <c r="BQ17" s="316"/>
      <c r="BR17" s="316"/>
      <c r="BS17" s="316"/>
      <c r="BT17" s="316"/>
      <c r="BU17" s="316"/>
      <c r="BV17" s="316"/>
      <c r="BW17" s="316"/>
      <c r="BX17" s="316"/>
      <c r="BY17" s="316"/>
      <c r="BZ17" s="316"/>
      <c r="CA17" s="316"/>
      <c r="CB17" s="316"/>
      <c r="CC17" s="316"/>
      <c r="CD17" s="316"/>
    </row>
    <row r="18" ht="15.75" customHeight="1">
      <c r="A18" s="308"/>
      <c r="B18" s="362">
        <v>45404.0</v>
      </c>
      <c r="C18" s="335">
        <v>76.064</v>
      </c>
      <c r="D18" s="335">
        <v>76.064</v>
      </c>
      <c r="E18" s="335">
        <v>76.064</v>
      </c>
      <c r="F18" s="335">
        <v>76.064</v>
      </c>
      <c r="G18" s="335" t="s">
        <v>238</v>
      </c>
      <c r="H18" s="336">
        <f t="shared" si="1"/>
        <v>0.008767816164</v>
      </c>
      <c r="I18" s="336"/>
      <c r="J18" s="336"/>
      <c r="K18" s="348"/>
      <c r="L18" s="312"/>
      <c r="M18" s="312"/>
      <c r="N18" s="363">
        <v>45404.0</v>
      </c>
      <c r="O18" s="341">
        <v>29.859</v>
      </c>
      <c r="P18" s="341">
        <v>29.859</v>
      </c>
      <c r="Q18" s="341">
        <v>29.859</v>
      </c>
      <c r="R18" s="341">
        <v>29.859</v>
      </c>
      <c r="S18" s="335" t="s">
        <v>238</v>
      </c>
      <c r="T18" s="336">
        <f t="shared" si="2"/>
        <v>-0.008072091862</v>
      </c>
      <c r="U18" s="336"/>
      <c r="V18" s="336"/>
      <c r="W18" s="348"/>
      <c r="X18" s="312"/>
      <c r="Y18" s="312"/>
      <c r="Z18" s="363">
        <v>45404.0</v>
      </c>
      <c r="AA18" s="341">
        <v>1761.623</v>
      </c>
      <c r="AB18" s="341">
        <v>1761.623</v>
      </c>
      <c r="AC18" s="341">
        <v>1761.623</v>
      </c>
      <c r="AD18" s="341">
        <v>1761.623</v>
      </c>
      <c r="AE18" s="335" t="s">
        <v>238</v>
      </c>
      <c r="AF18" s="336">
        <f t="shared" si="3"/>
        <v>0.008065943361</v>
      </c>
      <c r="AG18" s="336"/>
      <c r="AH18" s="336"/>
      <c r="AI18" s="348"/>
      <c r="AJ18" s="312"/>
      <c r="AK18" s="312"/>
      <c r="AL18" s="353">
        <v>45404.0</v>
      </c>
      <c r="AM18" s="343">
        <v>20.325</v>
      </c>
      <c r="AN18" s="343">
        <v>20.325</v>
      </c>
      <c r="AO18" s="343">
        <v>20.325</v>
      </c>
      <c r="AP18" s="343">
        <v>20.325</v>
      </c>
      <c r="AQ18" s="335" t="s">
        <v>238</v>
      </c>
      <c r="AR18" s="336">
        <f t="shared" si="4"/>
        <v>0.001082997054</v>
      </c>
      <c r="AS18" s="336"/>
      <c r="AT18" s="336"/>
      <c r="AU18" s="348"/>
      <c r="AV18" s="312"/>
      <c r="AW18" s="312"/>
      <c r="AX18" s="312"/>
      <c r="BE18" s="316"/>
      <c r="BF18" s="316"/>
      <c r="BG18" s="316"/>
      <c r="BH18" s="316"/>
      <c r="BI18" s="316"/>
      <c r="BJ18" s="316"/>
      <c r="BK18" s="316"/>
      <c r="BL18" s="316"/>
      <c r="BM18" s="316"/>
      <c r="BN18" s="316"/>
      <c r="BO18" s="316"/>
      <c r="BP18" s="316"/>
      <c r="BQ18" s="316"/>
      <c r="BR18" s="316"/>
      <c r="BS18" s="316"/>
      <c r="BT18" s="316"/>
      <c r="BU18" s="316"/>
      <c r="BV18" s="316"/>
      <c r="BW18" s="316"/>
      <c r="BX18" s="316"/>
      <c r="BY18" s="316"/>
      <c r="BZ18" s="316"/>
      <c r="CA18" s="316"/>
      <c r="CB18" s="316"/>
      <c r="CC18" s="316"/>
      <c r="CD18" s="316"/>
    </row>
    <row r="19" ht="15.75" customHeight="1">
      <c r="A19" s="308"/>
      <c r="B19" s="362">
        <v>45405.0</v>
      </c>
      <c r="C19" s="335">
        <v>76.589</v>
      </c>
      <c r="D19" s="335">
        <v>76.589</v>
      </c>
      <c r="E19" s="335">
        <v>76.589</v>
      </c>
      <c r="F19" s="335">
        <v>76.589</v>
      </c>
      <c r="G19" s="335" t="s">
        <v>238</v>
      </c>
      <c r="H19" s="336">
        <f t="shared" si="1"/>
        <v>0.006878372124</v>
      </c>
      <c r="I19" s="336"/>
      <c r="J19" s="336"/>
      <c r="K19" s="348"/>
      <c r="L19" s="312"/>
      <c r="M19" s="312"/>
      <c r="N19" s="363">
        <v>45405.0</v>
      </c>
      <c r="O19" s="341">
        <v>29.137</v>
      </c>
      <c r="P19" s="341">
        <v>29.137</v>
      </c>
      <c r="Q19" s="341">
        <v>29.137</v>
      </c>
      <c r="R19" s="341">
        <v>29.137</v>
      </c>
      <c r="S19" s="335" t="s">
        <v>238</v>
      </c>
      <c r="T19" s="336">
        <f t="shared" si="2"/>
        <v>-0.02447745773</v>
      </c>
      <c r="U19" s="336"/>
      <c r="V19" s="336"/>
      <c r="W19" s="348"/>
      <c r="X19" s="312"/>
      <c r="Y19" s="312"/>
      <c r="Z19" s="363">
        <v>45405.0</v>
      </c>
      <c r="AA19" s="341">
        <v>1767.297</v>
      </c>
      <c r="AB19" s="341">
        <v>1767.297</v>
      </c>
      <c r="AC19" s="341">
        <v>1767.297</v>
      </c>
      <c r="AD19" s="341">
        <v>1767.297</v>
      </c>
      <c r="AE19" s="335" t="s">
        <v>238</v>
      </c>
      <c r="AF19" s="336">
        <f t="shared" si="3"/>
        <v>0.003215717494</v>
      </c>
      <c r="AG19" s="336"/>
      <c r="AH19" s="336"/>
      <c r="AI19" s="348"/>
      <c r="AJ19" s="312"/>
      <c r="AK19" s="312"/>
      <c r="AL19" s="353">
        <v>45405.0</v>
      </c>
      <c r="AM19" s="343">
        <v>20.336</v>
      </c>
      <c r="AN19" s="343">
        <v>20.336</v>
      </c>
      <c r="AO19" s="343">
        <v>20.336</v>
      </c>
      <c r="AP19" s="343">
        <v>20.336</v>
      </c>
      <c r="AQ19" s="335" t="s">
        <v>238</v>
      </c>
      <c r="AR19" s="336">
        <f t="shared" si="4"/>
        <v>0.0005410590132</v>
      </c>
      <c r="AS19" s="336"/>
      <c r="AT19" s="336"/>
      <c r="AU19" s="348"/>
      <c r="AV19" s="312"/>
      <c r="AW19" s="312"/>
      <c r="AX19" s="312"/>
      <c r="BK19" s="316"/>
      <c r="BL19" s="316"/>
      <c r="BM19" s="316"/>
      <c r="BN19" s="316"/>
      <c r="BO19" s="316"/>
      <c r="BP19" s="316"/>
      <c r="BQ19" s="316"/>
      <c r="BR19" s="316"/>
      <c r="BS19" s="316"/>
      <c r="BT19" s="316"/>
      <c r="BU19" s="316"/>
      <c r="BV19" s="316"/>
      <c r="BW19" s="316"/>
      <c r="BX19" s="316"/>
      <c r="BY19" s="316"/>
      <c r="BZ19" s="316"/>
      <c r="CA19" s="316"/>
      <c r="CB19" s="316"/>
      <c r="CC19" s="316"/>
      <c r="CD19" s="316"/>
    </row>
    <row r="20" ht="15.75" customHeight="1">
      <c r="A20" s="308"/>
      <c r="B20" s="362">
        <v>45406.0</v>
      </c>
      <c r="C20" s="335">
        <v>76.865</v>
      </c>
      <c r="D20" s="335">
        <v>76.865</v>
      </c>
      <c r="E20" s="335">
        <v>76.865</v>
      </c>
      <c r="F20" s="335">
        <v>76.865</v>
      </c>
      <c r="G20" s="335" t="s">
        <v>238</v>
      </c>
      <c r="H20" s="336">
        <f t="shared" si="1"/>
        <v>0.003597173063</v>
      </c>
      <c r="I20" s="336"/>
      <c r="J20" s="336"/>
      <c r="K20" s="348"/>
      <c r="L20" s="312"/>
      <c r="M20" s="312"/>
      <c r="N20" s="363">
        <v>45406.0</v>
      </c>
      <c r="O20" s="341">
        <v>29.369</v>
      </c>
      <c r="P20" s="341">
        <v>29.369</v>
      </c>
      <c r="Q20" s="341">
        <v>29.369</v>
      </c>
      <c r="R20" s="341">
        <v>29.369</v>
      </c>
      <c r="S20" s="335" t="s">
        <v>238</v>
      </c>
      <c r="T20" s="336">
        <f t="shared" si="2"/>
        <v>0.007930852085</v>
      </c>
      <c r="U20" s="336"/>
      <c r="V20" s="336"/>
      <c r="W20" s="348"/>
      <c r="X20" s="312"/>
      <c r="Y20" s="312"/>
      <c r="Z20" s="363">
        <v>45406.0</v>
      </c>
      <c r="AA20" s="341">
        <v>1777.608</v>
      </c>
      <c r="AB20" s="341">
        <v>1777.608</v>
      </c>
      <c r="AC20" s="341">
        <v>1777.608</v>
      </c>
      <c r="AD20" s="341">
        <v>1777.608</v>
      </c>
      <c r="AE20" s="335" t="s">
        <v>238</v>
      </c>
      <c r="AF20" s="336">
        <f t="shared" si="3"/>
        <v>0.005817379636</v>
      </c>
      <c r="AG20" s="336"/>
      <c r="AH20" s="336"/>
      <c r="AI20" s="348"/>
      <c r="AJ20" s="312"/>
      <c r="AK20" s="312"/>
      <c r="AL20" s="353">
        <v>45406.0</v>
      </c>
      <c r="AM20" s="343">
        <v>20.338</v>
      </c>
      <c r="AN20" s="343">
        <v>20.338</v>
      </c>
      <c r="AO20" s="343">
        <v>20.338</v>
      </c>
      <c r="AP20" s="343">
        <v>20.338</v>
      </c>
      <c r="AQ20" s="335" t="s">
        <v>238</v>
      </c>
      <c r="AR20" s="336">
        <f t="shared" si="4"/>
        <v>0.00009834292185</v>
      </c>
      <c r="AS20" s="336"/>
      <c r="AT20" s="336"/>
      <c r="AU20" s="348"/>
      <c r="AV20" s="312"/>
      <c r="AW20" s="312"/>
      <c r="AX20" s="312"/>
      <c r="BE20" s="352" t="s">
        <v>280</v>
      </c>
      <c r="BF20" s="318"/>
      <c r="BG20" s="318"/>
      <c r="BH20" s="318"/>
      <c r="BI20" s="319"/>
      <c r="BJ20" s="308"/>
      <c r="BK20" s="316"/>
      <c r="BL20" s="316"/>
      <c r="BM20" s="316"/>
      <c r="BN20" s="316"/>
      <c r="BO20" s="316"/>
      <c r="BP20" s="316"/>
      <c r="BQ20" s="316"/>
      <c r="BR20" s="316"/>
      <c r="BS20" s="316"/>
      <c r="BT20" s="316"/>
      <c r="BU20" s="316"/>
      <c r="BV20" s="316"/>
      <c r="BW20" s="316"/>
      <c r="BX20" s="316"/>
      <c r="BY20" s="316"/>
      <c r="BZ20" s="316"/>
      <c r="CA20" s="316"/>
      <c r="CB20" s="316"/>
      <c r="CC20" s="316"/>
      <c r="CD20" s="316"/>
    </row>
    <row r="21" ht="15.75" customHeight="1">
      <c r="A21" s="308"/>
      <c r="B21" s="362">
        <v>45407.0</v>
      </c>
      <c r="C21" s="335">
        <v>76.989</v>
      </c>
      <c r="D21" s="335">
        <v>76.989</v>
      </c>
      <c r="E21" s="335">
        <v>76.989</v>
      </c>
      <c r="F21" s="335">
        <v>76.989</v>
      </c>
      <c r="G21" s="335" t="s">
        <v>238</v>
      </c>
      <c r="H21" s="336">
        <f t="shared" si="1"/>
        <v>0.001611918141</v>
      </c>
      <c r="I21" s="336"/>
      <c r="J21" s="336"/>
      <c r="K21" s="348"/>
      <c r="L21" s="312"/>
      <c r="M21" s="312"/>
      <c r="N21" s="363">
        <v>45407.0</v>
      </c>
      <c r="O21" s="341">
        <v>29.432</v>
      </c>
      <c r="P21" s="341">
        <v>29.432</v>
      </c>
      <c r="Q21" s="341">
        <v>29.432</v>
      </c>
      <c r="R21" s="341">
        <v>29.432</v>
      </c>
      <c r="S21" s="335" t="s">
        <v>238</v>
      </c>
      <c r="T21" s="336">
        <f t="shared" si="2"/>
        <v>0.00214282152</v>
      </c>
      <c r="U21" s="336"/>
      <c r="V21" s="336"/>
      <c r="W21" s="348"/>
      <c r="X21" s="312"/>
      <c r="Y21" s="312"/>
      <c r="Z21" s="363">
        <v>45407.0</v>
      </c>
      <c r="AA21" s="341">
        <v>1794.905</v>
      </c>
      <c r="AB21" s="341">
        <v>1794.905</v>
      </c>
      <c r="AC21" s="341">
        <v>1794.905</v>
      </c>
      <c r="AD21" s="341">
        <v>1794.905</v>
      </c>
      <c r="AE21" s="335" t="s">
        <v>238</v>
      </c>
      <c r="AF21" s="336">
        <f t="shared" si="3"/>
        <v>0.009683455405</v>
      </c>
      <c r="AG21" s="336"/>
      <c r="AH21" s="336"/>
      <c r="AI21" s="348"/>
      <c r="AJ21" s="312"/>
      <c r="AK21" s="312"/>
      <c r="AL21" s="353">
        <v>45407.0</v>
      </c>
      <c r="AM21" s="343">
        <v>20.338</v>
      </c>
      <c r="AN21" s="343">
        <v>20.338</v>
      </c>
      <c r="AO21" s="343">
        <v>20.338</v>
      </c>
      <c r="AP21" s="343">
        <v>20.338</v>
      </c>
      <c r="AQ21" s="335" t="s">
        <v>238</v>
      </c>
      <c r="AR21" s="336">
        <f t="shared" si="4"/>
        <v>0</v>
      </c>
      <c r="AS21" s="336"/>
      <c r="AT21" s="336"/>
      <c r="AU21" s="348"/>
      <c r="AV21" s="312"/>
      <c r="AW21" s="312"/>
      <c r="AX21" s="312"/>
      <c r="BE21" s="357" t="s">
        <v>240</v>
      </c>
      <c r="BF21" s="358" t="s">
        <v>271</v>
      </c>
      <c r="BG21" s="358" t="s">
        <v>266</v>
      </c>
      <c r="BH21" s="358" t="s">
        <v>267</v>
      </c>
      <c r="BI21" s="359" t="s">
        <v>268</v>
      </c>
      <c r="BJ21" s="360"/>
    </row>
    <row r="22" ht="15.75" customHeight="1">
      <c r="A22" s="308"/>
      <c r="B22" s="362">
        <v>45408.0</v>
      </c>
      <c r="C22" s="335">
        <v>77.418</v>
      </c>
      <c r="D22" s="335">
        <v>77.418</v>
      </c>
      <c r="E22" s="335">
        <v>77.418</v>
      </c>
      <c r="F22" s="335">
        <v>77.418</v>
      </c>
      <c r="G22" s="335" t="s">
        <v>238</v>
      </c>
      <c r="H22" s="336">
        <f t="shared" si="1"/>
        <v>0.005556757192</v>
      </c>
      <c r="I22" s="336"/>
      <c r="J22" s="336"/>
      <c r="K22" s="348"/>
      <c r="L22" s="312"/>
      <c r="M22" s="312"/>
      <c r="N22" s="363">
        <v>45408.0</v>
      </c>
      <c r="O22" s="341">
        <v>29.659</v>
      </c>
      <c r="P22" s="341">
        <v>29.659</v>
      </c>
      <c r="Q22" s="341">
        <v>29.659</v>
      </c>
      <c r="R22" s="341">
        <v>29.659</v>
      </c>
      <c r="S22" s="335" t="s">
        <v>238</v>
      </c>
      <c r="T22" s="336">
        <f t="shared" si="2"/>
        <v>0.007683102897</v>
      </c>
      <c r="U22" s="336"/>
      <c r="V22" s="336"/>
      <c r="W22" s="348"/>
      <c r="X22" s="312"/>
      <c r="Y22" s="312"/>
      <c r="Z22" s="363">
        <v>45408.0</v>
      </c>
      <c r="AA22" s="341">
        <v>1787.061</v>
      </c>
      <c r="AB22" s="341">
        <v>1787.061</v>
      </c>
      <c r="AC22" s="341">
        <v>1787.061</v>
      </c>
      <c r="AD22" s="341">
        <v>1787.061</v>
      </c>
      <c r="AE22" s="335" t="s">
        <v>238</v>
      </c>
      <c r="AF22" s="336">
        <f t="shared" si="3"/>
        <v>-0.004379724731</v>
      </c>
      <c r="AG22" s="336"/>
      <c r="AH22" s="336"/>
      <c r="AI22" s="348"/>
      <c r="AJ22" s="312"/>
      <c r="AK22" s="312"/>
      <c r="AL22" s="353">
        <v>45408.0</v>
      </c>
      <c r="AM22" s="343">
        <v>20.338</v>
      </c>
      <c r="AN22" s="343">
        <v>20.338</v>
      </c>
      <c r="AO22" s="343">
        <v>20.338</v>
      </c>
      <c r="AP22" s="343">
        <v>20.338</v>
      </c>
      <c r="AQ22" s="335" t="s">
        <v>238</v>
      </c>
      <c r="AR22" s="336">
        <f t="shared" si="4"/>
        <v>0</v>
      </c>
      <c r="AS22" s="336"/>
      <c r="AT22" s="336"/>
      <c r="AU22" s="348"/>
      <c r="AV22" s="312"/>
      <c r="AW22" s="312"/>
      <c r="AX22" s="312"/>
      <c r="BE22" s="287" t="s">
        <v>241</v>
      </c>
      <c r="BF22" s="364">
        <v>0.054502326</v>
      </c>
      <c r="BG22" s="365">
        <v>0.145760496</v>
      </c>
      <c r="BH22" s="365">
        <v>0.0</v>
      </c>
      <c r="BI22" s="365">
        <v>0.799737178</v>
      </c>
      <c r="BJ22" s="360"/>
    </row>
    <row r="23" ht="15.75" customHeight="1">
      <c r="A23" s="308"/>
      <c r="B23" s="362">
        <v>45411.0</v>
      </c>
      <c r="C23" s="335">
        <v>77.311</v>
      </c>
      <c r="D23" s="335">
        <v>77.311</v>
      </c>
      <c r="E23" s="335">
        <v>77.311</v>
      </c>
      <c r="F23" s="335">
        <v>77.311</v>
      </c>
      <c r="G23" s="335" t="s">
        <v>238</v>
      </c>
      <c r="H23" s="336">
        <f t="shared" si="1"/>
        <v>-0.001383063512</v>
      </c>
      <c r="I23" s="336"/>
      <c r="J23" s="336"/>
      <c r="K23" s="348"/>
      <c r="L23" s="312"/>
      <c r="M23" s="312"/>
      <c r="N23" s="363">
        <v>45411.0</v>
      </c>
      <c r="O23" s="341">
        <v>29.644</v>
      </c>
      <c r="P23" s="341">
        <v>29.644</v>
      </c>
      <c r="Q23" s="341">
        <v>29.644</v>
      </c>
      <c r="R23" s="341">
        <v>29.644</v>
      </c>
      <c r="S23" s="335" t="s">
        <v>238</v>
      </c>
      <c r="T23" s="336">
        <f t="shared" si="2"/>
        <v>-0.0005058766106</v>
      </c>
      <c r="U23" s="336"/>
      <c r="V23" s="336"/>
      <c r="W23" s="348"/>
      <c r="X23" s="312"/>
      <c r="Y23" s="312"/>
      <c r="Z23" s="363">
        <v>45411.0</v>
      </c>
      <c r="AA23" s="341">
        <v>1798.671</v>
      </c>
      <c r="AB23" s="341">
        <v>1798.671</v>
      </c>
      <c r="AC23" s="341">
        <v>1798.671</v>
      </c>
      <c r="AD23" s="341">
        <v>1798.671</v>
      </c>
      <c r="AE23" s="335" t="s">
        <v>238</v>
      </c>
      <c r="AF23" s="336">
        <f t="shared" si="3"/>
        <v>0.006475687849</v>
      </c>
      <c r="AG23" s="336"/>
      <c r="AH23" s="336"/>
      <c r="AI23" s="348"/>
      <c r="AJ23" s="312"/>
      <c r="AK23" s="312"/>
      <c r="AL23" s="353">
        <v>45411.0</v>
      </c>
      <c r="AM23" s="343">
        <v>20.352</v>
      </c>
      <c r="AN23" s="343">
        <v>20.352</v>
      </c>
      <c r="AO23" s="343">
        <v>20.352</v>
      </c>
      <c r="AP23" s="343">
        <v>20.352</v>
      </c>
      <c r="AQ23" s="335" t="s">
        <v>238</v>
      </c>
      <c r="AR23" s="336">
        <f t="shared" si="4"/>
        <v>0.0006881297888</v>
      </c>
      <c r="AS23" s="336"/>
      <c r="AT23" s="336"/>
      <c r="AU23" s="348"/>
      <c r="AV23" s="312"/>
      <c r="AW23" s="312"/>
      <c r="AX23" s="322"/>
      <c r="BE23" s="194" t="s">
        <v>236</v>
      </c>
      <c r="BF23" s="291">
        <f>(1 + $J$7)^252 - 1
</f>
        <v>0.1513042752</v>
      </c>
      <c r="BG23" s="291">
        <f>(1 + $V$7)^252 - 1
</f>
        <v>0.3371139643</v>
      </c>
      <c r="BH23" s="291">
        <f>(1 + $AH$7)^252 - 1
</f>
        <v>0.1881508613</v>
      </c>
      <c r="BI23" s="291">
        <f>(1 + $AT$7)^252 - 1
</f>
        <v>0.1822690224</v>
      </c>
      <c r="BJ23" s="360"/>
    </row>
    <row r="24" ht="15.75" customHeight="1">
      <c r="A24" s="308"/>
      <c r="B24" s="362">
        <v>45412.0</v>
      </c>
      <c r="C24" s="335">
        <v>76.964</v>
      </c>
      <c r="D24" s="335">
        <v>76.964</v>
      </c>
      <c r="E24" s="335">
        <v>76.964</v>
      </c>
      <c r="F24" s="335">
        <v>76.964</v>
      </c>
      <c r="G24" s="335" t="s">
        <v>238</v>
      </c>
      <c r="H24" s="336">
        <f t="shared" si="1"/>
        <v>-0.004498468127</v>
      </c>
      <c r="I24" s="336"/>
      <c r="J24" s="336"/>
      <c r="K24" s="348"/>
      <c r="L24" s="312"/>
      <c r="M24" s="312"/>
      <c r="N24" s="363">
        <v>45412.0</v>
      </c>
      <c r="O24" s="341">
        <v>29.441</v>
      </c>
      <c r="P24" s="341">
        <v>29.441</v>
      </c>
      <c r="Q24" s="341">
        <v>29.441</v>
      </c>
      <c r="R24" s="341">
        <v>29.441</v>
      </c>
      <c r="S24" s="335" t="s">
        <v>238</v>
      </c>
      <c r="T24" s="336">
        <f t="shared" si="2"/>
        <v>-0.006871483414</v>
      </c>
      <c r="U24" s="336"/>
      <c r="V24" s="336"/>
      <c r="W24" s="348"/>
      <c r="X24" s="312"/>
      <c r="Y24" s="312"/>
      <c r="Z24" s="363">
        <v>45412.0</v>
      </c>
      <c r="AA24" s="341">
        <v>1798.293</v>
      </c>
      <c r="AB24" s="341">
        <v>1798.293</v>
      </c>
      <c r="AC24" s="341">
        <v>1798.293</v>
      </c>
      <c r="AD24" s="341">
        <v>1798.293</v>
      </c>
      <c r="AE24" s="335" t="s">
        <v>238</v>
      </c>
      <c r="AF24" s="336">
        <f t="shared" si="3"/>
        <v>-0.0002101772503</v>
      </c>
      <c r="AG24" s="336"/>
      <c r="AH24" s="336"/>
      <c r="AI24" s="348"/>
      <c r="AJ24" s="312"/>
      <c r="AK24" s="312"/>
      <c r="AL24" s="353">
        <v>45412.0</v>
      </c>
      <c r="AM24" s="343">
        <v>20.355</v>
      </c>
      <c r="AN24" s="343">
        <v>20.355</v>
      </c>
      <c r="AO24" s="343">
        <v>20.355</v>
      </c>
      <c r="AP24" s="343">
        <v>20.355</v>
      </c>
      <c r="AQ24" s="335" t="s">
        <v>238</v>
      </c>
      <c r="AR24" s="336">
        <f t="shared" si="4"/>
        <v>0.0001473947972</v>
      </c>
      <c r="AS24" s="336"/>
      <c r="AT24" s="336"/>
      <c r="AU24" s="348"/>
      <c r="AV24" s="312"/>
      <c r="AW24" s="312"/>
      <c r="AX24" s="322"/>
      <c r="BE24" s="199" t="s">
        <v>234</v>
      </c>
      <c r="BF24" s="292">
        <f>STDEV($H$7:$H$265)*15.8745078664</f>
        <v>0.1121591379</v>
      </c>
      <c r="BG24" s="292">
        <f>STDEV($T$7:$T$265)*15.8745078664</f>
        <v>0.1522195915</v>
      </c>
      <c r="BH24" s="292">
        <f>STDEV($AF$7:$AF$264)*15.8745078664</f>
        <v>0.1308700306</v>
      </c>
      <c r="BI24" s="292">
        <f>STDEV($AR$7:$AR$265)*15.8745078664</f>
        <v>0.04460470872</v>
      </c>
      <c r="BJ24" s="360"/>
    </row>
    <row r="25" ht="15.75" customHeight="1">
      <c r="A25" s="308"/>
      <c r="B25" s="362">
        <v>45414.0</v>
      </c>
      <c r="C25" s="335">
        <v>77.536</v>
      </c>
      <c r="D25" s="335">
        <v>77.536</v>
      </c>
      <c r="E25" s="335">
        <v>77.536</v>
      </c>
      <c r="F25" s="335">
        <v>77.536</v>
      </c>
      <c r="G25" s="335" t="s">
        <v>238</v>
      </c>
      <c r="H25" s="336">
        <f t="shared" si="1"/>
        <v>0.007404564575</v>
      </c>
      <c r="I25" s="336"/>
      <c r="J25" s="336"/>
      <c r="K25" s="348"/>
      <c r="L25" s="312"/>
      <c r="M25" s="312"/>
      <c r="N25" s="363">
        <v>45414.0</v>
      </c>
      <c r="O25" s="341">
        <v>29.427</v>
      </c>
      <c r="P25" s="341">
        <v>29.427</v>
      </c>
      <c r="Q25" s="341">
        <v>29.427</v>
      </c>
      <c r="R25" s="341">
        <v>29.427</v>
      </c>
      <c r="S25" s="335" t="s">
        <v>238</v>
      </c>
      <c r="T25" s="336">
        <f t="shared" si="2"/>
        <v>-0.0004756404248</v>
      </c>
      <c r="U25" s="336"/>
      <c r="V25" s="336"/>
      <c r="W25" s="348"/>
      <c r="X25" s="312"/>
      <c r="Y25" s="312"/>
      <c r="Z25" s="363">
        <v>45414.0</v>
      </c>
      <c r="AA25" s="341">
        <v>1799.823</v>
      </c>
      <c r="AB25" s="341">
        <v>1799.823</v>
      </c>
      <c r="AC25" s="341">
        <v>1799.823</v>
      </c>
      <c r="AD25" s="341">
        <v>1799.823</v>
      </c>
      <c r="AE25" s="335" t="s">
        <v>238</v>
      </c>
      <c r="AF25" s="336">
        <f t="shared" si="3"/>
        <v>0.0008504451175</v>
      </c>
      <c r="AG25" s="336"/>
      <c r="AH25" s="336"/>
      <c r="AI25" s="348"/>
      <c r="AJ25" s="312"/>
      <c r="AK25" s="312"/>
      <c r="AL25" s="366">
        <v>45414.0</v>
      </c>
      <c r="AM25" s="343">
        <v>20.374</v>
      </c>
      <c r="AN25" s="343">
        <v>20.374</v>
      </c>
      <c r="AO25" s="343">
        <v>20.374</v>
      </c>
      <c r="AP25" s="343">
        <v>20.374</v>
      </c>
      <c r="AQ25" s="335" t="s">
        <v>238</v>
      </c>
      <c r="AR25" s="336">
        <f t="shared" si="4"/>
        <v>0.0009329962129</v>
      </c>
      <c r="AS25" s="336"/>
      <c r="AT25" s="336"/>
      <c r="AU25" s="348"/>
      <c r="AV25" s="312"/>
      <c r="AW25" s="312"/>
      <c r="AX25" s="367"/>
      <c r="AY25" s="368"/>
      <c r="AZ25" s="368"/>
      <c r="BA25" s="368"/>
      <c r="BB25" s="368"/>
      <c r="BC25" s="368"/>
      <c r="BD25" s="308"/>
      <c r="BE25" s="193" t="s">
        <v>242</v>
      </c>
      <c r="BF25" s="193" t="s">
        <v>243</v>
      </c>
      <c r="BG25" s="193" t="s">
        <v>244</v>
      </c>
      <c r="BH25" s="193" t="s">
        <v>245</v>
      </c>
      <c r="BI25" s="193" t="s">
        <v>246</v>
      </c>
      <c r="BJ25" s="193" t="s">
        <v>247</v>
      </c>
    </row>
    <row r="26" ht="15.75" customHeight="1">
      <c r="A26" s="308"/>
      <c r="B26" s="362">
        <v>45415.0</v>
      </c>
      <c r="C26" s="335">
        <v>77.658</v>
      </c>
      <c r="D26" s="335">
        <v>77.658</v>
      </c>
      <c r="E26" s="335">
        <v>77.658</v>
      </c>
      <c r="F26" s="335">
        <v>77.658</v>
      </c>
      <c r="G26" s="335" t="s">
        <v>238</v>
      </c>
      <c r="H26" s="336">
        <f t="shared" si="1"/>
        <v>0.001572226054</v>
      </c>
      <c r="I26" s="336"/>
      <c r="J26" s="336"/>
      <c r="K26" s="348"/>
      <c r="L26" s="312"/>
      <c r="M26" s="312"/>
      <c r="N26" s="363">
        <v>45415.0</v>
      </c>
      <c r="O26" s="341">
        <v>29.248</v>
      </c>
      <c r="P26" s="341">
        <v>29.248</v>
      </c>
      <c r="Q26" s="341">
        <v>29.248</v>
      </c>
      <c r="R26" s="341">
        <v>29.248</v>
      </c>
      <c r="S26" s="335" t="s">
        <v>238</v>
      </c>
      <c r="T26" s="336">
        <f t="shared" si="2"/>
        <v>-0.006101424979</v>
      </c>
      <c r="U26" s="336"/>
      <c r="V26" s="336"/>
      <c r="W26" s="348"/>
      <c r="X26" s="312"/>
      <c r="Y26" s="312"/>
      <c r="Z26" s="363">
        <v>45415.0</v>
      </c>
      <c r="AA26" s="341">
        <v>1793.881</v>
      </c>
      <c r="AB26" s="341">
        <v>1793.881</v>
      </c>
      <c r="AC26" s="341">
        <v>1793.881</v>
      </c>
      <c r="AD26" s="341">
        <v>1793.881</v>
      </c>
      <c r="AE26" s="335" t="s">
        <v>238</v>
      </c>
      <c r="AF26" s="336">
        <f t="shared" si="3"/>
        <v>-0.003306897516</v>
      </c>
      <c r="AG26" s="336"/>
      <c r="AH26" s="336"/>
      <c r="AI26" s="348"/>
      <c r="AJ26" s="312"/>
      <c r="AK26" s="312"/>
      <c r="AL26" s="366">
        <v>45415.0</v>
      </c>
      <c r="AM26" s="343">
        <v>20.382</v>
      </c>
      <c r="AN26" s="343">
        <v>20.382</v>
      </c>
      <c r="AO26" s="343">
        <v>20.382</v>
      </c>
      <c r="AP26" s="343">
        <v>20.382</v>
      </c>
      <c r="AQ26" s="335" t="s">
        <v>238</v>
      </c>
      <c r="AR26" s="336">
        <f t="shared" si="4"/>
        <v>0.0003925802386</v>
      </c>
      <c r="AS26" s="336"/>
      <c r="AT26" s="336"/>
      <c r="AU26" s="348"/>
      <c r="AV26" s="312"/>
      <c r="AW26" s="312"/>
      <c r="AX26" s="367"/>
      <c r="AY26" s="369"/>
      <c r="AZ26" s="369"/>
      <c r="BA26" s="369"/>
      <c r="BB26" s="369"/>
      <c r="BC26" s="369"/>
      <c r="BD26" s="308"/>
      <c r="BE26" s="193" t="s">
        <v>248</v>
      </c>
      <c r="BF26" s="201">
        <f t="array" ref="BF26">MMULT(BF22:BI22, TRANSPOSE(BF23:BI23))</f>
        <v>0.2031516471</v>
      </c>
      <c r="BG26" s="202">
        <f t="array" ref="BG26">MMULT(BF22:BI22, MMULT($AZ$6:$BC$9, TRANSPOSE(BF22:BI22)))</f>
        <v>0.001951599309</v>
      </c>
      <c r="BH26" s="202">
        <f>SQRT(BG26)</f>
        <v>0.04417690923</v>
      </c>
      <c r="BI26" s="201">
        <f>SQRT(BG26)</f>
        <v>0.04417690923</v>
      </c>
      <c r="BJ26" s="203">
        <f>(BF26-$AW$7)/(BI26)</f>
        <v>3.272108657</v>
      </c>
    </row>
    <row r="27" ht="15.75" customHeight="1">
      <c r="A27" s="308"/>
      <c r="B27" s="370">
        <v>45418.0</v>
      </c>
      <c r="C27" s="335">
        <v>77.762</v>
      </c>
      <c r="D27" s="335">
        <v>77.762</v>
      </c>
      <c r="E27" s="335">
        <v>77.762</v>
      </c>
      <c r="F27" s="335">
        <v>77.762</v>
      </c>
      <c r="G27" s="335" t="s">
        <v>238</v>
      </c>
      <c r="H27" s="336">
        <f t="shared" si="1"/>
        <v>0.001338309298</v>
      </c>
      <c r="I27" s="336"/>
      <c r="J27" s="336"/>
      <c r="K27" s="348"/>
      <c r="L27" s="312"/>
      <c r="M27" s="312"/>
      <c r="N27" s="363">
        <v>45418.0</v>
      </c>
      <c r="O27" s="341">
        <v>29.363</v>
      </c>
      <c r="P27" s="341">
        <v>29.363</v>
      </c>
      <c r="Q27" s="341">
        <v>29.363</v>
      </c>
      <c r="R27" s="341">
        <v>29.363</v>
      </c>
      <c r="S27" s="335" t="s">
        <v>238</v>
      </c>
      <c r="T27" s="336">
        <f t="shared" si="2"/>
        <v>0.003924183091</v>
      </c>
      <c r="U27" s="336"/>
      <c r="V27" s="336"/>
      <c r="W27" s="348"/>
      <c r="X27" s="312"/>
      <c r="Y27" s="312"/>
      <c r="Z27" s="371">
        <v>45418.0</v>
      </c>
      <c r="AA27" s="341">
        <v>1794.214</v>
      </c>
      <c r="AB27" s="341">
        <v>1794.214</v>
      </c>
      <c r="AC27" s="341">
        <v>1794.214</v>
      </c>
      <c r="AD27" s="341">
        <v>1794.214</v>
      </c>
      <c r="AE27" s="335" t="s">
        <v>238</v>
      </c>
      <c r="AF27" s="336">
        <f t="shared" si="3"/>
        <v>0.0001856138151</v>
      </c>
      <c r="AG27" s="336"/>
      <c r="AH27" s="336"/>
      <c r="AI27" s="348"/>
      <c r="AJ27" s="312"/>
      <c r="AK27" s="312"/>
      <c r="AL27" s="366">
        <v>45418.0</v>
      </c>
      <c r="AM27" s="343">
        <v>20.402</v>
      </c>
      <c r="AN27" s="343">
        <v>20.402</v>
      </c>
      <c r="AO27" s="343">
        <v>20.402</v>
      </c>
      <c r="AP27" s="343">
        <v>20.402</v>
      </c>
      <c r="AQ27" s="335" t="s">
        <v>238</v>
      </c>
      <c r="AR27" s="336">
        <f t="shared" si="4"/>
        <v>0.0009807768538</v>
      </c>
      <c r="AS27" s="336"/>
      <c r="AT27" s="336"/>
      <c r="AU27" s="348"/>
      <c r="AV27" s="312"/>
      <c r="AW27" s="312"/>
      <c r="AX27" s="207"/>
      <c r="AY27" s="207"/>
      <c r="AZ27" s="207"/>
      <c r="BA27" s="207"/>
      <c r="BB27" s="207"/>
      <c r="BC27" s="207"/>
      <c r="BD27" s="308"/>
      <c r="BE27" s="207"/>
    </row>
    <row r="28" ht="15.75" customHeight="1">
      <c r="A28" s="308"/>
      <c r="B28" s="370">
        <v>45419.0</v>
      </c>
      <c r="C28" s="335">
        <v>77.259</v>
      </c>
      <c r="D28" s="335">
        <v>77.259</v>
      </c>
      <c r="E28" s="335">
        <v>77.259</v>
      </c>
      <c r="F28" s="335">
        <v>77.259</v>
      </c>
      <c r="G28" s="335" t="s">
        <v>238</v>
      </c>
      <c r="H28" s="336">
        <f t="shared" si="1"/>
        <v>-0.00648946614</v>
      </c>
      <c r="I28" s="336"/>
      <c r="J28" s="336"/>
      <c r="K28" s="348"/>
      <c r="L28" s="312"/>
      <c r="M28" s="312"/>
      <c r="N28" s="363">
        <v>45419.0</v>
      </c>
      <c r="O28" s="341">
        <v>29.344</v>
      </c>
      <c r="P28" s="341">
        <v>29.344</v>
      </c>
      <c r="Q28" s="341">
        <v>29.344</v>
      </c>
      <c r="R28" s="341">
        <v>29.344</v>
      </c>
      <c r="S28" s="335" t="s">
        <v>238</v>
      </c>
      <c r="T28" s="336">
        <f t="shared" si="2"/>
        <v>-0.0006472822888</v>
      </c>
      <c r="U28" s="336"/>
      <c r="V28" s="336"/>
      <c r="W28" s="348"/>
      <c r="X28" s="312"/>
      <c r="Y28" s="312"/>
      <c r="Z28" s="371">
        <v>45419.0</v>
      </c>
      <c r="AA28" s="341">
        <v>1774.723</v>
      </c>
      <c r="AB28" s="341">
        <v>1774.723</v>
      </c>
      <c r="AC28" s="341">
        <v>1774.723</v>
      </c>
      <c r="AD28" s="341">
        <v>1774.723</v>
      </c>
      <c r="AE28" s="335" t="s">
        <v>238</v>
      </c>
      <c r="AF28" s="336">
        <f t="shared" si="3"/>
        <v>-0.01092268862</v>
      </c>
      <c r="AG28" s="336"/>
      <c r="AH28" s="336"/>
      <c r="AI28" s="348"/>
      <c r="AJ28" s="312"/>
      <c r="AK28" s="312"/>
      <c r="AL28" s="366">
        <v>45419.0</v>
      </c>
      <c r="AM28" s="343">
        <v>20.408</v>
      </c>
      <c r="AN28" s="343">
        <v>20.408</v>
      </c>
      <c r="AO28" s="343">
        <v>20.408</v>
      </c>
      <c r="AP28" s="343">
        <v>20.408</v>
      </c>
      <c r="AQ28" s="335" t="s">
        <v>238</v>
      </c>
      <c r="AR28" s="336">
        <f t="shared" si="4"/>
        <v>0.0002940455792</v>
      </c>
      <c r="AS28" s="336"/>
      <c r="AT28" s="336"/>
      <c r="AU28" s="348"/>
      <c r="AV28" s="312"/>
      <c r="AW28" s="312"/>
      <c r="AX28" s="308"/>
      <c r="AY28" s="372"/>
      <c r="AZ28" s="373"/>
      <c r="BA28" s="374"/>
      <c r="BB28" s="372"/>
      <c r="BC28" s="367"/>
      <c r="BD28" s="308"/>
      <c r="BE28" s="308"/>
    </row>
    <row r="29" ht="15.75" customHeight="1">
      <c r="A29" s="308"/>
      <c r="B29" s="370">
        <v>45420.0</v>
      </c>
      <c r="C29" s="335">
        <v>77.45</v>
      </c>
      <c r="D29" s="335">
        <v>77.45</v>
      </c>
      <c r="E29" s="335">
        <v>77.45</v>
      </c>
      <c r="F29" s="335">
        <v>77.45</v>
      </c>
      <c r="G29" s="335" t="s">
        <v>238</v>
      </c>
      <c r="H29" s="336">
        <f t="shared" si="1"/>
        <v>0.002469153017</v>
      </c>
      <c r="I29" s="336"/>
      <c r="J29" s="336"/>
      <c r="K29" s="348"/>
      <c r="L29" s="312"/>
      <c r="M29" s="312"/>
      <c r="N29" s="371">
        <v>45420.0</v>
      </c>
      <c r="O29" s="341">
        <v>29.257</v>
      </c>
      <c r="P29" s="341">
        <v>29.257</v>
      </c>
      <c r="Q29" s="341">
        <v>29.257</v>
      </c>
      <c r="R29" s="341">
        <v>29.257</v>
      </c>
      <c r="S29" s="335" t="s">
        <v>238</v>
      </c>
      <c r="T29" s="336">
        <f t="shared" si="2"/>
        <v>-0.002969234788</v>
      </c>
      <c r="U29" s="336"/>
      <c r="V29" s="336"/>
      <c r="W29" s="348"/>
      <c r="X29" s="312"/>
      <c r="Y29" s="312"/>
      <c r="Z29" s="371">
        <v>45420.0</v>
      </c>
      <c r="AA29" s="341">
        <v>1779.742</v>
      </c>
      <c r="AB29" s="341">
        <v>1779.742</v>
      </c>
      <c r="AC29" s="341">
        <v>1779.742</v>
      </c>
      <c r="AD29" s="341">
        <v>1779.742</v>
      </c>
      <c r="AE29" s="335" t="s">
        <v>238</v>
      </c>
      <c r="AF29" s="336">
        <f t="shared" si="3"/>
        <v>0.002824055567</v>
      </c>
      <c r="AG29" s="336"/>
      <c r="AH29" s="336"/>
      <c r="AI29" s="348"/>
      <c r="AJ29" s="312"/>
      <c r="AK29" s="312"/>
      <c r="AL29" s="366">
        <v>45420.0</v>
      </c>
      <c r="AM29" s="343">
        <v>20.416</v>
      </c>
      <c r="AN29" s="343">
        <v>20.416</v>
      </c>
      <c r="AO29" s="343">
        <v>20.416</v>
      </c>
      <c r="AP29" s="343">
        <v>20.416</v>
      </c>
      <c r="AQ29" s="335" t="s">
        <v>238</v>
      </c>
      <c r="AR29" s="336">
        <f t="shared" si="4"/>
        <v>0.0003919263229</v>
      </c>
      <c r="AS29" s="336"/>
      <c r="AT29" s="336"/>
      <c r="AU29" s="348"/>
      <c r="AV29" s="312"/>
      <c r="AW29" s="312"/>
      <c r="AX29" s="312"/>
      <c r="AY29" s="312"/>
      <c r="AZ29" s="312"/>
      <c r="BA29" s="312"/>
      <c r="BB29" s="312"/>
      <c r="BC29" s="312"/>
      <c r="BD29" s="316"/>
      <c r="BE29" s="308"/>
      <c r="BF29" s="308"/>
      <c r="BG29" s="308"/>
      <c r="BH29" s="308"/>
      <c r="BI29" s="308"/>
      <c r="BJ29" s="308"/>
      <c r="BK29" s="308"/>
      <c r="BL29" s="308"/>
      <c r="BM29" s="308"/>
      <c r="BN29" s="308"/>
      <c r="BO29" s="308"/>
      <c r="BP29" s="308"/>
      <c r="BQ29" s="308"/>
      <c r="BR29" s="308"/>
      <c r="BS29" s="308"/>
      <c r="BT29" s="308"/>
      <c r="BU29" s="308"/>
      <c r="BV29" s="308"/>
      <c r="BW29" s="308"/>
      <c r="BX29" s="308"/>
      <c r="BY29" s="308"/>
      <c r="BZ29" s="308"/>
      <c r="CA29" s="308"/>
      <c r="CB29" s="308"/>
      <c r="CC29" s="308"/>
      <c r="CD29" s="308"/>
    </row>
    <row r="30" ht="15.75" customHeight="1">
      <c r="A30" s="308"/>
      <c r="B30" s="370">
        <v>45421.0</v>
      </c>
      <c r="C30" s="335">
        <v>76.413</v>
      </c>
      <c r="D30" s="335">
        <v>76.413</v>
      </c>
      <c r="E30" s="335">
        <v>76.413</v>
      </c>
      <c r="F30" s="335">
        <v>76.413</v>
      </c>
      <c r="G30" s="335" t="s">
        <v>238</v>
      </c>
      <c r="H30" s="336">
        <f t="shared" si="1"/>
        <v>-0.0134797281</v>
      </c>
      <c r="I30" s="336"/>
      <c r="J30" s="336"/>
      <c r="K30" s="348"/>
      <c r="L30" s="312"/>
      <c r="M30" s="312"/>
      <c r="N30" s="371">
        <v>45421.0</v>
      </c>
      <c r="O30" s="341">
        <v>29.218</v>
      </c>
      <c r="P30" s="341">
        <v>29.218</v>
      </c>
      <c r="Q30" s="341">
        <v>29.218</v>
      </c>
      <c r="R30" s="341">
        <v>29.218</v>
      </c>
      <c r="S30" s="335" t="s">
        <v>238</v>
      </c>
      <c r="T30" s="336">
        <f t="shared" si="2"/>
        <v>-0.001333903575</v>
      </c>
      <c r="U30" s="336"/>
      <c r="V30" s="336"/>
      <c r="W30" s="348"/>
      <c r="X30" s="312"/>
      <c r="Y30" s="312"/>
      <c r="Z30" s="371">
        <v>45421.0</v>
      </c>
      <c r="AA30" s="341">
        <v>1760.274</v>
      </c>
      <c r="AB30" s="341">
        <v>1760.274</v>
      </c>
      <c r="AC30" s="341">
        <v>1760.274</v>
      </c>
      <c r="AD30" s="341">
        <v>1760.274</v>
      </c>
      <c r="AE30" s="335" t="s">
        <v>238</v>
      </c>
      <c r="AF30" s="336">
        <f t="shared" si="3"/>
        <v>-0.01099893123</v>
      </c>
      <c r="AG30" s="336"/>
      <c r="AH30" s="336"/>
      <c r="AI30" s="348"/>
      <c r="AJ30" s="312"/>
      <c r="AK30" s="312"/>
      <c r="AL30" s="366">
        <v>45421.0</v>
      </c>
      <c r="AM30" s="343">
        <v>20.421</v>
      </c>
      <c r="AN30" s="343">
        <v>20.421</v>
      </c>
      <c r="AO30" s="343">
        <v>20.421</v>
      </c>
      <c r="AP30" s="343">
        <v>20.421</v>
      </c>
      <c r="AQ30" s="335" t="s">
        <v>238</v>
      </c>
      <c r="AR30" s="336">
        <f t="shared" si="4"/>
        <v>0.0002448759715</v>
      </c>
      <c r="AS30" s="336"/>
      <c r="AT30" s="336"/>
      <c r="AU30" s="348"/>
      <c r="AV30" s="312"/>
      <c r="AW30" s="312"/>
      <c r="AX30" s="312"/>
      <c r="AY30" s="312"/>
      <c r="AZ30" s="312"/>
      <c r="BA30" s="312"/>
      <c r="BB30" s="312"/>
      <c r="BC30" s="312"/>
      <c r="BD30" s="316"/>
      <c r="BE30" s="316"/>
      <c r="BF30" s="316"/>
      <c r="BG30" s="316"/>
      <c r="BH30" s="316"/>
      <c r="BI30" s="316"/>
      <c r="BJ30" s="316"/>
      <c r="BK30" s="316"/>
      <c r="BL30" s="316"/>
      <c r="BM30" s="316"/>
      <c r="BN30" s="316"/>
      <c r="BO30" s="316"/>
      <c r="BP30" s="316"/>
      <c r="BQ30" s="316"/>
      <c r="BR30" s="316"/>
      <c r="BS30" s="316"/>
      <c r="BT30" s="316"/>
      <c r="BU30" s="316"/>
      <c r="BV30" s="316"/>
      <c r="BW30" s="316"/>
      <c r="BX30" s="316"/>
      <c r="BY30" s="316"/>
      <c r="BZ30" s="316"/>
      <c r="CA30" s="316"/>
      <c r="CB30" s="316"/>
      <c r="CC30" s="316"/>
      <c r="CD30" s="316"/>
    </row>
    <row r="31" ht="15.75" customHeight="1">
      <c r="A31" s="308"/>
      <c r="B31" s="370">
        <v>45422.0</v>
      </c>
      <c r="C31" s="335">
        <v>76.8</v>
      </c>
      <c r="D31" s="335">
        <v>76.8</v>
      </c>
      <c r="E31" s="335">
        <v>76.8</v>
      </c>
      <c r="F31" s="335">
        <v>76.8</v>
      </c>
      <c r="G31" s="335" t="s">
        <v>238</v>
      </c>
      <c r="H31" s="336">
        <f t="shared" si="1"/>
        <v>0.005051801388</v>
      </c>
      <c r="I31" s="336"/>
      <c r="J31" s="336"/>
      <c r="K31" s="348"/>
      <c r="L31" s="312"/>
      <c r="M31" s="312"/>
      <c r="N31" s="371">
        <v>45422.0</v>
      </c>
      <c r="O31" s="341">
        <v>29.942</v>
      </c>
      <c r="P31" s="341">
        <v>29.942</v>
      </c>
      <c r="Q31" s="341">
        <v>29.942</v>
      </c>
      <c r="R31" s="341">
        <v>29.942</v>
      </c>
      <c r="S31" s="335" t="s">
        <v>238</v>
      </c>
      <c r="T31" s="336">
        <f t="shared" si="2"/>
        <v>0.02447721932</v>
      </c>
      <c r="U31" s="336"/>
      <c r="V31" s="336"/>
      <c r="W31" s="348"/>
      <c r="X31" s="312"/>
      <c r="Y31" s="312"/>
      <c r="Z31" s="371">
        <v>45422.0</v>
      </c>
      <c r="AA31" s="341">
        <v>1767.277</v>
      </c>
      <c r="AB31" s="341">
        <v>1767.277</v>
      </c>
      <c r="AC31" s="341">
        <v>1767.277</v>
      </c>
      <c r="AD31" s="341">
        <v>1767.277</v>
      </c>
      <c r="AE31" s="335" t="s">
        <v>238</v>
      </c>
      <c r="AF31" s="336">
        <f t="shared" si="3"/>
        <v>0.003970465175</v>
      </c>
      <c r="AG31" s="336"/>
      <c r="AH31" s="336"/>
      <c r="AI31" s="348"/>
      <c r="AJ31" s="312"/>
      <c r="AK31" s="312"/>
      <c r="AL31" s="375">
        <v>45422.0</v>
      </c>
      <c r="AM31" s="343">
        <v>20.424</v>
      </c>
      <c r="AN31" s="343">
        <v>20.424</v>
      </c>
      <c r="AO31" s="343">
        <v>20.424</v>
      </c>
      <c r="AP31" s="343">
        <v>20.424</v>
      </c>
      <c r="AQ31" s="335" t="s">
        <v>238</v>
      </c>
      <c r="AR31" s="336">
        <f t="shared" si="4"/>
        <v>0.0001468968053</v>
      </c>
      <c r="AS31" s="336"/>
      <c r="AT31" s="336"/>
      <c r="AU31" s="348"/>
      <c r="AV31" s="312"/>
      <c r="AW31" s="312"/>
      <c r="AX31" s="312"/>
      <c r="AY31" s="312"/>
      <c r="AZ31" s="312"/>
      <c r="BA31" s="312"/>
      <c r="BB31" s="312"/>
      <c r="BC31" s="312"/>
      <c r="BD31" s="316"/>
      <c r="BE31" s="316"/>
      <c r="BF31" s="316"/>
      <c r="BG31" s="316"/>
      <c r="BH31" s="316"/>
      <c r="BI31" s="316"/>
      <c r="BJ31" s="316"/>
      <c r="BK31" s="316"/>
      <c r="BL31" s="316"/>
      <c r="BM31" s="316"/>
      <c r="BN31" s="316"/>
      <c r="BO31" s="316"/>
      <c r="BP31" s="316"/>
      <c r="BQ31" s="316"/>
      <c r="BR31" s="316"/>
      <c r="BS31" s="316"/>
      <c r="BT31" s="316"/>
      <c r="BU31" s="316"/>
      <c r="BV31" s="316"/>
      <c r="BW31" s="316"/>
      <c r="BX31" s="316"/>
      <c r="BY31" s="316"/>
      <c r="BZ31" s="316"/>
      <c r="CA31" s="316"/>
      <c r="CB31" s="316"/>
      <c r="CC31" s="316"/>
      <c r="CD31" s="316"/>
    </row>
    <row r="32" ht="15.75" customHeight="1">
      <c r="A32" s="308"/>
      <c r="B32" s="370">
        <v>45425.0</v>
      </c>
      <c r="C32" s="335">
        <v>76.996</v>
      </c>
      <c r="D32" s="335">
        <v>76.996</v>
      </c>
      <c r="E32" s="335">
        <v>76.996</v>
      </c>
      <c r="F32" s="335">
        <v>76.996</v>
      </c>
      <c r="G32" s="335" t="s">
        <v>238</v>
      </c>
      <c r="H32" s="336">
        <f t="shared" si="1"/>
        <v>0.002548832299</v>
      </c>
      <c r="I32" s="336"/>
      <c r="J32" s="336"/>
      <c r="K32" s="348"/>
      <c r="L32" s="312"/>
      <c r="M32" s="312"/>
      <c r="N32" s="371">
        <v>45425.0</v>
      </c>
      <c r="O32" s="341">
        <v>29.57</v>
      </c>
      <c r="P32" s="341">
        <v>29.57</v>
      </c>
      <c r="Q32" s="341">
        <v>29.57</v>
      </c>
      <c r="R32" s="341">
        <v>29.57</v>
      </c>
      <c r="S32" s="335" t="s">
        <v>238</v>
      </c>
      <c r="T32" s="336">
        <f t="shared" si="2"/>
        <v>-0.01250184316</v>
      </c>
      <c r="U32" s="336"/>
      <c r="V32" s="336"/>
      <c r="W32" s="348"/>
      <c r="X32" s="312"/>
      <c r="Y32" s="312"/>
      <c r="Z32" s="371">
        <v>45425.0</v>
      </c>
      <c r="AA32" s="341">
        <v>1777.055</v>
      </c>
      <c r="AB32" s="341">
        <v>1777.055</v>
      </c>
      <c r="AC32" s="341">
        <v>1777.055</v>
      </c>
      <c r="AD32" s="341">
        <v>1777.055</v>
      </c>
      <c r="AE32" s="335" t="s">
        <v>238</v>
      </c>
      <c r="AF32" s="336">
        <f t="shared" si="3"/>
        <v>0.005517555808</v>
      </c>
      <c r="AG32" s="336"/>
      <c r="AH32" s="336"/>
      <c r="AI32" s="348"/>
      <c r="AJ32" s="312"/>
      <c r="AK32" s="312"/>
      <c r="AL32" s="375">
        <v>45425.0</v>
      </c>
      <c r="AM32" s="343">
        <v>20.43</v>
      </c>
      <c r="AN32" s="343">
        <v>20.43</v>
      </c>
      <c r="AO32" s="343">
        <v>20.43</v>
      </c>
      <c r="AP32" s="343">
        <v>20.43</v>
      </c>
      <c r="AQ32" s="335" t="s">
        <v>238</v>
      </c>
      <c r="AR32" s="336">
        <f t="shared" si="4"/>
        <v>0.0002937288903</v>
      </c>
      <c r="AS32" s="336"/>
      <c r="AT32" s="336"/>
      <c r="AU32" s="348"/>
      <c r="AV32" s="312"/>
      <c r="AW32" s="312"/>
      <c r="AX32" s="312"/>
      <c r="AY32" s="312"/>
      <c r="AZ32" s="312"/>
      <c r="BA32" s="312"/>
      <c r="BB32" s="312"/>
      <c r="BC32" s="312"/>
      <c r="BD32" s="316"/>
      <c r="BE32" s="316"/>
      <c r="BF32" s="316"/>
      <c r="BG32" s="316"/>
      <c r="BH32" s="316"/>
      <c r="BI32" s="316"/>
      <c r="BJ32" s="316"/>
      <c r="BK32" s="316"/>
      <c r="BL32" s="316"/>
      <c r="BM32" s="316"/>
      <c r="BN32" s="316"/>
      <c r="BO32" s="316"/>
      <c r="BP32" s="316"/>
      <c r="BQ32" s="316"/>
      <c r="BR32" s="316"/>
      <c r="BS32" s="316"/>
      <c r="BT32" s="316"/>
      <c r="BU32" s="316"/>
      <c r="BV32" s="316"/>
      <c r="BW32" s="316"/>
      <c r="BX32" s="316"/>
      <c r="BY32" s="316"/>
      <c r="BZ32" s="316"/>
      <c r="CA32" s="316"/>
      <c r="CB32" s="316"/>
      <c r="CC32" s="316"/>
      <c r="CD32" s="316"/>
    </row>
    <row r="33" ht="15.75" customHeight="1">
      <c r="A33" s="308"/>
      <c r="B33" s="376">
        <v>45426.0</v>
      </c>
      <c r="C33" s="335">
        <v>77.278</v>
      </c>
      <c r="D33" s="335">
        <v>77.278</v>
      </c>
      <c r="E33" s="335">
        <v>77.278</v>
      </c>
      <c r="F33" s="335">
        <v>77.278</v>
      </c>
      <c r="G33" s="335" t="s">
        <v>238</v>
      </c>
      <c r="H33" s="336">
        <f t="shared" si="1"/>
        <v>0.0036558372</v>
      </c>
      <c r="I33" s="336"/>
      <c r="J33" s="336"/>
      <c r="K33" s="348"/>
      <c r="L33" s="312"/>
      <c r="M33" s="312"/>
      <c r="N33" s="371">
        <v>45426.0</v>
      </c>
      <c r="O33" s="341">
        <v>29.589</v>
      </c>
      <c r="P33" s="341">
        <v>29.589</v>
      </c>
      <c r="Q33" s="341">
        <v>29.589</v>
      </c>
      <c r="R33" s="341">
        <v>29.589</v>
      </c>
      <c r="S33" s="335" t="s">
        <v>238</v>
      </c>
      <c r="T33" s="336">
        <f t="shared" si="2"/>
        <v>0.0006423367756</v>
      </c>
      <c r="U33" s="336"/>
      <c r="V33" s="336"/>
      <c r="W33" s="348"/>
      <c r="X33" s="312"/>
      <c r="Y33" s="312"/>
      <c r="Z33" s="377">
        <v>45426.0</v>
      </c>
      <c r="AA33" s="341">
        <v>1781.763</v>
      </c>
      <c r="AB33" s="341">
        <v>1781.763</v>
      </c>
      <c r="AC33" s="341">
        <v>1781.763</v>
      </c>
      <c r="AD33" s="341">
        <v>1781.763</v>
      </c>
      <c r="AE33" s="335" t="s">
        <v>238</v>
      </c>
      <c r="AF33" s="336">
        <f t="shared" si="3"/>
        <v>0.002645823836</v>
      </c>
      <c r="AG33" s="336"/>
      <c r="AH33" s="336"/>
      <c r="AI33" s="348"/>
      <c r="AJ33" s="312"/>
      <c r="AK33" s="312"/>
      <c r="AL33" s="375">
        <v>45426.0</v>
      </c>
      <c r="AM33" s="343">
        <v>20.439</v>
      </c>
      <c r="AN33" s="343">
        <v>20.439</v>
      </c>
      <c r="AO33" s="343">
        <v>20.439</v>
      </c>
      <c r="AP33" s="343">
        <v>20.439</v>
      </c>
      <c r="AQ33" s="335" t="s">
        <v>238</v>
      </c>
      <c r="AR33" s="336">
        <f t="shared" si="4"/>
        <v>0.0004404316301</v>
      </c>
      <c r="AS33" s="336"/>
      <c r="AT33" s="336"/>
      <c r="AU33" s="348"/>
      <c r="AV33" s="312"/>
      <c r="AW33" s="312"/>
      <c r="AX33" s="312"/>
      <c r="AY33" s="312"/>
      <c r="AZ33" s="312"/>
      <c r="BA33" s="312"/>
      <c r="BB33" s="312"/>
      <c r="BC33" s="312"/>
      <c r="BD33" s="316"/>
      <c r="BE33" s="316"/>
      <c r="BF33" s="316"/>
      <c r="BG33" s="316"/>
      <c r="BH33" s="316"/>
      <c r="BI33" s="316"/>
      <c r="BJ33" s="316"/>
      <c r="BK33" s="316"/>
      <c r="BL33" s="316"/>
      <c r="BM33" s="316"/>
      <c r="BN33" s="316"/>
      <c r="BO33" s="316"/>
      <c r="BP33" s="316"/>
      <c r="BQ33" s="316"/>
      <c r="BR33" s="316"/>
      <c r="BS33" s="316"/>
      <c r="BT33" s="316"/>
      <c r="BU33" s="316"/>
      <c r="BV33" s="316"/>
      <c r="BW33" s="316"/>
      <c r="BX33" s="316"/>
      <c r="BY33" s="316"/>
      <c r="BZ33" s="316"/>
      <c r="CA33" s="316"/>
      <c r="CB33" s="316"/>
      <c r="CC33" s="316"/>
      <c r="CD33" s="316"/>
    </row>
    <row r="34" ht="15.75" customHeight="1">
      <c r="A34" s="308"/>
      <c r="B34" s="376">
        <v>45427.0</v>
      </c>
      <c r="C34" s="335">
        <v>77.698</v>
      </c>
      <c r="D34" s="335">
        <v>77.698</v>
      </c>
      <c r="E34" s="335">
        <v>77.698</v>
      </c>
      <c r="F34" s="335">
        <v>77.698</v>
      </c>
      <c r="G34" s="335" t="s">
        <v>238</v>
      </c>
      <c r="H34" s="336">
        <f t="shared" si="1"/>
        <v>0.005420207364</v>
      </c>
      <c r="I34" s="336"/>
      <c r="J34" s="336"/>
      <c r="K34" s="348"/>
      <c r="L34" s="312"/>
      <c r="M34" s="312"/>
      <c r="N34" s="371">
        <v>45427.0</v>
      </c>
      <c r="O34" s="341">
        <v>29.84</v>
      </c>
      <c r="P34" s="341">
        <v>29.84</v>
      </c>
      <c r="Q34" s="341">
        <v>29.84</v>
      </c>
      <c r="R34" s="341">
        <v>29.84</v>
      </c>
      <c r="S34" s="335" t="s">
        <v>238</v>
      </c>
      <c r="T34" s="336">
        <f t="shared" si="2"/>
        <v>0.008447104696</v>
      </c>
      <c r="U34" s="336"/>
      <c r="V34" s="336"/>
      <c r="W34" s="348"/>
      <c r="X34" s="312"/>
      <c r="Y34" s="312"/>
      <c r="Z34" s="377">
        <v>45427.0</v>
      </c>
      <c r="AA34" s="341">
        <v>1791.193</v>
      </c>
      <c r="AB34" s="341">
        <v>1791.193</v>
      </c>
      <c r="AC34" s="341">
        <v>1791.193</v>
      </c>
      <c r="AD34" s="341">
        <v>1791.193</v>
      </c>
      <c r="AE34" s="335" t="s">
        <v>238</v>
      </c>
      <c r="AF34" s="336">
        <f t="shared" si="3"/>
        <v>0.005278554729</v>
      </c>
      <c r="AG34" s="336"/>
      <c r="AH34" s="336"/>
      <c r="AI34" s="348"/>
      <c r="AJ34" s="312"/>
      <c r="AK34" s="312"/>
      <c r="AL34" s="375">
        <v>45427.0</v>
      </c>
      <c r="AM34" s="343">
        <v>20.444</v>
      </c>
      <c r="AN34" s="343">
        <v>20.444</v>
      </c>
      <c r="AO34" s="343">
        <v>20.444</v>
      </c>
      <c r="AP34" s="343">
        <v>20.444</v>
      </c>
      <c r="AQ34" s="335" t="s">
        <v>238</v>
      </c>
      <c r="AR34" s="336">
        <f t="shared" si="4"/>
        <v>0.0002446004464</v>
      </c>
      <c r="AS34" s="336"/>
      <c r="AT34" s="336"/>
      <c r="AU34" s="348"/>
      <c r="AV34" s="312"/>
      <c r="AW34" s="312"/>
      <c r="AX34" s="312"/>
      <c r="AY34" s="312"/>
      <c r="AZ34" s="312"/>
      <c r="BA34" s="312"/>
      <c r="BB34" s="312"/>
      <c r="BC34" s="312"/>
      <c r="BD34" s="316"/>
      <c r="BE34" s="316"/>
      <c r="BF34" s="316"/>
      <c r="BG34" s="316"/>
      <c r="BH34" s="316"/>
      <c r="BI34" s="316"/>
      <c r="BJ34" s="316"/>
      <c r="BK34" s="316"/>
      <c r="BL34" s="316"/>
      <c r="BM34" s="316"/>
      <c r="BN34" s="316"/>
      <c r="BO34" s="316"/>
      <c r="BP34" s="316"/>
      <c r="BQ34" s="316"/>
      <c r="BR34" s="316"/>
      <c r="BS34" s="316"/>
      <c r="BT34" s="316"/>
      <c r="BU34" s="316"/>
      <c r="BV34" s="316"/>
      <c r="BW34" s="316"/>
      <c r="BX34" s="316"/>
      <c r="BY34" s="316"/>
      <c r="BZ34" s="316"/>
      <c r="CA34" s="316"/>
      <c r="CB34" s="316"/>
      <c r="CC34" s="316"/>
      <c r="CD34" s="316"/>
    </row>
    <row r="35" ht="15.75" customHeight="1">
      <c r="A35" s="308"/>
      <c r="B35" s="376">
        <v>45428.0</v>
      </c>
      <c r="C35" s="335">
        <v>77.827</v>
      </c>
      <c r="D35" s="335">
        <v>77.827</v>
      </c>
      <c r="E35" s="335">
        <v>77.827</v>
      </c>
      <c r="F35" s="335">
        <v>77.827</v>
      </c>
      <c r="G35" s="335" t="s">
        <v>238</v>
      </c>
      <c r="H35" s="336">
        <f t="shared" si="1"/>
        <v>0.001658897664</v>
      </c>
      <c r="I35" s="336"/>
      <c r="J35" s="336"/>
      <c r="K35" s="348"/>
      <c r="L35" s="312"/>
      <c r="M35" s="312"/>
      <c r="N35" s="371">
        <v>45428.0</v>
      </c>
      <c r="O35" s="341">
        <v>29.98</v>
      </c>
      <c r="P35" s="341">
        <v>29.98</v>
      </c>
      <c r="Q35" s="341">
        <v>29.98</v>
      </c>
      <c r="R35" s="341">
        <v>29.98</v>
      </c>
      <c r="S35" s="335" t="s">
        <v>238</v>
      </c>
      <c r="T35" s="336">
        <f t="shared" si="2"/>
        <v>0.004680717339</v>
      </c>
      <c r="U35" s="336"/>
      <c r="V35" s="336"/>
      <c r="W35" s="348"/>
      <c r="X35" s="312"/>
      <c r="Y35" s="312"/>
      <c r="Z35" s="377">
        <v>45428.0</v>
      </c>
      <c r="AA35" s="341">
        <v>1814.742</v>
      </c>
      <c r="AB35" s="341">
        <v>1814.742</v>
      </c>
      <c r="AC35" s="341">
        <v>1814.742</v>
      </c>
      <c r="AD35" s="341">
        <v>1814.742</v>
      </c>
      <c r="AE35" s="335" t="s">
        <v>238</v>
      </c>
      <c r="AF35" s="336">
        <f t="shared" si="3"/>
        <v>0.01306143055</v>
      </c>
      <c r="AG35" s="336"/>
      <c r="AH35" s="336"/>
      <c r="AI35" s="348"/>
      <c r="AJ35" s="312"/>
      <c r="AK35" s="312"/>
      <c r="AL35" s="375">
        <v>45428.0</v>
      </c>
      <c r="AM35" s="343">
        <v>20.455</v>
      </c>
      <c r="AN35" s="343">
        <v>20.455</v>
      </c>
      <c r="AO35" s="343">
        <v>20.455</v>
      </c>
      <c r="AP35" s="343">
        <v>20.455</v>
      </c>
      <c r="AQ35" s="335" t="s">
        <v>238</v>
      </c>
      <c r="AR35" s="336">
        <f t="shared" si="4"/>
        <v>0.0005379104753</v>
      </c>
      <c r="AS35" s="336"/>
      <c r="AT35" s="336"/>
      <c r="AU35" s="348"/>
      <c r="AV35" s="312"/>
      <c r="AW35" s="312"/>
      <c r="AX35" s="312"/>
      <c r="AY35" s="312"/>
      <c r="AZ35" s="312"/>
      <c r="BA35" s="312"/>
      <c r="BB35" s="312"/>
      <c r="BC35" s="312"/>
      <c r="BD35" s="316"/>
      <c r="BE35" s="316"/>
      <c r="BF35" s="316"/>
      <c r="BG35" s="316"/>
      <c r="BH35" s="316"/>
      <c r="BI35" s="316"/>
      <c r="BJ35" s="316"/>
      <c r="BK35" s="316"/>
      <c r="BL35" s="316"/>
      <c r="BM35" s="316"/>
      <c r="BN35" s="316"/>
      <c r="BO35" s="316"/>
      <c r="BP35" s="316"/>
      <c r="BQ35" s="316"/>
      <c r="BR35" s="316"/>
      <c r="BS35" s="316"/>
      <c r="BT35" s="316"/>
      <c r="BU35" s="316"/>
      <c r="BV35" s="316"/>
      <c r="BW35" s="316"/>
      <c r="BX35" s="316"/>
      <c r="BY35" s="316"/>
      <c r="BZ35" s="316"/>
      <c r="CA35" s="316"/>
      <c r="CB35" s="316"/>
      <c r="CC35" s="316"/>
      <c r="CD35" s="316"/>
    </row>
    <row r="36" ht="15.75" customHeight="1">
      <c r="A36" s="308"/>
      <c r="B36" s="376">
        <v>45429.0</v>
      </c>
      <c r="C36" s="335">
        <v>78.117</v>
      </c>
      <c r="D36" s="335">
        <v>78.117</v>
      </c>
      <c r="E36" s="335">
        <v>78.117</v>
      </c>
      <c r="F36" s="335">
        <v>78.117</v>
      </c>
      <c r="G36" s="335" t="s">
        <v>238</v>
      </c>
      <c r="H36" s="336">
        <f t="shared" si="1"/>
        <v>0.003719288133</v>
      </c>
      <c r="I36" s="336"/>
      <c r="J36" s="336"/>
      <c r="K36" s="348"/>
      <c r="L36" s="312"/>
      <c r="M36" s="312"/>
      <c r="N36" s="377">
        <v>45429.0</v>
      </c>
      <c r="O36" s="341">
        <v>29.961</v>
      </c>
      <c r="P36" s="341">
        <v>29.961</v>
      </c>
      <c r="Q36" s="341">
        <v>29.961</v>
      </c>
      <c r="R36" s="341">
        <v>29.961</v>
      </c>
      <c r="S36" s="335" t="s">
        <v>238</v>
      </c>
      <c r="T36" s="336">
        <f t="shared" si="2"/>
        <v>-0.0006339567453</v>
      </c>
      <c r="U36" s="336"/>
      <c r="V36" s="336"/>
      <c r="W36" s="348"/>
      <c r="X36" s="312"/>
      <c r="Y36" s="312"/>
      <c r="Z36" s="377">
        <v>45429.0</v>
      </c>
      <c r="AA36" s="341">
        <v>1818.559</v>
      </c>
      <c r="AB36" s="341">
        <v>1818.559</v>
      </c>
      <c r="AC36" s="341">
        <v>1818.559</v>
      </c>
      <c r="AD36" s="341">
        <v>1818.559</v>
      </c>
      <c r="AE36" s="335" t="s">
        <v>238</v>
      </c>
      <c r="AF36" s="336">
        <f t="shared" si="3"/>
        <v>0.002101120388</v>
      </c>
      <c r="AG36" s="336"/>
      <c r="AH36" s="336"/>
      <c r="AI36" s="348"/>
      <c r="AJ36" s="312"/>
      <c r="AK36" s="312"/>
      <c r="AL36" s="375">
        <v>45429.0</v>
      </c>
      <c r="AM36" s="343">
        <v>20.448</v>
      </c>
      <c r="AN36" s="343">
        <v>20.448</v>
      </c>
      <c r="AO36" s="343">
        <v>20.448</v>
      </c>
      <c r="AP36" s="343">
        <v>20.448</v>
      </c>
      <c r="AQ36" s="335" t="s">
        <v>238</v>
      </c>
      <c r="AR36" s="336">
        <f t="shared" si="4"/>
        <v>-0.0003422731862</v>
      </c>
      <c r="AS36" s="336"/>
      <c r="AT36" s="336"/>
      <c r="AU36" s="348"/>
      <c r="AV36" s="312"/>
      <c r="AW36" s="312"/>
      <c r="AX36" s="312"/>
      <c r="AY36" s="312"/>
      <c r="AZ36" s="312"/>
      <c r="BA36" s="312"/>
      <c r="BB36" s="312"/>
      <c r="BC36" s="312"/>
      <c r="BD36" s="316"/>
      <c r="BE36" s="316"/>
      <c r="BF36" s="316"/>
      <c r="BG36" s="316"/>
      <c r="BH36" s="316"/>
      <c r="BI36" s="316"/>
      <c r="BJ36" s="316"/>
      <c r="BK36" s="316"/>
      <c r="BL36" s="316"/>
      <c r="BM36" s="316"/>
      <c r="BN36" s="316"/>
      <c r="BO36" s="316"/>
      <c r="BP36" s="316"/>
      <c r="BQ36" s="316"/>
      <c r="BR36" s="316"/>
      <c r="BS36" s="316"/>
      <c r="BT36" s="316"/>
      <c r="BU36" s="316"/>
      <c r="BV36" s="316"/>
      <c r="BW36" s="316"/>
      <c r="BX36" s="316"/>
      <c r="BY36" s="316"/>
      <c r="BZ36" s="316"/>
      <c r="CA36" s="316"/>
      <c r="CB36" s="316"/>
      <c r="CC36" s="316"/>
      <c r="CD36" s="316"/>
    </row>
    <row r="37" ht="15.75" customHeight="1">
      <c r="A37" s="308"/>
      <c r="B37" s="376">
        <v>45433.0</v>
      </c>
      <c r="C37" s="335">
        <v>78.589</v>
      </c>
      <c r="D37" s="335">
        <v>78.589</v>
      </c>
      <c r="E37" s="335">
        <v>78.589</v>
      </c>
      <c r="F37" s="335">
        <v>78.589</v>
      </c>
      <c r="G37" s="335" t="s">
        <v>238</v>
      </c>
      <c r="H37" s="336">
        <f t="shared" si="1"/>
        <v>0.006024037719</v>
      </c>
      <c r="I37" s="336"/>
      <c r="J37" s="336"/>
      <c r="K37" s="348"/>
      <c r="L37" s="312"/>
      <c r="M37" s="312"/>
      <c r="N37" s="377">
        <v>45433.0</v>
      </c>
      <c r="O37" s="341">
        <v>30.285</v>
      </c>
      <c r="P37" s="341">
        <v>30.285</v>
      </c>
      <c r="Q37" s="341">
        <v>30.285</v>
      </c>
      <c r="R37" s="341">
        <v>30.285</v>
      </c>
      <c r="S37" s="335" t="s">
        <v>238</v>
      </c>
      <c r="T37" s="336">
        <f t="shared" si="2"/>
        <v>0.0107560045</v>
      </c>
      <c r="U37" s="336"/>
      <c r="V37" s="336"/>
      <c r="W37" s="348"/>
      <c r="X37" s="312"/>
      <c r="Y37" s="312"/>
      <c r="Z37" s="377">
        <v>45433.0</v>
      </c>
      <c r="AA37" s="341">
        <v>1829.592</v>
      </c>
      <c r="AB37" s="341">
        <v>1829.592</v>
      </c>
      <c r="AC37" s="341">
        <v>1829.592</v>
      </c>
      <c r="AD37" s="341">
        <v>1829.592</v>
      </c>
      <c r="AE37" s="335" t="s">
        <v>238</v>
      </c>
      <c r="AF37" s="336">
        <f t="shared" si="3"/>
        <v>0.006048561936</v>
      </c>
      <c r="AG37" s="336"/>
      <c r="AH37" s="336"/>
      <c r="AI37" s="348"/>
      <c r="AJ37" s="312"/>
      <c r="AK37" s="312"/>
      <c r="AL37" s="375">
        <v>45433.0</v>
      </c>
      <c r="AM37" s="343">
        <v>20.478</v>
      </c>
      <c r="AN37" s="343">
        <v>20.478</v>
      </c>
      <c r="AO37" s="343">
        <v>20.478</v>
      </c>
      <c r="AP37" s="343">
        <v>20.478</v>
      </c>
      <c r="AQ37" s="335" t="s">
        <v>238</v>
      </c>
      <c r="AR37" s="336">
        <f t="shared" si="4"/>
        <v>0.001466060958</v>
      </c>
      <c r="AS37" s="336"/>
      <c r="AT37" s="336"/>
      <c r="AU37" s="348"/>
      <c r="AV37" s="312"/>
      <c r="AW37" s="312"/>
      <c r="AX37" s="312"/>
      <c r="AY37" s="312"/>
      <c r="AZ37" s="312"/>
      <c r="BA37" s="312"/>
      <c r="BB37" s="312"/>
      <c r="BC37" s="312"/>
      <c r="BD37" s="316"/>
      <c r="BE37" s="316"/>
      <c r="BF37" s="316"/>
      <c r="BG37" s="316"/>
      <c r="BH37" s="316"/>
      <c r="BI37" s="316"/>
      <c r="BJ37" s="316"/>
      <c r="BK37" s="316"/>
      <c r="BL37" s="316"/>
      <c r="BM37" s="316"/>
      <c r="BN37" s="316"/>
      <c r="BO37" s="316"/>
      <c r="BP37" s="316"/>
      <c r="BQ37" s="316"/>
      <c r="BR37" s="316"/>
      <c r="BS37" s="316"/>
      <c r="BT37" s="316"/>
      <c r="BU37" s="316"/>
      <c r="BV37" s="316"/>
      <c r="BW37" s="316"/>
      <c r="BX37" s="316"/>
      <c r="BY37" s="316"/>
      <c r="BZ37" s="316"/>
      <c r="CA37" s="316"/>
      <c r="CB37" s="316"/>
      <c r="CC37" s="316"/>
      <c r="CD37" s="316"/>
    </row>
    <row r="38" ht="15.75" customHeight="1">
      <c r="A38" s="308"/>
      <c r="B38" s="376">
        <v>45434.0</v>
      </c>
      <c r="C38" s="335">
        <v>78.608</v>
      </c>
      <c r="D38" s="335">
        <v>78.608</v>
      </c>
      <c r="E38" s="335">
        <v>78.608</v>
      </c>
      <c r="F38" s="335">
        <v>78.608</v>
      </c>
      <c r="G38" s="335" t="s">
        <v>238</v>
      </c>
      <c r="H38" s="336">
        <f t="shared" si="1"/>
        <v>0.0002417348943</v>
      </c>
      <c r="I38" s="336"/>
      <c r="J38" s="336"/>
      <c r="K38" s="348"/>
      <c r="L38" s="312"/>
      <c r="M38" s="312"/>
      <c r="N38" s="377">
        <v>45434.0</v>
      </c>
      <c r="O38" s="341">
        <v>30.309</v>
      </c>
      <c r="P38" s="341">
        <v>30.309</v>
      </c>
      <c r="Q38" s="341">
        <v>30.309</v>
      </c>
      <c r="R38" s="341">
        <v>30.309</v>
      </c>
      <c r="S38" s="335" t="s">
        <v>238</v>
      </c>
      <c r="T38" s="336">
        <f t="shared" si="2"/>
        <v>0.0007921576808</v>
      </c>
      <c r="U38" s="336"/>
      <c r="V38" s="336"/>
      <c r="W38" s="348"/>
      <c r="X38" s="312"/>
      <c r="Y38" s="312"/>
      <c r="Z38" s="377">
        <v>45434.0</v>
      </c>
      <c r="AA38" s="341">
        <v>1832.895</v>
      </c>
      <c r="AB38" s="341">
        <v>1832.895</v>
      </c>
      <c r="AC38" s="341">
        <v>1832.895</v>
      </c>
      <c r="AD38" s="341">
        <v>1832.895</v>
      </c>
      <c r="AE38" s="335" t="s">
        <v>238</v>
      </c>
      <c r="AF38" s="336">
        <f t="shared" si="3"/>
        <v>0.001803692898</v>
      </c>
      <c r="AG38" s="336"/>
      <c r="AH38" s="336"/>
      <c r="AI38" s="348"/>
      <c r="AJ38" s="312"/>
      <c r="AK38" s="312"/>
      <c r="AL38" s="375">
        <v>45434.0</v>
      </c>
      <c r="AM38" s="343">
        <v>20.485</v>
      </c>
      <c r="AN38" s="343">
        <v>20.485</v>
      </c>
      <c r="AO38" s="343">
        <v>20.485</v>
      </c>
      <c r="AP38" s="343">
        <v>20.485</v>
      </c>
      <c r="AQ38" s="335" t="s">
        <v>238</v>
      </c>
      <c r="AR38" s="336">
        <f t="shared" si="4"/>
        <v>0.0003417718462</v>
      </c>
      <c r="AS38" s="336"/>
      <c r="AT38" s="336"/>
      <c r="AU38" s="348"/>
      <c r="AV38" s="312"/>
      <c r="AW38" s="312"/>
      <c r="AX38" s="312"/>
      <c r="AY38" s="312"/>
      <c r="AZ38" s="312"/>
      <c r="BA38" s="312"/>
      <c r="BB38" s="312"/>
      <c r="BC38" s="312"/>
      <c r="BD38" s="316"/>
      <c r="BE38" s="316"/>
      <c r="BF38" s="316"/>
      <c r="BG38" s="316"/>
      <c r="BH38" s="316"/>
      <c r="BI38" s="316"/>
      <c r="BJ38" s="316"/>
      <c r="BK38" s="316"/>
      <c r="BL38" s="316"/>
      <c r="BM38" s="316"/>
      <c r="BN38" s="316"/>
      <c r="BO38" s="316"/>
      <c r="BP38" s="316"/>
      <c r="BQ38" s="316"/>
      <c r="BR38" s="316"/>
      <c r="BS38" s="316"/>
      <c r="BT38" s="316"/>
      <c r="BU38" s="316"/>
      <c r="BV38" s="316"/>
      <c r="BW38" s="316"/>
      <c r="BX38" s="316"/>
      <c r="BY38" s="316"/>
      <c r="BZ38" s="316"/>
      <c r="CA38" s="316"/>
      <c r="CB38" s="316"/>
      <c r="CC38" s="316"/>
      <c r="CD38" s="316"/>
    </row>
    <row r="39" ht="15.75" customHeight="1">
      <c r="A39" s="308"/>
      <c r="B39" s="376">
        <v>45436.0</v>
      </c>
      <c r="C39" s="335">
        <v>78.975</v>
      </c>
      <c r="D39" s="335">
        <v>78.975</v>
      </c>
      <c r="E39" s="335">
        <v>78.975</v>
      </c>
      <c r="F39" s="335">
        <v>78.975</v>
      </c>
      <c r="G39" s="335" t="s">
        <v>238</v>
      </c>
      <c r="H39" s="336">
        <f t="shared" si="1"/>
        <v>0.004657871262</v>
      </c>
      <c r="I39" s="336"/>
      <c r="J39" s="336"/>
      <c r="K39" s="348"/>
      <c r="L39" s="312"/>
      <c r="M39" s="312"/>
      <c r="N39" s="377">
        <v>45436.0</v>
      </c>
      <c r="O39" s="341">
        <v>29.443</v>
      </c>
      <c r="P39" s="341">
        <v>29.443</v>
      </c>
      <c r="Q39" s="341">
        <v>29.443</v>
      </c>
      <c r="R39" s="341">
        <v>29.443</v>
      </c>
      <c r="S39" s="335" t="s">
        <v>238</v>
      </c>
      <c r="T39" s="336">
        <f t="shared" si="2"/>
        <v>-0.02898850727</v>
      </c>
      <c r="U39" s="336"/>
      <c r="V39" s="336"/>
      <c r="W39" s="348"/>
      <c r="X39" s="312"/>
      <c r="Y39" s="312"/>
      <c r="Z39" s="377">
        <v>45436.0</v>
      </c>
      <c r="AA39" s="341">
        <v>1861.229</v>
      </c>
      <c r="AB39" s="341">
        <v>1861.229</v>
      </c>
      <c r="AC39" s="341">
        <v>1861.229</v>
      </c>
      <c r="AD39" s="341">
        <v>1861.229</v>
      </c>
      <c r="AE39" s="335" t="s">
        <v>238</v>
      </c>
      <c r="AF39" s="336">
        <f t="shared" si="3"/>
        <v>0.01534033814</v>
      </c>
      <c r="AG39" s="336"/>
      <c r="AH39" s="336"/>
      <c r="AI39" s="348"/>
      <c r="AJ39" s="312"/>
      <c r="AK39" s="312"/>
      <c r="AL39" s="375">
        <v>45436.0</v>
      </c>
      <c r="AM39" s="343">
        <v>20.496</v>
      </c>
      <c r="AN39" s="343">
        <v>20.496</v>
      </c>
      <c r="AO39" s="343">
        <v>20.496</v>
      </c>
      <c r="AP39" s="343">
        <v>20.496</v>
      </c>
      <c r="AQ39" s="335" t="s">
        <v>238</v>
      </c>
      <c r="AR39" s="336">
        <f t="shared" si="4"/>
        <v>0.0005368341555</v>
      </c>
      <c r="AS39" s="336"/>
      <c r="AT39" s="336"/>
      <c r="AU39" s="348"/>
      <c r="AV39" s="312"/>
      <c r="AW39" s="312"/>
      <c r="AX39" s="312"/>
      <c r="AY39" s="312"/>
      <c r="AZ39" s="312"/>
      <c r="BA39" s="312"/>
      <c r="BB39" s="312"/>
      <c r="BC39" s="312"/>
      <c r="BD39" s="316"/>
      <c r="BE39" s="316"/>
      <c r="BF39" s="316"/>
      <c r="BG39" s="316"/>
      <c r="BH39" s="316"/>
      <c r="BI39" s="316"/>
      <c r="BJ39" s="316"/>
      <c r="BK39" s="316"/>
      <c r="BL39" s="316"/>
      <c r="BM39" s="316"/>
      <c r="BN39" s="316"/>
      <c r="BO39" s="316"/>
      <c r="BP39" s="316"/>
      <c r="BQ39" s="316"/>
      <c r="BR39" s="316"/>
      <c r="BS39" s="316"/>
      <c r="BT39" s="316"/>
      <c r="BU39" s="316"/>
      <c r="BV39" s="316"/>
      <c r="BW39" s="316"/>
      <c r="BX39" s="316"/>
      <c r="BY39" s="316"/>
      <c r="BZ39" s="316"/>
      <c r="CA39" s="316"/>
      <c r="CB39" s="316"/>
      <c r="CC39" s="316"/>
      <c r="CD39" s="316"/>
    </row>
    <row r="40" ht="15.75" customHeight="1">
      <c r="A40" s="308"/>
      <c r="B40" s="376">
        <v>45439.0</v>
      </c>
      <c r="C40" s="335">
        <v>78.933</v>
      </c>
      <c r="D40" s="335">
        <v>78.933</v>
      </c>
      <c r="E40" s="335">
        <v>78.933</v>
      </c>
      <c r="F40" s="335">
        <v>78.933</v>
      </c>
      <c r="G40" s="335" t="s">
        <v>238</v>
      </c>
      <c r="H40" s="336">
        <f t="shared" si="1"/>
        <v>-0.0005319553283</v>
      </c>
      <c r="I40" s="336"/>
      <c r="J40" s="336"/>
      <c r="K40" s="348"/>
      <c r="L40" s="312"/>
      <c r="M40" s="312"/>
      <c r="N40" s="377">
        <v>45439.0</v>
      </c>
      <c r="O40" s="341">
        <v>29.496</v>
      </c>
      <c r="P40" s="341">
        <v>29.496</v>
      </c>
      <c r="Q40" s="341">
        <v>29.496</v>
      </c>
      <c r="R40" s="341">
        <v>29.496</v>
      </c>
      <c r="S40" s="335" t="s">
        <v>238</v>
      </c>
      <c r="T40" s="336">
        <f t="shared" si="2"/>
        <v>0.001798470089</v>
      </c>
      <c r="U40" s="336"/>
      <c r="V40" s="336"/>
      <c r="W40" s="348"/>
      <c r="X40" s="312"/>
      <c r="Y40" s="312"/>
      <c r="Z40" s="377">
        <v>45439.0</v>
      </c>
      <c r="AA40" s="341">
        <v>1861.924</v>
      </c>
      <c r="AB40" s="341">
        <v>1861.924</v>
      </c>
      <c r="AC40" s="341">
        <v>1861.924</v>
      </c>
      <c r="AD40" s="341">
        <v>1861.924</v>
      </c>
      <c r="AE40" s="335" t="s">
        <v>238</v>
      </c>
      <c r="AF40" s="336">
        <f t="shared" si="3"/>
        <v>0.000373339483</v>
      </c>
      <c r="AG40" s="336"/>
      <c r="AH40" s="336"/>
      <c r="AI40" s="348"/>
      <c r="AJ40" s="312"/>
      <c r="AK40" s="312"/>
      <c r="AL40" s="375">
        <v>45439.0</v>
      </c>
      <c r="AM40" s="343">
        <v>20.509</v>
      </c>
      <c r="AN40" s="343">
        <v>20.509</v>
      </c>
      <c r="AO40" s="343">
        <v>20.509</v>
      </c>
      <c r="AP40" s="343">
        <v>20.509</v>
      </c>
      <c r="AQ40" s="335" t="s">
        <v>238</v>
      </c>
      <c r="AR40" s="336">
        <f t="shared" si="4"/>
        <v>0.0006340690372</v>
      </c>
      <c r="AS40" s="336"/>
      <c r="AT40" s="336"/>
      <c r="AU40" s="348"/>
      <c r="AV40" s="312"/>
      <c r="AW40" s="312"/>
      <c r="AX40" s="312"/>
      <c r="AY40" s="312"/>
      <c r="AZ40" s="312"/>
      <c r="BA40" s="312"/>
      <c r="BB40" s="312"/>
      <c r="BC40" s="312"/>
      <c r="BD40" s="316"/>
      <c r="BE40" s="316"/>
      <c r="BF40" s="316"/>
      <c r="BG40" s="316"/>
      <c r="BH40" s="316"/>
      <c r="BI40" s="316"/>
      <c r="BJ40" s="316"/>
      <c r="BK40" s="316"/>
      <c r="BL40" s="316"/>
      <c r="BM40" s="316"/>
      <c r="BN40" s="316"/>
      <c r="BO40" s="316"/>
      <c r="BP40" s="316"/>
      <c r="BQ40" s="316"/>
      <c r="BR40" s="316"/>
      <c r="BS40" s="316"/>
      <c r="BT40" s="316"/>
      <c r="BU40" s="316"/>
      <c r="BV40" s="316"/>
      <c r="BW40" s="316"/>
      <c r="BX40" s="316"/>
      <c r="BY40" s="316"/>
      <c r="BZ40" s="316"/>
      <c r="CA40" s="316"/>
      <c r="CB40" s="316"/>
      <c r="CC40" s="316"/>
      <c r="CD40" s="316"/>
    </row>
    <row r="41" ht="15.75" customHeight="1">
      <c r="A41" s="308"/>
      <c r="B41" s="376">
        <v>45440.0</v>
      </c>
      <c r="C41" s="335">
        <v>78.657</v>
      </c>
      <c r="D41" s="335">
        <v>78.657</v>
      </c>
      <c r="E41" s="335">
        <v>78.657</v>
      </c>
      <c r="F41" s="335">
        <v>78.657</v>
      </c>
      <c r="G41" s="335" t="s">
        <v>238</v>
      </c>
      <c r="H41" s="336">
        <f t="shared" si="1"/>
        <v>-0.003502763909</v>
      </c>
      <c r="I41" s="336"/>
      <c r="J41" s="336"/>
      <c r="K41" s="348"/>
      <c r="L41" s="312"/>
      <c r="M41" s="312"/>
      <c r="N41" s="377">
        <v>45440.0</v>
      </c>
      <c r="O41" s="341">
        <v>29.554</v>
      </c>
      <c r="P41" s="341">
        <v>29.554</v>
      </c>
      <c r="Q41" s="341">
        <v>29.554</v>
      </c>
      <c r="R41" s="341">
        <v>29.554</v>
      </c>
      <c r="S41" s="335" t="s">
        <v>238</v>
      </c>
      <c r="T41" s="336">
        <f t="shared" si="2"/>
        <v>0.00196443755</v>
      </c>
      <c r="U41" s="336"/>
      <c r="V41" s="336"/>
      <c r="W41" s="348"/>
      <c r="X41" s="312"/>
      <c r="Y41" s="312"/>
      <c r="Z41" s="377">
        <v>45440.0</v>
      </c>
      <c r="AA41" s="341">
        <v>1856.931</v>
      </c>
      <c r="AB41" s="341">
        <v>1856.931</v>
      </c>
      <c r="AC41" s="341">
        <v>1856.931</v>
      </c>
      <c r="AD41" s="341">
        <v>1856.931</v>
      </c>
      <c r="AE41" s="335" t="s">
        <v>238</v>
      </c>
      <c r="AF41" s="336">
        <f t="shared" si="3"/>
        <v>-0.002685236719</v>
      </c>
      <c r="AG41" s="336"/>
      <c r="AH41" s="336"/>
      <c r="AI41" s="348"/>
      <c r="AJ41" s="312"/>
      <c r="AK41" s="312"/>
      <c r="AL41" s="375">
        <v>45440.0</v>
      </c>
      <c r="AM41" s="343">
        <v>20.505</v>
      </c>
      <c r="AN41" s="343">
        <v>20.505</v>
      </c>
      <c r="AO41" s="343">
        <v>20.505</v>
      </c>
      <c r="AP41" s="343">
        <v>20.505</v>
      </c>
      <c r="AQ41" s="335" t="s">
        <v>238</v>
      </c>
      <c r="AR41" s="336">
        <f t="shared" si="4"/>
        <v>-0.0001950553476</v>
      </c>
      <c r="AS41" s="336"/>
      <c r="AT41" s="336"/>
      <c r="AU41" s="348"/>
      <c r="AV41" s="312"/>
      <c r="AW41" s="312"/>
      <c r="AX41" s="312"/>
      <c r="AY41" s="312"/>
      <c r="AZ41" s="312"/>
      <c r="BA41" s="312"/>
      <c r="BB41" s="312"/>
      <c r="BC41" s="312"/>
      <c r="BD41" s="316"/>
      <c r="BE41" s="316"/>
      <c r="BF41" s="316"/>
      <c r="BG41" s="316"/>
      <c r="BH41" s="316"/>
      <c r="BI41" s="316"/>
      <c r="BJ41" s="316"/>
      <c r="BK41" s="316"/>
      <c r="BL41" s="316"/>
      <c r="BM41" s="316"/>
      <c r="BN41" s="316"/>
      <c r="BO41" s="316"/>
      <c r="BP41" s="316"/>
      <c r="BQ41" s="316"/>
      <c r="BR41" s="316"/>
      <c r="BS41" s="316"/>
      <c r="BT41" s="316"/>
      <c r="BU41" s="316"/>
      <c r="BV41" s="316"/>
      <c r="BW41" s="316"/>
      <c r="BX41" s="316"/>
      <c r="BY41" s="316"/>
      <c r="BZ41" s="316"/>
      <c r="CA41" s="316"/>
      <c r="CB41" s="316"/>
      <c r="CC41" s="316"/>
      <c r="CD41" s="316"/>
    </row>
    <row r="42" ht="15.75" customHeight="1">
      <c r="A42" s="308"/>
      <c r="B42" s="376">
        <v>45441.0</v>
      </c>
      <c r="C42" s="335">
        <v>78.382</v>
      </c>
      <c r="D42" s="335">
        <v>78.382</v>
      </c>
      <c r="E42" s="335">
        <v>78.382</v>
      </c>
      <c r="F42" s="335">
        <v>78.382</v>
      </c>
      <c r="G42" s="335" t="s">
        <v>238</v>
      </c>
      <c r="H42" s="336">
        <f t="shared" si="1"/>
        <v>-0.003502318292</v>
      </c>
      <c r="I42" s="336"/>
      <c r="J42" s="336"/>
      <c r="K42" s="348"/>
      <c r="L42" s="312"/>
      <c r="M42" s="312"/>
      <c r="N42" s="377">
        <v>45441.0</v>
      </c>
      <c r="O42" s="341">
        <v>29.593</v>
      </c>
      <c r="P42" s="341">
        <v>29.593</v>
      </c>
      <c r="Q42" s="341">
        <v>29.593</v>
      </c>
      <c r="R42" s="341">
        <v>29.593</v>
      </c>
      <c r="S42" s="335" t="s">
        <v>238</v>
      </c>
      <c r="T42" s="336">
        <f t="shared" si="2"/>
        <v>0.001318748395</v>
      </c>
      <c r="U42" s="336"/>
      <c r="V42" s="336"/>
      <c r="W42" s="348"/>
      <c r="X42" s="312"/>
      <c r="Y42" s="312"/>
      <c r="Z42" s="377">
        <v>45441.0</v>
      </c>
      <c r="AA42" s="341">
        <v>1843.622</v>
      </c>
      <c r="AB42" s="341">
        <v>1843.622</v>
      </c>
      <c r="AC42" s="341">
        <v>1843.622</v>
      </c>
      <c r="AD42" s="341">
        <v>1843.622</v>
      </c>
      <c r="AE42" s="335" t="s">
        <v>238</v>
      </c>
      <c r="AF42" s="336">
        <f t="shared" si="3"/>
        <v>-0.007193010009</v>
      </c>
      <c r="AG42" s="336"/>
      <c r="AH42" s="336"/>
      <c r="AI42" s="348"/>
      <c r="AJ42" s="312"/>
      <c r="AK42" s="312"/>
      <c r="AL42" s="375">
        <v>45441.0</v>
      </c>
      <c r="AM42" s="343">
        <v>20.512</v>
      </c>
      <c r="AN42" s="343">
        <v>20.512</v>
      </c>
      <c r="AO42" s="343">
        <v>20.512</v>
      </c>
      <c r="AP42" s="343">
        <v>20.512</v>
      </c>
      <c r="AQ42" s="335" t="s">
        <v>238</v>
      </c>
      <c r="AR42" s="336">
        <f t="shared" si="4"/>
        <v>0.0003413218942</v>
      </c>
      <c r="AS42" s="336"/>
      <c r="AT42" s="336"/>
      <c r="AU42" s="348"/>
      <c r="AV42" s="312"/>
      <c r="AW42" s="312"/>
      <c r="AX42" s="312"/>
      <c r="AY42" s="312"/>
      <c r="AZ42" s="312"/>
      <c r="BA42" s="312"/>
      <c r="BB42" s="312"/>
      <c r="BC42" s="312"/>
      <c r="BD42" s="316"/>
      <c r="BE42" s="316"/>
      <c r="BF42" s="316"/>
      <c r="BG42" s="316"/>
      <c r="BH42" s="316"/>
      <c r="BI42" s="316"/>
      <c r="BJ42" s="316"/>
      <c r="BK42" s="316"/>
      <c r="BL42" s="316"/>
      <c r="BM42" s="316"/>
      <c r="BN42" s="316"/>
      <c r="BO42" s="316"/>
      <c r="BP42" s="316"/>
      <c r="BQ42" s="316"/>
      <c r="BR42" s="316"/>
      <c r="BS42" s="316"/>
      <c r="BT42" s="316"/>
      <c r="BU42" s="316"/>
      <c r="BV42" s="316"/>
      <c r="BW42" s="316"/>
      <c r="BX42" s="316"/>
      <c r="BY42" s="316"/>
      <c r="BZ42" s="316"/>
      <c r="CA42" s="316"/>
      <c r="CB42" s="316"/>
      <c r="CC42" s="316"/>
      <c r="CD42" s="316"/>
    </row>
    <row r="43" ht="15.75" customHeight="1">
      <c r="A43" s="308"/>
      <c r="B43" s="376">
        <v>45442.0</v>
      </c>
      <c r="C43" s="335">
        <v>77.726</v>
      </c>
      <c r="D43" s="335">
        <v>77.726</v>
      </c>
      <c r="E43" s="335">
        <v>77.726</v>
      </c>
      <c r="F43" s="335">
        <v>77.726</v>
      </c>
      <c r="G43" s="335" t="s">
        <v>238</v>
      </c>
      <c r="H43" s="336">
        <f t="shared" si="1"/>
        <v>-0.008404487424</v>
      </c>
      <c r="I43" s="336"/>
      <c r="J43" s="336"/>
      <c r="K43" s="348"/>
      <c r="L43" s="312"/>
      <c r="M43" s="312"/>
      <c r="N43" s="377">
        <v>45442.0</v>
      </c>
      <c r="O43" s="341">
        <v>29.37</v>
      </c>
      <c r="P43" s="341">
        <v>29.37</v>
      </c>
      <c r="Q43" s="341">
        <v>29.37</v>
      </c>
      <c r="R43" s="341">
        <v>29.37</v>
      </c>
      <c r="S43" s="335" t="s">
        <v>238</v>
      </c>
      <c r="T43" s="336">
        <f t="shared" si="2"/>
        <v>-0.007564101666</v>
      </c>
      <c r="U43" s="336"/>
      <c r="V43" s="336"/>
      <c r="W43" s="348"/>
      <c r="X43" s="312"/>
      <c r="Y43" s="312"/>
      <c r="Z43" s="377">
        <v>45442.0</v>
      </c>
      <c r="AA43" s="341">
        <v>1833.948</v>
      </c>
      <c r="AB43" s="341">
        <v>1833.948</v>
      </c>
      <c r="AC43" s="341">
        <v>1833.948</v>
      </c>
      <c r="AD43" s="341">
        <v>1833.948</v>
      </c>
      <c r="AE43" s="335" t="s">
        <v>238</v>
      </c>
      <c r="AF43" s="336">
        <f t="shared" si="3"/>
        <v>-0.005261094861</v>
      </c>
      <c r="AG43" s="336"/>
      <c r="AH43" s="336"/>
      <c r="AI43" s="348"/>
      <c r="AJ43" s="312"/>
      <c r="AK43" s="312"/>
      <c r="AL43" s="375">
        <v>45442.0</v>
      </c>
      <c r="AM43" s="343">
        <v>20.525</v>
      </c>
      <c r="AN43" s="343">
        <v>20.525</v>
      </c>
      <c r="AO43" s="343">
        <v>20.525</v>
      </c>
      <c r="AP43" s="343">
        <v>20.525</v>
      </c>
      <c r="AQ43" s="335" t="s">
        <v>238</v>
      </c>
      <c r="AR43" s="336">
        <f t="shared" si="4"/>
        <v>0.0006335746002</v>
      </c>
      <c r="AS43" s="336"/>
      <c r="AT43" s="336"/>
      <c r="AU43" s="348"/>
      <c r="AV43" s="312"/>
      <c r="AW43" s="312"/>
      <c r="AX43" s="312"/>
      <c r="AY43" s="312"/>
      <c r="AZ43" s="312"/>
      <c r="BA43" s="312"/>
      <c r="BB43" s="312"/>
      <c r="BC43" s="312"/>
      <c r="BD43" s="316"/>
      <c r="BE43" s="316"/>
      <c r="BF43" s="316"/>
      <c r="BG43" s="316"/>
      <c r="BH43" s="316"/>
      <c r="BI43" s="316"/>
      <c r="BJ43" s="316"/>
      <c r="BK43" s="316"/>
      <c r="BL43" s="316"/>
      <c r="BM43" s="316"/>
      <c r="BN43" s="316"/>
      <c r="BO43" s="316"/>
      <c r="BP43" s="316"/>
      <c r="BQ43" s="316"/>
      <c r="BR43" s="316"/>
      <c r="BS43" s="316"/>
      <c r="BT43" s="316"/>
      <c r="BU43" s="316"/>
      <c r="BV43" s="316"/>
      <c r="BW43" s="316"/>
      <c r="BX43" s="316"/>
      <c r="BY43" s="316"/>
      <c r="BZ43" s="316"/>
      <c r="CA43" s="316"/>
      <c r="CB43" s="316"/>
      <c r="CC43" s="316"/>
      <c r="CD43" s="316"/>
    </row>
    <row r="44" ht="15.75" customHeight="1">
      <c r="A44" s="308"/>
      <c r="B44" s="376">
        <v>45443.0</v>
      </c>
      <c r="C44" s="335">
        <v>77.77</v>
      </c>
      <c r="D44" s="335">
        <v>77.77</v>
      </c>
      <c r="E44" s="335">
        <v>77.77</v>
      </c>
      <c r="F44" s="335">
        <v>77.77</v>
      </c>
      <c r="G44" s="335" t="s">
        <v>238</v>
      </c>
      <c r="H44" s="336">
        <f t="shared" si="1"/>
        <v>0.0005659309715</v>
      </c>
      <c r="I44" s="336"/>
      <c r="J44" s="336"/>
      <c r="K44" s="348"/>
      <c r="L44" s="312"/>
      <c r="M44" s="312"/>
      <c r="N44" s="377">
        <v>45443.0</v>
      </c>
      <c r="O44" s="341">
        <v>29.636</v>
      </c>
      <c r="P44" s="341">
        <v>29.636</v>
      </c>
      <c r="Q44" s="341">
        <v>29.636</v>
      </c>
      <c r="R44" s="341">
        <v>29.636</v>
      </c>
      <c r="S44" s="335" t="s">
        <v>238</v>
      </c>
      <c r="T44" s="336">
        <f t="shared" si="2"/>
        <v>0.009016093344</v>
      </c>
      <c r="U44" s="336"/>
      <c r="V44" s="336"/>
      <c r="W44" s="348"/>
      <c r="X44" s="312"/>
      <c r="Y44" s="312"/>
      <c r="Z44" s="377">
        <v>45443.0</v>
      </c>
      <c r="AA44" s="341">
        <v>1837.41</v>
      </c>
      <c r="AB44" s="341">
        <v>1837.41</v>
      </c>
      <c r="AC44" s="341">
        <v>1837.41</v>
      </c>
      <c r="AD44" s="341">
        <v>1837.41</v>
      </c>
      <c r="AE44" s="335" t="s">
        <v>238</v>
      </c>
      <c r="AF44" s="336">
        <f t="shared" si="3"/>
        <v>0.001885951207</v>
      </c>
      <c r="AG44" s="336"/>
      <c r="AH44" s="336"/>
      <c r="AI44" s="348"/>
      <c r="AJ44" s="312"/>
      <c r="AK44" s="312"/>
      <c r="AL44" s="375">
        <v>45443.0</v>
      </c>
      <c r="AM44" s="343">
        <v>20.546</v>
      </c>
      <c r="AN44" s="343">
        <v>20.546</v>
      </c>
      <c r="AO44" s="343">
        <v>20.546</v>
      </c>
      <c r="AP44" s="343">
        <v>20.546</v>
      </c>
      <c r="AQ44" s="335" t="s">
        <v>238</v>
      </c>
      <c r="AR44" s="336">
        <f t="shared" si="4"/>
        <v>0.001022619456</v>
      </c>
      <c r="AS44" s="336"/>
      <c r="AT44" s="336"/>
      <c r="AU44" s="348"/>
      <c r="AV44" s="312"/>
      <c r="AW44" s="312"/>
      <c r="AX44" s="312"/>
      <c r="AY44" s="312"/>
      <c r="AZ44" s="312"/>
      <c r="BA44" s="312"/>
      <c r="BB44" s="312"/>
      <c r="BC44" s="312"/>
      <c r="BD44" s="316"/>
      <c r="BE44" s="316"/>
      <c r="BF44" s="316"/>
      <c r="BG44" s="316"/>
      <c r="BH44" s="316"/>
      <c r="BI44" s="316"/>
      <c r="BJ44" s="316"/>
      <c r="BK44" s="316"/>
      <c r="BL44" s="316"/>
      <c r="BM44" s="316"/>
      <c r="BN44" s="316"/>
      <c r="BO44" s="316"/>
      <c r="BP44" s="316"/>
      <c r="BQ44" s="316"/>
      <c r="BR44" s="316"/>
      <c r="BS44" s="316"/>
      <c r="BT44" s="316"/>
      <c r="BU44" s="316"/>
      <c r="BV44" s="316"/>
      <c r="BW44" s="316"/>
      <c r="BX44" s="316"/>
      <c r="BY44" s="316"/>
      <c r="BZ44" s="316"/>
      <c r="CA44" s="316"/>
      <c r="CB44" s="316"/>
      <c r="CC44" s="316"/>
      <c r="CD44" s="316"/>
    </row>
    <row r="45" ht="15.75" customHeight="1">
      <c r="A45" s="308"/>
      <c r="B45" s="376">
        <v>45446.0</v>
      </c>
      <c r="C45" s="335">
        <v>79.357</v>
      </c>
      <c r="D45" s="335">
        <v>79.357</v>
      </c>
      <c r="E45" s="335">
        <v>79.357</v>
      </c>
      <c r="F45" s="335">
        <v>79.357</v>
      </c>
      <c r="G45" s="335" t="s">
        <v>238</v>
      </c>
      <c r="H45" s="336">
        <f t="shared" si="1"/>
        <v>0.02020090714</v>
      </c>
      <c r="I45" s="336"/>
      <c r="J45" s="336"/>
      <c r="K45" s="348"/>
      <c r="L45" s="312"/>
      <c r="M45" s="312"/>
      <c r="N45" s="377">
        <v>45446.0</v>
      </c>
      <c r="O45" s="341">
        <v>29.297</v>
      </c>
      <c r="P45" s="341">
        <v>29.297</v>
      </c>
      <c r="Q45" s="341">
        <v>29.297</v>
      </c>
      <c r="R45" s="341">
        <v>29.297</v>
      </c>
      <c r="S45" s="335" t="s">
        <v>238</v>
      </c>
      <c r="T45" s="336">
        <f t="shared" si="2"/>
        <v>-0.01150471685</v>
      </c>
      <c r="U45" s="336"/>
      <c r="V45" s="336"/>
      <c r="W45" s="348"/>
      <c r="X45" s="312"/>
      <c r="Y45" s="312"/>
      <c r="Z45" s="377">
        <v>45446.0</v>
      </c>
      <c r="AA45" s="341">
        <v>1882.893</v>
      </c>
      <c r="AB45" s="341">
        <v>1882.893</v>
      </c>
      <c r="AC45" s="341">
        <v>1882.893</v>
      </c>
      <c r="AD45" s="341">
        <v>1882.893</v>
      </c>
      <c r="AE45" s="335" t="s">
        <v>238</v>
      </c>
      <c r="AF45" s="336">
        <f t="shared" si="3"/>
        <v>0.02445245253</v>
      </c>
      <c r="AG45" s="336"/>
      <c r="AH45" s="336"/>
      <c r="AI45" s="348"/>
      <c r="AJ45" s="312"/>
      <c r="AK45" s="312"/>
      <c r="AL45" s="342">
        <v>45446.0</v>
      </c>
      <c r="AM45" s="343">
        <v>20.578</v>
      </c>
      <c r="AN45" s="343">
        <v>20.578</v>
      </c>
      <c r="AO45" s="343">
        <v>20.578</v>
      </c>
      <c r="AP45" s="343">
        <v>20.578</v>
      </c>
      <c r="AQ45" s="335" t="s">
        <v>238</v>
      </c>
      <c r="AR45" s="336">
        <f t="shared" si="4"/>
        <v>0.00155626916</v>
      </c>
      <c r="AS45" s="336"/>
      <c r="AT45" s="336"/>
      <c r="AU45" s="348"/>
      <c r="AV45" s="312"/>
      <c r="AW45" s="312"/>
      <c r="AX45" s="312"/>
      <c r="AY45" s="312"/>
      <c r="AZ45" s="312"/>
      <c r="BA45" s="312"/>
      <c r="BB45" s="312"/>
      <c r="BC45" s="312"/>
      <c r="BD45" s="316"/>
      <c r="BE45" s="316"/>
      <c r="BF45" s="316"/>
      <c r="BG45" s="316"/>
      <c r="BH45" s="316"/>
      <c r="BI45" s="316"/>
      <c r="BJ45" s="316"/>
      <c r="BK45" s="316"/>
      <c r="BL45" s="316"/>
      <c r="BM45" s="316"/>
      <c r="BN45" s="316"/>
      <c r="BO45" s="316"/>
      <c r="BP45" s="316"/>
      <c r="BQ45" s="316"/>
      <c r="BR45" s="316"/>
      <c r="BS45" s="316"/>
      <c r="BT45" s="316"/>
      <c r="BU45" s="316"/>
      <c r="BV45" s="316"/>
      <c r="BW45" s="316"/>
      <c r="BX45" s="316"/>
      <c r="BY45" s="316"/>
      <c r="BZ45" s="316"/>
      <c r="CA45" s="316"/>
      <c r="CB45" s="316"/>
      <c r="CC45" s="316"/>
      <c r="CD45" s="316"/>
    </row>
    <row r="46" ht="15.75" customHeight="1">
      <c r="A46" s="308"/>
      <c r="B46" s="376">
        <v>45447.0</v>
      </c>
      <c r="C46" s="335">
        <v>76.034</v>
      </c>
      <c r="D46" s="335">
        <v>76.034</v>
      </c>
      <c r="E46" s="335">
        <v>76.034</v>
      </c>
      <c r="F46" s="335">
        <v>76.034</v>
      </c>
      <c r="G46" s="335" t="s">
        <v>238</v>
      </c>
      <c r="H46" s="336">
        <f t="shared" si="1"/>
        <v>-0.04277605117</v>
      </c>
      <c r="I46" s="336"/>
      <c r="J46" s="336"/>
      <c r="K46" s="348"/>
      <c r="L46" s="312"/>
      <c r="M46" s="312"/>
      <c r="N46" s="377">
        <v>45447.0</v>
      </c>
      <c r="O46" s="341">
        <v>29.282</v>
      </c>
      <c r="P46" s="341">
        <v>29.282</v>
      </c>
      <c r="Q46" s="341">
        <v>29.282</v>
      </c>
      <c r="R46" s="341">
        <v>29.282</v>
      </c>
      <c r="S46" s="335" t="s">
        <v>238</v>
      </c>
      <c r="T46" s="336">
        <f t="shared" si="2"/>
        <v>-0.0005121289311</v>
      </c>
      <c r="U46" s="336"/>
      <c r="V46" s="336"/>
      <c r="W46" s="348"/>
      <c r="X46" s="312"/>
      <c r="Y46" s="312"/>
      <c r="Z46" s="377">
        <v>45447.0</v>
      </c>
      <c r="AA46" s="341">
        <v>1785.974</v>
      </c>
      <c r="AB46" s="341">
        <v>1785.974</v>
      </c>
      <c r="AC46" s="341">
        <v>1785.974</v>
      </c>
      <c r="AD46" s="341">
        <v>1785.974</v>
      </c>
      <c r="AE46" s="335" t="s">
        <v>238</v>
      </c>
      <c r="AF46" s="336">
        <f t="shared" si="3"/>
        <v>-0.05284549917</v>
      </c>
      <c r="AG46" s="336"/>
      <c r="AH46" s="336"/>
      <c r="AI46" s="348"/>
      <c r="AJ46" s="312"/>
      <c r="AK46" s="312"/>
      <c r="AL46" s="342">
        <v>45447.0</v>
      </c>
      <c r="AM46" s="343">
        <v>20.518</v>
      </c>
      <c r="AN46" s="343">
        <v>20.518</v>
      </c>
      <c r="AO46" s="343">
        <v>20.518</v>
      </c>
      <c r="AP46" s="343">
        <v>20.518</v>
      </c>
      <c r="AQ46" s="335" t="s">
        <v>238</v>
      </c>
      <c r="AR46" s="336">
        <f t="shared" si="4"/>
        <v>-0.002919994288</v>
      </c>
      <c r="AS46" s="336"/>
      <c r="AT46" s="336"/>
      <c r="AU46" s="348"/>
      <c r="AV46" s="312"/>
      <c r="AW46" s="312"/>
      <c r="AX46" s="312"/>
      <c r="AY46" s="312"/>
      <c r="AZ46" s="312"/>
      <c r="BA46" s="312"/>
      <c r="BB46" s="312"/>
      <c r="BC46" s="312"/>
      <c r="BD46" s="316"/>
      <c r="BE46" s="316"/>
      <c r="BF46" s="316"/>
      <c r="BG46" s="316"/>
      <c r="BH46" s="316"/>
      <c r="BI46" s="316"/>
      <c r="BJ46" s="316"/>
      <c r="BK46" s="316"/>
      <c r="BL46" s="316"/>
      <c r="BM46" s="316"/>
      <c r="BN46" s="316"/>
      <c r="BO46" s="316"/>
      <c r="BP46" s="316"/>
      <c r="BQ46" s="316"/>
      <c r="BR46" s="316"/>
      <c r="BS46" s="316"/>
      <c r="BT46" s="316"/>
      <c r="BU46" s="316"/>
      <c r="BV46" s="316"/>
      <c r="BW46" s="316"/>
      <c r="BX46" s="316"/>
      <c r="BY46" s="316"/>
      <c r="BZ46" s="316"/>
      <c r="CA46" s="316"/>
      <c r="CB46" s="316"/>
      <c r="CC46" s="316"/>
      <c r="CD46" s="316"/>
    </row>
    <row r="47" ht="15.75" customHeight="1">
      <c r="A47" s="308"/>
      <c r="B47" s="376">
        <v>45448.0</v>
      </c>
      <c r="C47" s="335">
        <v>78.09</v>
      </c>
      <c r="D47" s="335">
        <v>78.09</v>
      </c>
      <c r="E47" s="335">
        <v>78.09</v>
      </c>
      <c r="F47" s="335">
        <v>78.09</v>
      </c>
      <c r="G47" s="335" t="s">
        <v>238</v>
      </c>
      <c r="H47" s="336">
        <f t="shared" si="1"/>
        <v>0.02668139901</v>
      </c>
      <c r="I47" s="336"/>
      <c r="J47" s="336"/>
      <c r="K47" s="348"/>
      <c r="L47" s="312"/>
      <c r="M47" s="312"/>
      <c r="N47" s="377">
        <v>45448.0</v>
      </c>
      <c r="O47" s="341">
        <v>29.34</v>
      </c>
      <c r="P47" s="341">
        <v>29.34</v>
      </c>
      <c r="Q47" s="341">
        <v>29.34</v>
      </c>
      <c r="R47" s="341">
        <v>29.34</v>
      </c>
      <c r="S47" s="335" t="s">
        <v>238</v>
      </c>
      <c r="T47" s="336">
        <f t="shared" si="2"/>
        <v>0.001978779944</v>
      </c>
      <c r="U47" s="336"/>
      <c r="V47" s="336"/>
      <c r="W47" s="348"/>
      <c r="X47" s="312"/>
      <c r="Y47" s="312"/>
      <c r="Z47" s="377">
        <v>45448.0</v>
      </c>
      <c r="AA47" s="341">
        <v>1842.035</v>
      </c>
      <c r="AB47" s="341">
        <v>1842.035</v>
      </c>
      <c r="AC47" s="341">
        <v>1842.035</v>
      </c>
      <c r="AD47" s="341">
        <v>1842.035</v>
      </c>
      <c r="AE47" s="335" t="s">
        <v>238</v>
      </c>
      <c r="AF47" s="336">
        <f t="shared" si="3"/>
        <v>0.03090701406</v>
      </c>
      <c r="AG47" s="336"/>
      <c r="AH47" s="336"/>
      <c r="AI47" s="348"/>
      <c r="AJ47" s="312"/>
      <c r="AK47" s="312"/>
      <c r="AL47" s="342">
        <v>45448.0</v>
      </c>
      <c r="AM47" s="343">
        <v>20.539</v>
      </c>
      <c r="AN47" s="343">
        <v>20.539</v>
      </c>
      <c r="AO47" s="343">
        <v>20.539</v>
      </c>
      <c r="AP47" s="343">
        <v>20.539</v>
      </c>
      <c r="AQ47" s="335" t="s">
        <v>238</v>
      </c>
      <c r="AR47" s="336">
        <f t="shared" si="4"/>
        <v>0.001022968158</v>
      </c>
      <c r="AS47" s="336"/>
      <c r="AT47" s="336"/>
      <c r="AU47" s="348"/>
      <c r="AV47" s="312"/>
      <c r="AW47" s="312"/>
      <c r="AX47" s="312"/>
      <c r="AY47" s="312"/>
      <c r="AZ47" s="312"/>
      <c r="BA47" s="312"/>
      <c r="BB47" s="312"/>
      <c r="BC47" s="312"/>
      <c r="BD47" s="316"/>
      <c r="BE47" s="316"/>
      <c r="BF47" s="316"/>
      <c r="BG47" s="316"/>
      <c r="BH47" s="316"/>
      <c r="BI47" s="316"/>
      <c r="BJ47" s="316"/>
      <c r="BK47" s="316"/>
      <c r="BL47" s="316"/>
      <c r="BM47" s="316"/>
      <c r="BN47" s="316"/>
      <c r="BO47" s="316"/>
      <c r="BP47" s="316"/>
      <c r="BQ47" s="316"/>
      <c r="BR47" s="316"/>
      <c r="BS47" s="316"/>
      <c r="BT47" s="316"/>
      <c r="BU47" s="316"/>
      <c r="BV47" s="316"/>
      <c r="BW47" s="316"/>
      <c r="BX47" s="316"/>
      <c r="BY47" s="316"/>
      <c r="BZ47" s="316"/>
      <c r="CA47" s="316"/>
      <c r="CB47" s="316"/>
      <c r="CC47" s="316"/>
      <c r="CD47" s="316"/>
    </row>
    <row r="48" ht="15.75" customHeight="1">
      <c r="A48" s="308"/>
      <c r="B48" s="334">
        <v>45449.0</v>
      </c>
      <c r="C48" s="335">
        <v>78.815</v>
      </c>
      <c r="D48" s="335">
        <v>78.815</v>
      </c>
      <c r="E48" s="335">
        <v>78.815</v>
      </c>
      <c r="F48" s="335">
        <v>78.815</v>
      </c>
      <c r="G48" s="335" t="s">
        <v>238</v>
      </c>
      <c r="H48" s="336">
        <f t="shared" si="1"/>
        <v>0.009241326404</v>
      </c>
      <c r="I48" s="336"/>
      <c r="J48" s="336"/>
      <c r="K48" s="348"/>
      <c r="L48" s="312"/>
      <c r="M48" s="312"/>
      <c r="N48" s="377">
        <v>45449.0</v>
      </c>
      <c r="O48" s="341">
        <v>29.712</v>
      </c>
      <c r="P48" s="341">
        <v>29.712</v>
      </c>
      <c r="Q48" s="341">
        <v>29.712</v>
      </c>
      <c r="R48" s="341">
        <v>29.712</v>
      </c>
      <c r="S48" s="335" t="s">
        <v>238</v>
      </c>
      <c r="T48" s="336">
        <f t="shared" si="2"/>
        <v>0.0125992319</v>
      </c>
      <c r="U48" s="336"/>
      <c r="V48" s="336"/>
      <c r="W48" s="348"/>
      <c r="X48" s="312"/>
      <c r="Y48" s="312"/>
      <c r="Z48" s="340">
        <v>45449.0</v>
      </c>
      <c r="AA48" s="341">
        <v>1864.534</v>
      </c>
      <c r="AB48" s="341">
        <v>1864.534</v>
      </c>
      <c r="AC48" s="341">
        <v>1864.534</v>
      </c>
      <c r="AD48" s="341">
        <v>1864.534</v>
      </c>
      <c r="AE48" s="335" t="s">
        <v>238</v>
      </c>
      <c r="AF48" s="336">
        <f t="shared" si="3"/>
        <v>0.01214021718</v>
      </c>
      <c r="AG48" s="336"/>
      <c r="AH48" s="336"/>
      <c r="AI48" s="348"/>
      <c r="AJ48" s="312"/>
      <c r="AK48" s="312"/>
      <c r="AL48" s="342">
        <v>45449.0</v>
      </c>
      <c r="AM48" s="343">
        <v>20.555</v>
      </c>
      <c r="AN48" s="343">
        <v>20.555</v>
      </c>
      <c r="AO48" s="343">
        <v>20.555</v>
      </c>
      <c r="AP48" s="343">
        <v>20.555</v>
      </c>
      <c r="AQ48" s="335" t="s">
        <v>238</v>
      </c>
      <c r="AR48" s="336">
        <f t="shared" si="4"/>
        <v>0.0007787025263</v>
      </c>
      <c r="AS48" s="336"/>
      <c r="AT48" s="336"/>
      <c r="AU48" s="348"/>
      <c r="AV48" s="312"/>
      <c r="AW48" s="312"/>
      <c r="AX48" s="312"/>
      <c r="AY48" s="312"/>
      <c r="AZ48" s="312"/>
      <c r="BA48" s="312"/>
      <c r="BB48" s="312"/>
      <c r="BC48" s="312"/>
      <c r="BD48" s="316"/>
      <c r="BE48" s="316"/>
      <c r="BF48" s="316"/>
      <c r="BG48" s="316"/>
      <c r="BH48" s="316"/>
      <c r="BI48" s="316"/>
      <c r="BJ48" s="316"/>
      <c r="BK48" s="316"/>
      <c r="BL48" s="316"/>
      <c r="BM48" s="316"/>
      <c r="BN48" s="316"/>
      <c r="BO48" s="316"/>
      <c r="BP48" s="316"/>
      <c r="BQ48" s="316"/>
      <c r="BR48" s="316"/>
      <c r="BS48" s="316"/>
      <c r="BT48" s="316"/>
      <c r="BU48" s="316"/>
      <c r="BV48" s="316"/>
      <c r="BW48" s="316"/>
      <c r="BX48" s="316"/>
      <c r="BY48" s="316"/>
      <c r="BZ48" s="316"/>
      <c r="CA48" s="316"/>
      <c r="CB48" s="316"/>
      <c r="CC48" s="316"/>
      <c r="CD48" s="316"/>
    </row>
    <row r="49" ht="15.75" customHeight="1">
      <c r="A49" s="308"/>
      <c r="B49" s="334">
        <v>45450.0</v>
      </c>
      <c r="C49" s="335">
        <v>79.765</v>
      </c>
      <c r="D49" s="335">
        <v>79.765</v>
      </c>
      <c r="E49" s="335">
        <v>79.765</v>
      </c>
      <c r="F49" s="335">
        <v>79.765</v>
      </c>
      <c r="G49" s="335" t="s">
        <v>238</v>
      </c>
      <c r="H49" s="336">
        <f t="shared" si="1"/>
        <v>0.01198147767</v>
      </c>
      <c r="I49" s="336"/>
      <c r="J49" s="336"/>
      <c r="K49" s="348"/>
      <c r="L49" s="312"/>
      <c r="M49" s="312"/>
      <c r="N49" s="377">
        <v>45450.0</v>
      </c>
      <c r="O49" s="341">
        <v>29.538</v>
      </c>
      <c r="P49" s="341">
        <v>29.538</v>
      </c>
      <c r="Q49" s="341">
        <v>29.538</v>
      </c>
      <c r="R49" s="341">
        <v>29.538</v>
      </c>
      <c r="S49" s="335" t="s">
        <v>238</v>
      </c>
      <c r="T49" s="336">
        <f t="shared" si="2"/>
        <v>-0.005873434606</v>
      </c>
      <c r="U49" s="336"/>
      <c r="V49" s="336"/>
      <c r="W49" s="348"/>
      <c r="X49" s="312"/>
      <c r="Y49" s="312"/>
      <c r="Z49" s="340">
        <v>45450.0</v>
      </c>
      <c r="AA49" s="341">
        <v>1892.249</v>
      </c>
      <c r="AB49" s="341">
        <v>1892.249</v>
      </c>
      <c r="AC49" s="341">
        <v>1892.249</v>
      </c>
      <c r="AD49" s="341">
        <v>1892.249</v>
      </c>
      <c r="AE49" s="335" t="s">
        <v>238</v>
      </c>
      <c r="AF49" s="336">
        <f t="shared" si="3"/>
        <v>0.01475491281</v>
      </c>
      <c r="AG49" s="336"/>
      <c r="AH49" s="336"/>
      <c r="AI49" s="348"/>
      <c r="AJ49" s="312"/>
      <c r="AK49" s="312"/>
      <c r="AL49" s="342">
        <v>45450.0</v>
      </c>
      <c r="AM49" s="343">
        <v>20.554</v>
      </c>
      <c r="AN49" s="343">
        <v>20.554</v>
      </c>
      <c r="AO49" s="343">
        <v>20.554</v>
      </c>
      <c r="AP49" s="343">
        <v>20.554</v>
      </c>
      <c r="AQ49" s="335" t="s">
        <v>238</v>
      </c>
      <c r="AR49" s="336">
        <f t="shared" si="4"/>
        <v>-0.00004865114696</v>
      </c>
      <c r="AS49" s="336"/>
      <c r="AT49" s="336"/>
      <c r="AU49" s="348"/>
      <c r="AV49" s="312"/>
      <c r="AW49" s="312"/>
      <c r="AX49" s="312"/>
      <c r="AY49" s="312"/>
      <c r="AZ49" s="312"/>
      <c r="BA49" s="312"/>
      <c r="BB49" s="312"/>
      <c r="BC49" s="312"/>
      <c r="BD49" s="316"/>
      <c r="BE49" s="316"/>
      <c r="BF49" s="316"/>
      <c r="BG49" s="316"/>
      <c r="BH49" s="316"/>
      <c r="BI49" s="316"/>
      <c r="BJ49" s="316"/>
      <c r="BK49" s="316"/>
      <c r="BL49" s="316"/>
      <c r="BM49" s="316"/>
      <c r="BN49" s="316"/>
      <c r="BO49" s="316"/>
      <c r="BP49" s="316"/>
      <c r="BQ49" s="316"/>
      <c r="BR49" s="316"/>
      <c r="BS49" s="316"/>
      <c r="BT49" s="316"/>
      <c r="BU49" s="316"/>
      <c r="BV49" s="316"/>
      <c r="BW49" s="316"/>
      <c r="BX49" s="316"/>
      <c r="BY49" s="316"/>
      <c r="BZ49" s="316"/>
      <c r="CA49" s="316"/>
      <c r="CB49" s="316"/>
      <c r="CC49" s="316"/>
      <c r="CD49" s="316"/>
    </row>
    <row r="50" ht="15.75" customHeight="1">
      <c r="A50" s="308"/>
      <c r="B50" s="334">
        <v>45453.0</v>
      </c>
      <c r="C50" s="335">
        <v>80.15</v>
      </c>
      <c r="D50" s="335">
        <v>80.15</v>
      </c>
      <c r="E50" s="335">
        <v>80.15</v>
      </c>
      <c r="F50" s="335">
        <v>80.15</v>
      </c>
      <c r="G50" s="335" t="s">
        <v>238</v>
      </c>
      <c r="H50" s="336">
        <f t="shared" si="1"/>
        <v>0.004815067303</v>
      </c>
      <c r="I50" s="336"/>
      <c r="J50" s="336"/>
      <c r="K50" s="348"/>
      <c r="L50" s="312"/>
      <c r="M50" s="312"/>
      <c r="N50" s="377">
        <v>45453.0</v>
      </c>
      <c r="O50" s="341">
        <v>29.074</v>
      </c>
      <c r="P50" s="341">
        <v>29.074</v>
      </c>
      <c r="Q50" s="341">
        <v>29.074</v>
      </c>
      <c r="R50" s="341">
        <v>29.074</v>
      </c>
      <c r="S50" s="335" t="s">
        <v>238</v>
      </c>
      <c r="T50" s="336">
        <f t="shared" si="2"/>
        <v>-0.015833266</v>
      </c>
      <c r="U50" s="336"/>
      <c r="V50" s="336"/>
      <c r="W50" s="348"/>
      <c r="X50" s="312"/>
      <c r="Y50" s="312"/>
      <c r="Z50" s="340">
        <v>45453.0</v>
      </c>
      <c r="AA50" s="341">
        <v>1899.067</v>
      </c>
      <c r="AB50" s="341">
        <v>1899.067</v>
      </c>
      <c r="AC50" s="341">
        <v>1899.067</v>
      </c>
      <c r="AD50" s="341">
        <v>1899.067</v>
      </c>
      <c r="AE50" s="335" t="s">
        <v>238</v>
      </c>
      <c r="AF50" s="336">
        <f t="shared" si="3"/>
        <v>0.003596644199</v>
      </c>
      <c r="AG50" s="336"/>
      <c r="AH50" s="336"/>
      <c r="AI50" s="348"/>
      <c r="AJ50" s="312"/>
      <c r="AK50" s="312"/>
      <c r="AL50" s="353">
        <v>45453.0</v>
      </c>
      <c r="AM50" s="343">
        <v>20.566</v>
      </c>
      <c r="AN50" s="343">
        <v>20.566</v>
      </c>
      <c r="AO50" s="343">
        <v>20.566</v>
      </c>
      <c r="AP50" s="343">
        <v>20.566</v>
      </c>
      <c r="AQ50" s="335" t="s">
        <v>238</v>
      </c>
      <c r="AR50" s="336">
        <f t="shared" si="4"/>
        <v>0.0005836576041</v>
      </c>
      <c r="AS50" s="336"/>
      <c r="AT50" s="336"/>
      <c r="AU50" s="348"/>
      <c r="AV50" s="312"/>
      <c r="AW50" s="312"/>
      <c r="AX50" s="312"/>
      <c r="AY50" s="312"/>
      <c r="AZ50" s="312"/>
      <c r="BA50" s="312"/>
      <c r="BB50" s="312"/>
      <c r="BC50" s="312"/>
      <c r="BD50" s="316"/>
      <c r="BE50" s="316"/>
      <c r="BF50" s="316"/>
      <c r="BG50" s="316"/>
      <c r="BH50" s="316"/>
      <c r="BI50" s="316"/>
      <c r="BJ50" s="316"/>
      <c r="BK50" s="316"/>
      <c r="BL50" s="316"/>
      <c r="BM50" s="316"/>
      <c r="BN50" s="316"/>
      <c r="BO50" s="316"/>
      <c r="BP50" s="316"/>
      <c r="BQ50" s="316"/>
      <c r="BR50" s="316"/>
      <c r="BS50" s="316"/>
      <c r="BT50" s="316"/>
      <c r="BU50" s="316"/>
      <c r="BV50" s="316"/>
      <c r="BW50" s="316"/>
      <c r="BX50" s="316"/>
      <c r="BY50" s="316"/>
      <c r="BZ50" s="316"/>
      <c r="CA50" s="316"/>
      <c r="CB50" s="316"/>
      <c r="CC50" s="316"/>
      <c r="CD50" s="316"/>
    </row>
    <row r="51" ht="15.75" customHeight="1">
      <c r="A51" s="308"/>
      <c r="B51" s="334">
        <v>45454.0</v>
      </c>
      <c r="C51" s="335">
        <v>80.259</v>
      </c>
      <c r="D51" s="335">
        <v>80.259</v>
      </c>
      <c r="E51" s="335">
        <v>80.259</v>
      </c>
      <c r="F51" s="335">
        <v>80.259</v>
      </c>
      <c r="G51" s="335" t="s">
        <v>238</v>
      </c>
      <c r="H51" s="336">
        <f t="shared" si="1"/>
        <v>0.001359026199</v>
      </c>
      <c r="I51" s="336"/>
      <c r="J51" s="336"/>
      <c r="K51" s="348"/>
      <c r="L51" s="312"/>
      <c r="M51" s="312"/>
      <c r="N51" s="377">
        <v>45454.0</v>
      </c>
      <c r="O51" s="341">
        <v>29.214</v>
      </c>
      <c r="P51" s="341">
        <v>29.214</v>
      </c>
      <c r="Q51" s="341">
        <v>29.214</v>
      </c>
      <c r="R51" s="341">
        <v>29.214</v>
      </c>
      <c r="S51" s="335" t="s">
        <v>238</v>
      </c>
      <c r="T51" s="336">
        <f t="shared" si="2"/>
        <v>0.004803742424</v>
      </c>
      <c r="U51" s="336"/>
      <c r="V51" s="336"/>
      <c r="W51" s="348"/>
      <c r="X51" s="312"/>
      <c r="Y51" s="312"/>
      <c r="Z51" s="340">
        <v>45454.0</v>
      </c>
      <c r="AA51" s="341">
        <v>1899.626</v>
      </c>
      <c r="AB51" s="341">
        <v>1899.626</v>
      </c>
      <c r="AC51" s="341">
        <v>1899.626</v>
      </c>
      <c r="AD51" s="341">
        <v>1899.626</v>
      </c>
      <c r="AE51" s="335" t="s">
        <v>238</v>
      </c>
      <c r="AF51" s="336">
        <f t="shared" si="3"/>
        <v>0.0002943117562</v>
      </c>
      <c r="AG51" s="336"/>
      <c r="AH51" s="336"/>
      <c r="AI51" s="348"/>
      <c r="AJ51" s="312"/>
      <c r="AK51" s="312"/>
      <c r="AL51" s="353">
        <v>45454.0</v>
      </c>
      <c r="AM51" s="343">
        <v>20.578</v>
      </c>
      <c r="AN51" s="343">
        <v>20.578</v>
      </c>
      <c r="AO51" s="343">
        <v>20.578</v>
      </c>
      <c r="AP51" s="343">
        <v>20.578</v>
      </c>
      <c r="AQ51" s="335" t="s">
        <v>238</v>
      </c>
      <c r="AR51" s="336">
        <f t="shared" si="4"/>
        <v>0.0005833171466</v>
      </c>
      <c r="AS51" s="336"/>
      <c r="AT51" s="336"/>
      <c r="AU51" s="348"/>
      <c r="AV51" s="312"/>
      <c r="AW51" s="312"/>
      <c r="AX51" s="312"/>
      <c r="AY51" s="312"/>
      <c r="AZ51" s="312"/>
      <c r="BA51" s="312"/>
      <c r="BB51" s="312"/>
      <c r="BC51" s="312"/>
      <c r="BD51" s="316"/>
      <c r="BE51" s="316"/>
      <c r="BF51" s="316"/>
      <c r="BG51" s="316"/>
      <c r="BH51" s="316"/>
      <c r="BI51" s="316"/>
      <c r="BJ51" s="316"/>
      <c r="BK51" s="316"/>
      <c r="BL51" s="316"/>
      <c r="BM51" s="316"/>
      <c r="BN51" s="316"/>
      <c r="BO51" s="316"/>
      <c r="BP51" s="316"/>
      <c r="BQ51" s="316"/>
      <c r="BR51" s="316"/>
      <c r="BS51" s="316"/>
      <c r="BT51" s="316"/>
      <c r="BU51" s="316"/>
      <c r="BV51" s="316"/>
      <c r="BW51" s="316"/>
      <c r="BX51" s="316"/>
      <c r="BY51" s="316"/>
      <c r="BZ51" s="316"/>
      <c r="CA51" s="316"/>
      <c r="CB51" s="316"/>
      <c r="CC51" s="316"/>
      <c r="CD51" s="316"/>
    </row>
    <row r="52" ht="15.75" customHeight="1">
      <c r="A52" s="308"/>
      <c r="B52" s="334">
        <v>45455.0</v>
      </c>
      <c r="C52" s="335">
        <v>80.745</v>
      </c>
      <c r="D52" s="335">
        <v>80.745</v>
      </c>
      <c r="E52" s="335">
        <v>80.745</v>
      </c>
      <c r="F52" s="335">
        <v>80.745</v>
      </c>
      <c r="G52" s="335" t="s">
        <v>238</v>
      </c>
      <c r="H52" s="336">
        <f t="shared" si="1"/>
        <v>0.006037135426</v>
      </c>
      <c r="I52" s="336"/>
      <c r="J52" s="336"/>
      <c r="K52" s="348"/>
      <c r="L52" s="312"/>
      <c r="M52" s="312"/>
      <c r="N52" s="340">
        <v>45455.0</v>
      </c>
      <c r="O52" s="341">
        <v>29.296</v>
      </c>
      <c r="P52" s="341">
        <v>29.296</v>
      </c>
      <c r="Q52" s="341">
        <v>29.296</v>
      </c>
      <c r="R52" s="341">
        <v>29.296</v>
      </c>
      <c r="S52" s="335" t="s">
        <v>238</v>
      </c>
      <c r="T52" s="336">
        <f t="shared" si="2"/>
        <v>0.002802941504</v>
      </c>
      <c r="U52" s="336"/>
      <c r="V52" s="336"/>
      <c r="W52" s="348"/>
      <c r="X52" s="312"/>
      <c r="Y52" s="312"/>
      <c r="Z52" s="340">
        <v>45455.0</v>
      </c>
      <c r="AA52" s="341">
        <v>1906.433</v>
      </c>
      <c r="AB52" s="341">
        <v>1906.433</v>
      </c>
      <c r="AC52" s="341">
        <v>1906.433</v>
      </c>
      <c r="AD52" s="341">
        <v>1906.433</v>
      </c>
      <c r="AE52" s="335" t="s">
        <v>238</v>
      </c>
      <c r="AF52" s="336">
        <f t="shared" si="3"/>
        <v>0.003576932075</v>
      </c>
      <c r="AG52" s="336"/>
      <c r="AH52" s="336"/>
      <c r="AI52" s="348"/>
      <c r="AJ52" s="312"/>
      <c r="AK52" s="312"/>
      <c r="AL52" s="353">
        <v>45455.0</v>
      </c>
      <c r="AM52" s="343">
        <v>20.587</v>
      </c>
      <c r="AN52" s="343">
        <v>20.587</v>
      </c>
      <c r="AO52" s="343">
        <v>20.587</v>
      </c>
      <c r="AP52" s="343">
        <v>20.587</v>
      </c>
      <c r="AQ52" s="335" t="s">
        <v>238</v>
      </c>
      <c r="AR52" s="336">
        <f t="shared" si="4"/>
        <v>0.0004372646736</v>
      </c>
      <c r="AS52" s="336"/>
      <c r="AT52" s="336"/>
      <c r="AU52" s="348"/>
      <c r="AV52" s="312"/>
      <c r="AW52" s="312"/>
      <c r="AX52" s="312"/>
      <c r="AY52" s="312"/>
      <c r="AZ52" s="312"/>
      <c r="BA52" s="312"/>
      <c r="BB52" s="312"/>
      <c r="BC52" s="312"/>
      <c r="BD52" s="316"/>
      <c r="BE52" s="316"/>
      <c r="BF52" s="316"/>
      <c r="BG52" s="316"/>
      <c r="BH52" s="316"/>
      <c r="BI52" s="316"/>
      <c r="BJ52" s="316"/>
      <c r="BK52" s="316"/>
      <c r="BL52" s="316"/>
      <c r="BM52" s="316"/>
      <c r="BN52" s="316"/>
      <c r="BO52" s="316"/>
      <c r="BP52" s="316"/>
      <c r="BQ52" s="316"/>
      <c r="BR52" s="316"/>
      <c r="BS52" s="316"/>
      <c r="BT52" s="316"/>
      <c r="BU52" s="316"/>
      <c r="BV52" s="316"/>
      <c r="BW52" s="316"/>
      <c r="BX52" s="316"/>
      <c r="BY52" s="316"/>
      <c r="BZ52" s="316"/>
      <c r="CA52" s="316"/>
      <c r="CB52" s="316"/>
      <c r="CC52" s="316"/>
      <c r="CD52" s="316"/>
    </row>
    <row r="53" ht="15.75" customHeight="1">
      <c r="A53" s="308"/>
      <c r="B53" s="362">
        <v>45456.0</v>
      </c>
      <c r="C53" s="335">
        <v>80.584</v>
      </c>
      <c r="D53" s="335">
        <v>80.584</v>
      </c>
      <c r="E53" s="335">
        <v>80.584</v>
      </c>
      <c r="F53" s="335">
        <v>80.584</v>
      </c>
      <c r="G53" s="335" t="s">
        <v>238</v>
      </c>
      <c r="H53" s="336">
        <f t="shared" si="1"/>
        <v>-0.001995922041</v>
      </c>
      <c r="I53" s="336"/>
      <c r="J53" s="336"/>
      <c r="K53" s="348"/>
      <c r="L53" s="312"/>
      <c r="M53" s="312"/>
      <c r="N53" s="340">
        <v>45456.0</v>
      </c>
      <c r="O53" s="341">
        <v>29.296</v>
      </c>
      <c r="P53" s="341">
        <v>29.296</v>
      </c>
      <c r="Q53" s="341">
        <v>29.296</v>
      </c>
      <c r="R53" s="341">
        <v>29.296</v>
      </c>
      <c r="S53" s="335" t="s">
        <v>238</v>
      </c>
      <c r="T53" s="336">
        <f t="shared" si="2"/>
        <v>0</v>
      </c>
      <c r="U53" s="336"/>
      <c r="V53" s="336"/>
      <c r="W53" s="348"/>
      <c r="X53" s="312"/>
      <c r="Y53" s="312"/>
      <c r="Z53" s="363">
        <v>45456.0</v>
      </c>
      <c r="AA53" s="341">
        <v>1910.204</v>
      </c>
      <c r="AB53" s="341">
        <v>1910.204</v>
      </c>
      <c r="AC53" s="341">
        <v>1910.204</v>
      </c>
      <c r="AD53" s="341">
        <v>1910.204</v>
      </c>
      <c r="AE53" s="335" t="s">
        <v>238</v>
      </c>
      <c r="AF53" s="336">
        <f t="shared" si="3"/>
        <v>0.001976085872</v>
      </c>
      <c r="AG53" s="336"/>
      <c r="AH53" s="336"/>
      <c r="AI53" s="348"/>
      <c r="AJ53" s="312"/>
      <c r="AK53" s="312"/>
      <c r="AL53" s="353">
        <v>45456.0</v>
      </c>
      <c r="AM53" s="343">
        <v>20.762</v>
      </c>
      <c r="AN53" s="343">
        <v>20.762</v>
      </c>
      <c r="AO53" s="343">
        <v>20.762</v>
      </c>
      <c r="AP53" s="343">
        <v>20.762</v>
      </c>
      <c r="AQ53" s="335" t="s">
        <v>238</v>
      </c>
      <c r="AR53" s="336">
        <f t="shared" si="4"/>
        <v>0.008464584144</v>
      </c>
      <c r="AS53" s="336"/>
      <c r="AT53" s="336"/>
      <c r="AU53" s="348"/>
      <c r="AV53" s="312"/>
      <c r="AW53" s="312"/>
      <c r="AX53" s="312"/>
      <c r="AY53" s="312"/>
      <c r="AZ53" s="312"/>
      <c r="BA53" s="312"/>
      <c r="BB53" s="312"/>
      <c r="BC53" s="312"/>
      <c r="BD53" s="316"/>
      <c r="BE53" s="316"/>
      <c r="BF53" s="316"/>
      <c r="BG53" s="316"/>
      <c r="BH53" s="316"/>
      <c r="BI53" s="316"/>
      <c r="BJ53" s="316"/>
      <c r="BK53" s="316"/>
      <c r="BL53" s="316"/>
      <c r="BM53" s="316"/>
      <c r="BN53" s="316"/>
      <c r="BO53" s="316"/>
      <c r="BP53" s="316"/>
      <c r="BQ53" s="316"/>
      <c r="BR53" s="316"/>
      <c r="BS53" s="316"/>
      <c r="BT53" s="316"/>
      <c r="BU53" s="316"/>
      <c r="BV53" s="316"/>
      <c r="BW53" s="316"/>
      <c r="BX53" s="316"/>
      <c r="BY53" s="316"/>
      <c r="BZ53" s="316"/>
      <c r="CA53" s="316"/>
      <c r="CB53" s="316"/>
      <c r="CC53" s="316"/>
      <c r="CD53" s="316"/>
    </row>
    <row r="54" ht="15.75" customHeight="1">
      <c r="A54" s="308"/>
      <c r="B54" s="362">
        <v>45457.0</v>
      </c>
      <c r="C54" s="335">
        <v>80.76</v>
      </c>
      <c r="D54" s="335">
        <v>80.76</v>
      </c>
      <c r="E54" s="335">
        <v>80.76</v>
      </c>
      <c r="F54" s="335">
        <v>80.76</v>
      </c>
      <c r="G54" s="335" t="s">
        <v>238</v>
      </c>
      <c r="H54" s="336">
        <f t="shared" si="1"/>
        <v>0.002181674804</v>
      </c>
      <c r="I54" s="336"/>
      <c r="J54" s="336"/>
      <c r="K54" s="348"/>
      <c r="L54" s="312"/>
      <c r="M54" s="312"/>
      <c r="N54" s="340">
        <v>45457.0</v>
      </c>
      <c r="O54" s="341">
        <v>29.301</v>
      </c>
      <c r="P54" s="341">
        <v>29.301</v>
      </c>
      <c r="Q54" s="341">
        <v>29.301</v>
      </c>
      <c r="R54" s="341">
        <v>29.301</v>
      </c>
      <c r="S54" s="335" t="s">
        <v>238</v>
      </c>
      <c r="T54" s="336">
        <f t="shared" si="2"/>
        <v>0.0001706572013</v>
      </c>
      <c r="U54" s="336"/>
      <c r="V54" s="336"/>
      <c r="W54" s="348"/>
      <c r="X54" s="312"/>
      <c r="Y54" s="312"/>
      <c r="Z54" s="363">
        <v>45457.0</v>
      </c>
      <c r="AA54" s="341">
        <v>1916.596</v>
      </c>
      <c r="AB54" s="341">
        <v>1916.596</v>
      </c>
      <c r="AC54" s="341">
        <v>1916.596</v>
      </c>
      <c r="AD54" s="341">
        <v>1916.596</v>
      </c>
      <c r="AE54" s="335" t="s">
        <v>238</v>
      </c>
      <c r="AF54" s="336">
        <f t="shared" si="3"/>
        <v>0.003340653258</v>
      </c>
      <c r="AG54" s="336"/>
      <c r="AH54" s="336"/>
      <c r="AI54" s="348"/>
      <c r="AJ54" s="312"/>
      <c r="AK54" s="312"/>
      <c r="AL54" s="353">
        <v>45457.0</v>
      </c>
      <c r="AM54" s="343">
        <v>20.766</v>
      </c>
      <c r="AN54" s="343">
        <v>20.766</v>
      </c>
      <c r="AO54" s="343">
        <v>20.766</v>
      </c>
      <c r="AP54" s="343">
        <v>20.766</v>
      </c>
      <c r="AQ54" s="335" t="s">
        <v>238</v>
      </c>
      <c r="AR54" s="336">
        <f t="shared" si="4"/>
        <v>0.0001926411102</v>
      </c>
      <c r="AS54" s="336"/>
      <c r="AT54" s="336"/>
      <c r="AU54" s="348"/>
      <c r="AV54" s="312"/>
      <c r="AW54" s="312"/>
      <c r="AX54" s="312"/>
      <c r="AY54" s="312"/>
      <c r="AZ54" s="312"/>
      <c r="BA54" s="312"/>
      <c r="BB54" s="312"/>
      <c r="BC54" s="312"/>
      <c r="BD54" s="316"/>
      <c r="BE54" s="316"/>
      <c r="BF54" s="316"/>
      <c r="BG54" s="316"/>
      <c r="BH54" s="316"/>
      <c r="BI54" s="316"/>
      <c r="BJ54" s="316"/>
      <c r="BK54" s="316"/>
      <c r="BL54" s="316"/>
      <c r="BM54" s="316"/>
      <c r="BN54" s="316"/>
      <c r="BO54" s="316"/>
      <c r="BP54" s="316"/>
      <c r="BQ54" s="316"/>
      <c r="BR54" s="316"/>
      <c r="BS54" s="316"/>
      <c r="BT54" s="316"/>
      <c r="BU54" s="316"/>
      <c r="BV54" s="316"/>
      <c r="BW54" s="316"/>
      <c r="BX54" s="316"/>
      <c r="BY54" s="316"/>
      <c r="BZ54" s="316"/>
      <c r="CA54" s="316"/>
      <c r="CB54" s="316"/>
      <c r="CC54" s="316"/>
      <c r="CD54" s="316"/>
    </row>
    <row r="55" ht="15.75" customHeight="1">
      <c r="A55" s="308"/>
      <c r="B55" s="362">
        <v>45461.0</v>
      </c>
      <c r="C55" s="335">
        <v>80.962</v>
      </c>
      <c r="D55" s="335">
        <v>80.962</v>
      </c>
      <c r="E55" s="335">
        <v>80.962</v>
      </c>
      <c r="F55" s="335">
        <v>80.962</v>
      </c>
      <c r="G55" s="335" t="s">
        <v>238</v>
      </c>
      <c r="H55" s="336">
        <f t="shared" si="1"/>
        <v>0.002498115347</v>
      </c>
      <c r="I55" s="336"/>
      <c r="J55" s="336"/>
      <c r="K55" s="348"/>
      <c r="L55" s="312"/>
      <c r="M55" s="312"/>
      <c r="N55" s="340">
        <v>45461.0</v>
      </c>
      <c r="O55" s="341">
        <v>29.17</v>
      </c>
      <c r="P55" s="341">
        <v>29.17</v>
      </c>
      <c r="Q55" s="341">
        <v>29.17</v>
      </c>
      <c r="R55" s="341">
        <v>29.17</v>
      </c>
      <c r="S55" s="335" t="s">
        <v>238</v>
      </c>
      <c r="T55" s="336">
        <f t="shared" si="2"/>
        <v>-0.004480861254</v>
      </c>
      <c r="U55" s="336"/>
      <c r="V55" s="336"/>
      <c r="W55" s="348"/>
      <c r="X55" s="312"/>
      <c r="Y55" s="312"/>
      <c r="Z55" s="363">
        <v>45461.0</v>
      </c>
      <c r="AA55" s="341">
        <v>1926.771</v>
      </c>
      <c r="AB55" s="341">
        <v>1926.771</v>
      </c>
      <c r="AC55" s="341">
        <v>1926.771</v>
      </c>
      <c r="AD55" s="341">
        <v>1926.771</v>
      </c>
      <c r="AE55" s="335" t="s">
        <v>238</v>
      </c>
      <c r="AF55" s="336">
        <f t="shared" si="3"/>
        <v>0.005294848903</v>
      </c>
      <c r="AG55" s="336"/>
      <c r="AH55" s="336"/>
      <c r="AI55" s="348"/>
      <c r="AJ55" s="312"/>
      <c r="AK55" s="312"/>
      <c r="AL55" s="353">
        <v>45461.0</v>
      </c>
      <c r="AM55" s="343">
        <v>20.781</v>
      </c>
      <c r="AN55" s="343">
        <v>20.781</v>
      </c>
      <c r="AO55" s="343">
        <v>20.781</v>
      </c>
      <c r="AP55" s="343">
        <v>20.781</v>
      </c>
      <c r="AQ55" s="335" t="s">
        <v>238</v>
      </c>
      <c r="AR55" s="336">
        <f t="shared" si="4"/>
        <v>0.0007220738273</v>
      </c>
      <c r="AS55" s="336"/>
      <c r="AT55" s="336"/>
      <c r="AU55" s="348"/>
      <c r="AV55" s="312"/>
      <c r="AW55" s="312"/>
      <c r="AX55" s="312"/>
      <c r="AY55" s="312"/>
      <c r="AZ55" s="312"/>
      <c r="BA55" s="312"/>
      <c r="BB55" s="312"/>
      <c r="BC55" s="312"/>
      <c r="BD55" s="316"/>
      <c r="BE55" s="316"/>
      <c r="BF55" s="316"/>
      <c r="BG55" s="316"/>
      <c r="BH55" s="316"/>
      <c r="BI55" s="316"/>
      <c r="BJ55" s="316"/>
      <c r="BK55" s="316"/>
      <c r="BL55" s="316"/>
      <c r="BM55" s="316"/>
      <c r="BN55" s="316"/>
      <c r="BO55" s="316"/>
      <c r="BP55" s="316"/>
      <c r="BQ55" s="316"/>
      <c r="BR55" s="316"/>
      <c r="BS55" s="316"/>
      <c r="BT55" s="316"/>
      <c r="BU55" s="316"/>
      <c r="BV55" s="316"/>
      <c r="BW55" s="316"/>
      <c r="BX55" s="316"/>
      <c r="BY55" s="316"/>
      <c r="BZ55" s="316"/>
      <c r="CA55" s="316"/>
      <c r="CB55" s="316"/>
      <c r="CC55" s="316"/>
      <c r="CD55" s="316"/>
    </row>
    <row r="56" ht="15.75" customHeight="1">
      <c r="A56" s="308"/>
      <c r="B56" s="362">
        <v>45462.0</v>
      </c>
      <c r="C56" s="335">
        <v>81.007</v>
      </c>
      <c r="D56" s="335">
        <v>81.007</v>
      </c>
      <c r="E56" s="335">
        <v>81.007</v>
      </c>
      <c r="F56" s="335">
        <v>81.007</v>
      </c>
      <c r="G56" s="335" t="s">
        <v>238</v>
      </c>
      <c r="H56" s="336">
        <f t="shared" si="1"/>
        <v>0.0005556619002</v>
      </c>
      <c r="I56" s="336"/>
      <c r="J56" s="336"/>
      <c r="K56" s="348"/>
      <c r="L56" s="312"/>
      <c r="M56" s="312"/>
      <c r="N56" s="340">
        <v>45462.0</v>
      </c>
      <c r="O56" s="341">
        <v>29.354</v>
      </c>
      <c r="P56" s="341">
        <v>29.354</v>
      </c>
      <c r="Q56" s="341">
        <v>29.354</v>
      </c>
      <c r="R56" s="341">
        <v>29.354</v>
      </c>
      <c r="S56" s="335" t="s">
        <v>238</v>
      </c>
      <c r="T56" s="336">
        <f t="shared" si="2"/>
        <v>0.006288039309</v>
      </c>
      <c r="U56" s="336"/>
      <c r="V56" s="336"/>
      <c r="W56" s="348"/>
      <c r="X56" s="312"/>
      <c r="Y56" s="312"/>
      <c r="Z56" s="363">
        <v>45462.0</v>
      </c>
      <c r="AA56" s="341">
        <v>1930.442</v>
      </c>
      <c r="AB56" s="341">
        <v>1930.442</v>
      </c>
      <c r="AC56" s="341">
        <v>1930.442</v>
      </c>
      <c r="AD56" s="341">
        <v>1930.442</v>
      </c>
      <c r="AE56" s="335" t="s">
        <v>238</v>
      </c>
      <c r="AF56" s="336">
        <f t="shared" si="3"/>
        <v>0.001903447442</v>
      </c>
      <c r="AG56" s="336"/>
      <c r="AH56" s="336"/>
      <c r="AI56" s="348"/>
      <c r="AJ56" s="312"/>
      <c r="AK56" s="312"/>
      <c r="AL56" s="353">
        <v>45462.0</v>
      </c>
      <c r="AM56" s="343">
        <v>20.786</v>
      </c>
      <c r="AN56" s="343">
        <v>20.786</v>
      </c>
      <c r="AO56" s="343">
        <v>20.786</v>
      </c>
      <c r="AP56" s="343">
        <v>20.786</v>
      </c>
      <c r="AQ56" s="335" t="s">
        <v>238</v>
      </c>
      <c r="AR56" s="336">
        <f t="shared" si="4"/>
        <v>0.0002405754577</v>
      </c>
      <c r="AS56" s="336"/>
      <c r="AT56" s="336"/>
      <c r="AU56" s="348"/>
      <c r="AV56" s="312"/>
      <c r="AW56" s="312"/>
      <c r="AX56" s="312"/>
      <c r="AY56" s="312"/>
      <c r="AZ56" s="312"/>
      <c r="BA56" s="312"/>
      <c r="BB56" s="312"/>
      <c r="BC56" s="312"/>
      <c r="BD56" s="316"/>
      <c r="BE56" s="316"/>
      <c r="BF56" s="316"/>
      <c r="BG56" s="316"/>
      <c r="BH56" s="316"/>
      <c r="BI56" s="316"/>
      <c r="BJ56" s="316"/>
      <c r="BK56" s="316"/>
      <c r="BL56" s="316"/>
      <c r="BM56" s="316"/>
      <c r="BN56" s="316"/>
      <c r="BO56" s="316"/>
      <c r="BP56" s="316"/>
      <c r="BQ56" s="316"/>
      <c r="BR56" s="316"/>
      <c r="BS56" s="316"/>
      <c r="BT56" s="316"/>
      <c r="BU56" s="316"/>
      <c r="BV56" s="316"/>
      <c r="BW56" s="316"/>
      <c r="BX56" s="316"/>
      <c r="BY56" s="316"/>
      <c r="BZ56" s="316"/>
      <c r="CA56" s="316"/>
      <c r="CB56" s="316"/>
      <c r="CC56" s="316"/>
      <c r="CD56" s="316"/>
    </row>
    <row r="57" ht="15.75" customHeight="1">
      <c r="A57" s="308"/>
      <c r="B57" s="362">
        <v>45463.0</v>
      </c>
      <c r="C57" s="335">
        <v>81.335</v>
      </c>
      <c r="D57" s="335">
        <v>81.335</v>
      </c>
      <c r="E57" s="335">
        <v>81.335</v>
      </c>
      <c r="F57" s="335">
        <v>81.335</v>
      </c>
      <c r="G57" s="335" t="s">
        <v>238</v>
      </c>
      <c r="H57" s="336">
        <f t="shared" si="1"/>
        <v>0.004040857527</v>
      </c>
      <c r="I57" s="336"/>
      <c r="J57" s="336"/>
      <c r="K57" s="348"/>
      <c r="L57" s="312"/>
      <c r="M57" s="312"/>
      <c r="N57" s="363">
        <v>45463.0</v>
      </c>
      <c r="O57" s="341">
        <v>29.508</v>
      </c>
      <c r="P57" s="341">
        <v>29.508</v>
      </c>
      <c r="Q57" s="341">
        <v>29.508</v>
      </c>
      <c r="R57" s="341">
        <v>29.508</v>
      </c>
      <c r="S57" s="335" t="s">
        <v>238</v>
      </c>
      <c r="T57" s="336">
        <f t="shared" si="2"/>
        <v>0.005232589833</v>
      </c>
      <c r="U57" s="336"/>
      <c r="V57" s="336"/>
      <c r="W57" s="348"/>
      <c r="X57" s="312"/>
      <c r="Y57" s="312"/>
      <c r="Z57" s="363">
        <v>45463.0</v>
      </c>
      <c r="AA57" s="341">
        <v>1936.843</v>
      </c>
      <c r="AB57" s="341">
        <v>1936.843</v>
      </c>
      <c r="AC57" s="341">
        <v>1936.843</v>
      </c>
      <c r="AD57" s="341">
        <v>1936.843</v>
      </c>
      <c r="AE57" s="335" t="s">
        <v>238</v>
      </c>
      <c r="AF57" s="336">
        <f t="shared" si="3"/>
        <v>0.003310335724</v>
      </c>
      <c r="AG57" s="336"/>
      <c r="AH57" s="336"/>
      <c r="AI57" s="348"/>
      <c r="AJ57" s="312"/>
      <c r="AK57" s="312"/>
      <c r="AL57" s="353">
        <v>45463.0</v>
      </c>
      <c r="AM57" s="343">
        <v>20.791</v>
      </c>
      <c r="AN57" s="343">
        <v>20.791</v>
      </c>
      <c r="AO57" s="343">
        <v>20.791</v>
      </c>
      <c r="AP57" s="343">
        <v>20.791</v>
      </c>
      <c r="AQ57" s="335" t="s">
        <v>238</v>
      </c>
      <c r="AR57" s="336">
        <f t="shared" si="4"/>
        <v>0.000240517595</v>
      </c>
      <c r="AS57" s="336"/>
      <c r="AT57" s="336"/>
      <c r="AU57" s="348"/>
      <c r="AV57" s="312"/>
      <c r="AW57" s="312"/>
      <c r="AX57" s="312"/>
      <c r="AY57" s="312"/>
      <c r="AZ57" s="312"/>
      <c r="BA57" s="312"/>
      <c r="BB57" s="312"/>
      <c r="BC57" s="312"/>
      <c r="BD57" s="316"/>
      <c r="BE57" s="316"/>
      <c r="BF57" s="316"/>
      <c r="BG57" s="316"/>
      <c r="BH57" s="316"/>
      <c r="BI57" s="316"/>
      <c r="BJ57" s="316"/>
      <c r="BK57" s="316"/>
      <c r="BL57" s="316"/>
      <c r="BM57" s="316"/>
      <c r="BN57" s="316"/>
      <c r="BO57" s="316"/>
      <c r="BP57" s="316"/>
      <c r="BQ57" s="316"/>
      <c r="BR57" s="316"/>
      <c r="BS57" s="316"/>
      <c r="BT57" s="316"/>
      <c r="BU57" s="316"/>
      <c r="BV57" s="316"/>
      <c r="BW57" s="316"/>
      <c r="BX57" s="316"/>
      <c r="BY57" s="316"/>
      <c r="BZ57" s="316"/>
      <c r="CA57" s="316"/>
      <c r="CB57" s="316"/>
      <c r="CC57" s="316"/>
      <c r="CD57" s="316"/>
    </row>
    <row r="58" ht="15.75" customHeight="1">
      <c r="A58" s="308"/>
      <c r="B58" s="362">
        <v>45464.0</v>
      </c>
      <c r="C58" s="335">
        <v>81.254</v>
      </c>
      <c r="D58" s="335">
        <v>81.254</v>
      </c>
      <c r="E58" s="335">
        <v>81.254</v>
      </c>
      <c r="F58" s="335">
        <v>81.254</v>
      </c>
      <c r="G58" s="335" t="s">
        <v>238</v>
      </c>
      <c r="H58" s="336">
        <f t="shared" si="1"/>
        <v>-0.0009963774511</v>
      </c>
      <c r="I58" s="336"/>
      <c r="J58" s="336"/>
      <c r="K58" s="348"/>
      <c r="L58" s="312"/>
      <c r="M58" s="312"/>
      <c r="N58" s="363">
        <v>45464.0</v>
      </c>
      <c r="O58" s="341">
        <v>29.75</v>
      </c>
      <c r="P58" s="341">
        <v>29.75</v>
      </c>
      <c r="Q58" s="341">
        <v>29.75</v>
      </c>
      <c r="R58" s="341">
        <v>29.75</v>
      </c>
      <c r="S58" s="335" t="s">
        <v>238</v>
      </c>
      <c r="T58" s="336">
        <f t="shared" si="2"/>
        <v>0.00816771897</v>
      </c>
      <c r="U58" s="336"/>
      <c r="V58" s="336"/>
      <c r="W58" s="348"/>
      <c r="X58" s="312"/>
      <c r="Y58" s="312"/>
      <c r="Z58" s="363">
        <v>45464.0</v>
      </c>
      <c r="AA58" s="341">
        <v>1938.259</v>
      </c>
      <c r="AB58" s="341">
        <v>1938.259</v>
      </c>
      <c r="AC58" s="341">
        <v>1938.259</v>
      </c>
      <c r="AD58" s="341">
        <v>1938.259</v>
      </c>
      <c r="AE58" s="335" t="s">
        <v>238</v>
      </c>
      <c r="AF58" s="336">
        <f t="shared" si="3"/>
        <v>0.0007308195052</v>
      </c>
      <c r="AG58" s="336"/>
      <c r="AH58" s="336"/>
      <c r="AI58" s="348"/>
      <c r="AJ58" s="312"/>
      <c r="AK58" s="312"/>
      <c r="AL58" s="353">
        <v>45464.0</v>
      </c>
      <c r="AM58" s="343">
        <v>20.801</v>
      </c>
      <c r="AN58" s="343">
        <v>20.801</v>
      </c>
      <c r="AO58" s="343">
        <v>20.801</v>
      </c>
      <c r="AP58" s="343">
        <v>20.801</v>
      </c>
      <c r="AQ58" s="335" t="s">
        <v>238</v>
      </c>
      <c r="AR58" s="336">
        <f t="shared" si="4"/>
        <v>0.0004808617134</v>
      </c>
      <c r="AS58" s="336"/>
      <c r="AT58" s="336"/>
      <c r="AU58" s="348"/>
      <c r="AV58" s="312"/>
      <c r="AW58" s="312"/>
      <c r="AX58" s="312"/>
      <c r="AY58" s="312"/>
      <c r="AZ58" s="312"/>
      <c r="BA58" s="312"/>
      <c r="BB58" s="312"/>
      <c r="BC58" s="312"/>
      <c r="BD58" s="316"/>
      <c r="BE58" s="316"/>
      <c r="BF58" s="316"/>
      <c r="BG58" s="316"/>
      <c r="BH58" s="316"/>
      <c r="BI58" s="316"/>
      <c r="BJ58" s="316"/>
      <c r="BK58" s="316"/>
      <c r="BL58" s="316"/>
      <c r="BM58" s="316"/>
      <c r="BN58" s="316"/>
      <c r="BO58" s="316"/>
      <c r="BP58" s="316"/>
      <c r="BQ58" s="316"/>
      <c r="BR58" s="316"/>
      <c r="BS58" s="316"/>
      <c r="BT58" s="316"/>
      <c r="BU58" s="316"/>
      <c r="BV58" s="316"/>
      <c r="BW58" s="316"/>
      <c r="BX58" s="316"/>
      <c r="BY58" s="316"/>
      <c r="BZ58" s="316"/>
      <c r="CA58" s="316"/>
      <c r="CB58" s="316"/>
      <c r="CC58" s="316"/>
      <c r="CD58" s="316"/>
    </row>
    <row r="59" ht="15.75" customHeight="1">
      <c r="A59" s="308"/>
      <c r="B59" s="362">
        <v>45467.0</v>
      </c>
      <c r="C59" s="335">
        <v>81.498</v>
      </c>
      <c r="D59" s="335">
        <v>81.498</v>
      </c>
      <c r="E59" s="335">
        <v>81.498</v>
      </c>
      <c r="F59" s="335">
        <v>81.498</v>
      </c>
      <c r="G59" s="335" t="s">
        <v>238</v>
      </c>
      <c r="H59" s="336">
        <f t="shared" si="1"/>
        <v>0.002998429301</v>
      </c>
      <c r="I59" s="336"/>
      <c r="J59" s="336"/>
      <c r="K59" s="348"/>
      <c r="L59" s="312"/>
      <c r="M59" s="312"/>
      <c r="N59" s="363">
        <v>45467.0</v>
      </c>
      <c r="O59" s="341">
        <v>29.31</v>
      </c>
      <c r="P59" s="341">
        <v>29.31</v>
      </c>
      <c r="Q59" s="341">
        <v>29.31</v>
      </c>
      <c r="R59" s="341">
        <v>29.31</v>
      </c>
      <c r="S59" s="335" t="s">
        <v>238</v>
      </c>
      <c r="T59" s="336">
        <f t="shared" si="2"/>
        <v>-0.01490037727</v>
      </c>
      <c r="U59" s="336"/>
      <c r="V59" s="336"/>
      <c r="W59" s="348"/>
      <c r="X59" s="312"/>
      <c r="Y59" s="312"/>
      <c r="Z59" s="363">
        <v>45467.0</v>
      </c>
      <c r="AA59" s="341">
        <v>1942.417</v>
      </c>
      <c r="AB59" s="341">
        <v>1942.417</v>
      </c>
      <c r="AC59" s="341">
        <v>1942.417</v>
      </c>
      <c r="AD59" s="341">
        <v>1942.417</v>
      </c>
      <c r="AE59" s="335" t="s">
        <v>238</v>
      </c>
      <c r="AF59" s="336">
        <f t="shared" si="3"/>
        <v>0.002142926434</v>
      </c>
      <c r="AG59" s="336"/>
      <c r="AH59" s="336"/>
      <c r="AI59" s="348"/>
      <c r="AJ59" s="312"/>
      <c r="AK59" s="312"/>
      <c r="AL59" s="353">
        <v>45467.0</v>
      </c>
      <c r="AM59" s="343">
        <v>20.803</v>
      </c>
      <c r="AN59" s="343">
        <v>20.803</v>
      </c>
      <c r="AO59" s="343">
        <v>20.803</v>
      </c>
      <c r="AP59" s="343">
        <v>20.803</v>
      </c>
      <c r="AQ59" s="335" t="s">
        <v>238</v>
      </c>
      <c r="AR59" s="336">
        <f t="shared" si="4"/>
        <v>0.00009614460155</v>
      </c>
      <c r="AS59" s="336"/>
      <c r="AT59" s="336"/>
      <c r="AU59" s="348"/>
      <c r="AV59" s="312"/>
      <c r="AW59" s="312"/>
      <c r="AX59" s="312"/>
      <c r="AY59" s="312"/>
      <c r="AZ59" s="312"/>
      <c r="BA59" s="312"/>
      <c r="BB59" s="312"/>
      <c r="BC59" s="312"/>
      <c r="BD59" s="316"/>
      <c r="BE59" s="316"/>
      <c r="BF59" s="316"/>
      <c r="BG59" s="316"/>
      <c r="BH59" s="316"/>
      <c r="BI59" s="316"/>
      <c r="BJ59" s="316"/>
      <c r="BK59" s="316"/>
      <c r="BL59" s="316"/>
      <c r="BM59" s="316"/>
      <c r="BN59" s="316"/>
      <c r="BO59" s="316"/>
      <c r="BP59" s="316"/>
      <c r="BQ59" s="316"/>
      <c r="BR59" s="316"/>
      <c r="BS59" s="316"/>
      <c r="BT59" s="316"/>
      <c r="BU59" s="316"/>
      <c r="BV59" s="316"/>
      <c r="BW59" s="316"/>
      <c r="BX59" s="316"/>
      <c r="BY59" s="316"/>
      <c r="BZ59" s="316"/>
      <c r="CA59" s="316"/>
      <c r="CB59" s="316"/>
      <c r="CC59" s="316"/>
      <c r="CD59" s="316"/>
    </row>
    <row r="60" ht="15.75" customHeight="1">
      <c r="A60" s="308"/>
      <c r="B60" s="362">
        <v>45468.0</v>
      </c>
      <c r="C60" s="335">
        <v>81.774</v>
      </c>
      <c r="D60" s="335">
        <v>81.774</v>
      </c>
      <c r="E60" s="335">
        <v>81.774</v>
      </c>
      <c r="F60" s="335">
        <v>81.774</v>
      </c>
      <c r="G60" s="335" t="s">
        <v>238</v>
      </c>
      <c r="H60" s="336">
        <f t="shared" si="1"/>
        <v>0.003380864605</v>
      </c>
      <c r="I60" s="336"/>
      <c r="J60" s="336"/>
      <c r="K60" s="348"/>
      <c r="L60" s="312"/>
      <c r="M60" s="312"/>
      <c r="N60" s="363">
        <v>45468.0</v>
      </c>
      <c r="O60" s="341">
        <v>29.372</v>
      </c>
      <c r="P60" s="341">
        <v>29.372</v>
      </c>
      <c r="Q60" s="341">
        <v>29.372</v>
      </c>
      <c r="R60" s="341">
        <v>29.372</v>
      </c>
      <c r="S60" s="335" t="s">
        <v>238</v>
      </c>
      <c r="T60" s="336">
        <f t="shared" si="2"/>
        <v>0.002113084867</v>
      </c>
      <c r="U60" s="336"/>
      <c r="V60" s="336"/>
      <c r="W60" s="348"/>
      <c r="X60" s="312"/>
      <c r="Y60" s="312"/>
      <c r="Z60" s="363">
        <v>45468.0</v>
      </c>
      <c r="AA60" s="341">
        <v>1959.351</v>
      </c>
      <c r="AB60" s="341">
        <v>1959.351</v>
      </c>
      <c r="AC60" s="341">
        <v>1959.351</v>
      </c>
      <c r="AD60" s="341">
        <v>1959.351</v>
      </c>
      <c r="AE60" s="335" t="s">
        <v>238</v>
      </c>
      <c r="AF60" s="336">
        <f t="shared" si="3"/>
        <v>0.008680222056</v>
      </c>
      <c r="AG60" s="336"/>
      <c r="AH60" s="336"/>
      <c r="AI60" s="348"/>
      <c r="AJ60" s="312"/>
      <c r="AK60" s="312"/>
      <c r="AL60" s="353">
        <v>45468.0</v>
      </c>
      <c r="AM60" s="343">
        <v>20.81</v>
      </c>
      <c r="AN60" s="343">
        <v>20.81</v>
      </c>
      <c r="AO60" s="343">
        <v>20.81</v>
      </c>
      <c r="AP60" s="343">
        <v>20.81</v>
      </c>
      <c r="AQ60" s="335" t="s">
        <v>238</v>
      </c>
      <c r="AR60" s="336">
        <f t="shared" si="4"/>
        <v>0.0003364333293</v>
      </c>
      <c r="AS60" s="336"/>
      <c r="AT60" s="336"/>
      <c r="AU60" s="348"/>
      <c r="AV60" s="312"/>
      <c r="AW60" s="312"/>
      <c r="AX60" s="312"/>
      <c r="AY60" s="312"/>
      <c r="AZ60" s="312"/>
      <c r="BA60" s="312"/>
      <c r="BB60" s="312"/>
      <c r="BC60" s="312"/>
      <c r="BD60" s="316"/>
      <c r="BE60" s="316"/>
      <c r="BF60" s="316"/>
      <c r="BG60" s="316"/>
      <c r="BH60" s="316"/>
      <c r="BI60" s="316"/>
      <c r="BJ60" s="316"/>
      <c r="BK60" s="316"/>
      <c r="BL60" s="316"/>
      <c r="BM60" s="316"/>
      <c r="BN60" s="316"/>
      <c r="BO60" s="316"/>
      <c r="BP60" s="316"/>
      <c r="BQ60" s="316"/>
      <c r="BR60" s="316"/>
      <c r="BS60" s="316"/>
      <c r="BT60" s="316"/>
      <c r="BU60" s="316"/>
      <c r="BV60" s="316"/>
      <c r="BW60" s="316"/>
      <c r="BX60" s="316"/>
      <c r="BY60" s="316"/>
      <c r="BZ60" s="316"/>
      <c r="CA60" s="316"/>
      <c r="CB60" s="316"/>
      <c r="CC60" s="316"/>
      <c r="CD60" s="316"/>
    </row>
    <row r="61" ht="15.75" customHeight="1">
      <c r="A61" s="308"/>
      <c r="B61" s="362">
        <v>45469.0</v>
      </c>
      <c r="C61" s="335">
        <v>81.769</v>
      </c>
      <c r="D61" s="335">
        <v>81.769</v>
      </c>
      <c r="E61" s="335">
        <v>81.769</v>
      </c>
      <c r="F61" s="335">
        <v>81.769</v>
      </c>
      <c r="G61" s="335" t="s">
        <v>238</v>
      </c>
      <c r="H61" s="336">
        <f t="shared" si="1"/>
        <v>-0.00006114599832</v>
      </c>
      <c r="I61" s="336"/>
      <c r="J61" s="336"/>
      <c r="K61" s="348"/>
      <c r="L61" s="312"/>
      <c r="M61" s="312"/>
      <c r="N61" s="363">
        <v>45469.0</v>
      </c>
      <c r="O61" s="341">
        <v>29.232</v>
      </c>
      <c r="P61" s="341">
        <v>29.232</v>
      </c>
      <c r="Q61" s="341">
        <v>29.232</v>
      </c>
      <c r="R61" s="341">
        <v>29.232</v>
      </c>
      <c r="S61" s="335" t="s">
        <v>238</v>
      </c>
      <c r="T61" s="336">
        <f t="shared" si="2"/>
        <v>-0.004777839954</v>
      </c>
      <c r="U61" s="336"/>
      <c r="V61" s="336"/>
      <c r="W61" s="348"/>
      <c r="X61" s="312"/>
      <c r="Y61" s="312"/>
      <c r="Z61" s="363">
        <v>45469.0</v>
      </c>
      <c r="AA61" s="341">
        <v>1960.569</v>
      </c>
      <c r="AB61" s="341">
        <v>1960.569</v>
      </c>
      <c r="AC61" s="341">
        <v>1960.569</v>
      </c>
      <c r="AD61" s="341">
        <v>1960.569</v>
      </c>
      <c r="AE61" s="335" t="s">
        <v>238</v>
      </c>
      <c r="AF61" s="336">
        <f t="shared" si="3"/>
        <v>0.0006214412739</v>
      </c>
      <c r="AG61" s="336"/>
      <c r="AH61" s="336"/>
      <c r="AI61" s="348"/>
      <c r="AJ61" s="312"/>
      <c r="AK61" s="312"/>
      <c r="AL61" s="353">
        <v>45469.0</v>
      </c>
      <c r="AM61" s="343">
        <v>20.807</v>
      </c>
      <c r="AN61" s="343">
        <v>20.807</v>
      </c>
      <c r="AO61" s="343">
        <v>20.807</v>
      </c>
      <c r="AP61" s="343">
        <v>20.807</v>
      </c>
      <c r="AQ61" s="335" t="s">
        <v>238</v>
      </c>
      <c r="AR61" s="336">
        <f t="shared" si="4"/>
        <v>-0.0001441718531</v>
      </c>
      <c r="AS61" s="336"/>
      <c r="AT61" s="336"/>
      <c r="AU61" s="348"/>
      <c r="AV61" s="312"/>
      <c r="AW61" s="312"/>
      <c r="AX61" s="312"/>
      <c r="AY61" s="312"/>
      <c r="AZ61" s="312"/>
      <c r="BA61" s="312"/>
      <c r="BB61" s="312"/>
      <c r="BC61" s="312"/>
      <c r="BD61" s="316"/>
      <c r="BE61" s="316"/>
      <c r="BF61" s="316"/>
      <c r="BG61" s="316"/>
      <c r="BH61" s="316"/>
      <c r="BI61" s="316"/>
      <c r="BJ61" s="316"/>
      <c r="BK61" s="316"/>
      <c r="BL61" s="316"/>
      <c r="BM61" s="316"/>
      <c r="BN61" s="316"/>
      <c r="BO61" s="316"/>
      <c r="BP61" s="316"/>
      <c r="BQ61" s="316"/>
      <c r="BR61" s="316"/>
      <c r="BS61" s="316"/>
      <c r="BT61" s="316"/>
      <c r="BU61" s="316"/>
      <c r="BV61" s="316"/>
      <c r="BW61" s="316"/>
      <c r="BX61" s="316"/>
      <c r="BY61" s="316"/>
      <c r="BZ61" s="316"/>
      <c r="CA61" s="316"/>
      <c r="CB61" s="316"/>
      <c r="CC61" s="316"/>
      <c r="CD61" s="316"/>
    </row>
    <row r="62" ht="15.75" customHeight="1">
      <c r="A62" s="308"/>
      <c r="B62" s="362">
        <v>45470.0</v>
      </c>
      <c r="C62" s="335">
        <v>82.056</v>
      </c>
      <c r="D62" s="335">
        <v>82.056</v>
      </c>
      <c r="E62" s="335">
        <v>82.056</v>
      </c>
      <c r="F62" s="335">
        <v>82.056</v>
      </c>
      <c r="G62" s="335" t="s">
        <v>238</v>
      </c>
      <c r="H62" s="336">
        <f t="shared" si="1"/>
        <v>0.00350374233</v>
      </c>
      <c r="I62" s="336"/>
      <c r="J62" s="336"/>
      <c r="K62" s="348"/>
      <c r="L62" s="312"/>
      <c r="M62" s="312"/>
      <c r="N62" s="363">
        <v>45470.0</v>
      </c>
      <c r="O62" s="341">
        <v>29.164</v>
      </c>
      <c r="P62" s="341">
        <v>29.164</v>
      </c>
      <c r="Q62" s="341">
        <v>29.164</v>
      </c>
      <c r="R62" s="341">
        <v>29.164</v>
      </c>
      <c r="S62" s="335" t="s">
        <v>238</v>
      </c>
      <c r="T62" s="336">
        <f t="shared" si="2"/>
        <v>-0.002328927691</v>
      </c>
      <c r="U62" s="336"/>
      <c r="V62" s="336"/>
      <c r="W62" s="348"/>
      <c r="X62" s="312"/>
      <c r="Y62" s="312"/>
      <c r="Z62" s="363">
        <v>45470.0</v>
      </c>
      <c r="AA62" s="341">
        <v>1966.972</v>
      </c>
      <c r="AB62" s="341">
        <v>1966.972</v>
      </c>
      <c r="AC62" s="341">
        <v>1966.972</v>
      </c>
      <c r="AD62" s="341">
        <v>1966.972</v>
      </c>
      <c r="AE62" s="335" t="s">
        <v>238</v>
      </c>
      <c r="AF62" s="336">
        <f t="shared" si="3"/>
        <v>0.003260567196</v>
      </c>
      <c r="AG62" s="336"/>
      <c r="AH62" s="336"/>
      <c r="AI62" s="348"/>
      <c r="AJ62" s="312"/>
      <c r="AK62" s="312"/>
      <c r="AL62" s="353">
        <v>45470.0</v>
      </c>
      <c r="AM62" s="343">
        <v>20.81</v>
      </c>
      <c r="AN62" s="343">
        <v>20.81</v>
      </c>
      <c r="AO62" s="343">
        <v>20.81</v>
      </c>
      <c r="AP62" s="343">
        <v>20.81</v>
      </c>
      <c r="AQ62" s="335" t="s">
        <v>238</v>
      </c>
      <c r="AR62" s="336">
        <f t="shared" si="4"/>
        <v>0.0001441718531</v>
      </c>
      <c r="AS62" s="336"/>
      <c r="AT62" s="336"/>
      <c r="AU62" s="348"/>
      <c r="AV62" s="312"/>
      <c r="AW62" s="312"/>
      <c r="AX62" s="312"/>
      <c r="AY62" s="312"/>
      <c r="AZ62" s="312"/>
      <c r="BA62" s="312"/>
      <c r="BB62" s="312"/>
      <c r="BC62" s="312"/>
      <c r="BD62" s="316"/>
      <c r="BE62" s="316"/>
      <c r="BF62" s="316"/>
      <c r="BG62" s="316"/>
      <c r="BH62" s="316"/>
      <c r="BI62" s="316"/>
      <c r="BJ62" s="316"/>
      <c r="BK62" s="316"/>
      <c r="BL62" s="316"/>
      <c r="BM62" s="316"/>
      <c r="BN62" s="316"/>
      <c r="BO62" s="316"/>
      <c r="BP62" s="316"/>
      <c r="BQ62" s="316"/>
      <c r="BR62" s="316"/>
      <c r="BS62" s="316"/>
      <c r="BT62" s="316"/>
      <c r="BU62" s="316"/>
      <c r="BV62" s="316"/>
      <c r="BW62" s="316"/>
      <c r="BX62" s="316"/>
      <c r="BY62" s="316"/>
      <c r="BZ62" s="316"/>
      <c r="CA62" s="316"/>
      <c r="CB62" s="316"/>
      <c r="CC62" s="316"/>
      <c r="CD62" s="316"/>
    </row>
    <row r="63" ht="15.75" customHeight="1">
      <c r="A63" s="308"/>
      <c r="B63" s="362">
        <v>45471.0</v>
      </c>
      <c r="C63" s="335">
        <v>81.938</v>
      </c>
      <c r="D63" s="335">
        <v>81.938</v>
      </c>
      <c r="E63" s="335">
        <v>81.938</v>
      </c>
      <c r="F63" s="335">
        <v>81.938</v>
      </c>
      <c r="G63" s="335" t="s">
        <v>238</v>
      </c>
      <c r="H63" s="336">
        <f t="shared" si="1"/>
        <v>-0.001439077288</v>
      </c>
      <c r="I63" s="336"/>
      <c r="J63" s="336"/>
      <c r="K63" s="348"/>
      <c r="L63" s="312"/>
      <c r="M63" s="312"/>
      <c r="N63" s="363">
        <v>45471.0</v>
      </c>
      <c r="O63" s="341">
        <v>29.314</v>
      </c>
      <c r="P63" s="341">
        <v>29.314</v>
      </c>
      <c r="Q63" s="341">
        <v>29.314</v>
      </c>
      <c r="R63" s="341">
        <v>29.314</v>
      </c>
      <c r="S63" s="335" t="s">
        <v>238</v>
      </c>
      <c r="T63" s="336">
        <f t="shared" si="2"/>
        <v>0.005130145661</v>
      </c>
      <c r="U63" s="336"/>
      <c r="V63" s="336"/>
      <c r="W63" s="348"/>
      <c r="X63" s="312"/>
      <c r="Y63" s="312"/>
      <c r="Z63" s="363">
        <v>45471.0</v>
      </c>
      <c r="AA63" s="341">
        <v>1958.082</v>
      </c>
      <c r="AB63" s="341">
        <v>1958.082</v>
      </c>
      <c r="AC63" s="341">
        <v>1958.082</v>
      </c>
      <c r="AD63" s="341">
        <v>1958.082</v>
      </c>
      <c r="AE63" s="335" t="s">
        <v>238</v>
      </c>
      <c r="AF63" s="336">
        <f t="shared" si="3"/>
        <v>-0.00452988173</v>
      </c>
      <c r="AG63" s="336"/>
      <c r="AH63" s="336"/>
      <c r="AI63" s="348"/>
      <c r="AJ63" s="312"/>
      <c r="AK63" s="312"/>
      <c r="AL63" s="353">
        <v>45471.0</v>
      </c>
      <c r="AM63" s="343">
        <v>20.813</v>
      </c>
      <c r="AN63" s="343">
        <v>20.813</v>
      </c>
      <c r="AO63" s="343">
        <v>20.813</v>
      </c>
      <c r="AP63" s="343">
        <v>20.813</v>
      </c>
      <c r="AQ63" s="335" t="s">
        <v>238</v>
      </c>
      <c r="AR63" s="336">
        <f t="shared" si="4"/>
        <v>0.0001441510706</v>
      </c>
      <c r="AS63" s="336"/>
      <c r="AT63" s="336"/>
      <c r="AU63" s="348"/>
      <c r="AV63" s="312"/>
      <c r="AW63" s="312"/>
      <c r="AX63" s="312"/>
      <c r="AY63" s="312"/>
      <c r="AZ63" s="312"/>
      <c r="BA63" s="312"/>
      <c r="BB63" s="312"/>
      <c r="BC63" s="312"/>
      <c r="BD63" s="316"/>
      <c r="BE63" s="316"/>
      <c r="BF63" s="316"/>
      <c r="BG63" s="316"/>
      <c r="BH63" s="316"/>
      <c r="BI63" s="316"/>
      <c r="BJ63" s="316"/>
      <c r="BK63" s="316"/>
      <c r="BL63" s="316"/>
      <c r="BM63" s="316"/>
      <c r="BN63" s="316"/>
      <c r="BO63" s="316"/>
      <c r="BP63" s="316"/>
      <c r="BQ63" s="316"/>
      <c r="BR63" s="316"/>
      <c r="BS63" s="316"/>
      <c r="BT63" s="316"/>
      <c r="BU63" s="316"/>
      <c r="BV63" s="316"/>
      <c r="BW63" s="316"/>
      <c r="BX63" s="316"/>
      <c r="BY63" s="316"/>
      <c r="BZ63" s="316"/>
      <c r="CA63" s="316"/>
      <c r="CB63" s="316"/>
      <c r="CC63" s="316"/>
      <c r="CD63" s="316"/>
    </row>
    <row r="64" ht="15.75" customHeight="1">
      <c r="A64" s="308"/>
      <c r="B64" s="362">
        <v>45474.0</v>
      </c>
      <c r="C64" s="335">
        <v>82.505</v>
      </c>
      <c r="D64" s="335">
        <v>82.505</v>
      </c>
      <c r="E64" s="335">
        <v>82.505</v>
      </c>
      <c r="F64" s="335">
        <v>82.505</v>
      </c>
      <c r="G64" s="335" t="s">
        <v>238</v>
      </c>
      <c r="H64" s="336">
        <f t="shared" si="1"/>
        <v>0.006896033847</v>
      </c>
      <c r="I64" s="336"/>
      <c r="J64" s="336"/>
      <c r="K64" s="348"/>
      <c r="L64" s="312"/>
      <c r="M64" s="312"/>
      <c r="N64" s="363">
        <v>45474.0</v>
      </c>
      <c r="O64" s="341">
        <v>29.275</v>
      </c>
      <c r="P64" s="341">
        <v>29.275</v>
      </c>
      <c r="Q64" s="341">
        <v>29.275</v>
      </c>
      <c r="R64" s="341">
        <v>29.275</v>
      </c>
      <c r="S64" s="335" t="s">
        <v>238</v>
      </c>
      <c r="T64" s="336">
        <f t="shared" si="2"/>
        <v>-0.001331308121</v>
      </c>
      <c r="U64" s="336"/>
      <c r="V64" s="336"/>
      <c r="W64" s="348"/>
      <c r="X64" s="312"/>
      <c r="Y64" s="312"/>
      <c r="Z64" s="363">
        <v>45474.0</v>
      </c>
      <c r="AA64" s="341">
        <v>1967.11</v>
      </c>
      <c r="AB64" s="341">
        <v>1967.11</v>
      </c>
      <c r="AC64" s="341">
        <v>1967.11</v>
      </c>
      <c r="AD64" s="341">
        <v>1967.11</v>
      </c>
      <c r="AE64" s="335" t="s">
        <v>238</v>
      </c>
      <c r="AF64" s="336">
        <f t="shared" si="3"/>
        <v>0.004600037868</v>
      </c>
      <c r="AG64" s="336"/>
      <c r="AH64" s="336"/>
      <c r="AI64" s="348"/>
      <c r="AJ64" s="312"/>
      <c r="AK64" s="312"/>
      <c r="AL64" s="342">
        <v>45474.0</v>
      </c>
      <c r="AM64" s="343">
        <v>20.829</v>
      </c>
      <c r="AN64" s="343">
        <v>20.829</v>
      </c>
      <c r="AO64" s="343">
        <v>20.829</v>
      </c>
      <c r="AP64" s="343">
        <v>20.829</v>
      </c>
      <c r="AQ64" s="335" t="s">
        <v>238</v>
      </c>
      <c r="AR64" s="336">
        <f t="shared" si="4"/>
        <v>0.0007684549631</v>
      </c>
      <c r="AS64" s="336"/>
      <c r="AT64" s="336"/>
      <c r="AU64" s="348"/>
      <c r="AV64" s="312"/>
      <c r="AW64" s="312"/>
      <c r="AX64" s="312"/>
      <c r="AY64" s="312"/>
      <c r="AZ64" s="312"/>
      <c r="BA64" s="312"/>
      <c r="BB64" s="312"/>
      <c r="BC64" s="312"/>
      <c r="BD64" s="316"/>
      <c r="BE64" s="316"/>
      <c r="BF64" s="316"/>
      <c r="BG64" s="316"/>
      <c r="BH64" s="316"/>
      <c r="BI64" s="316"/>
      <c r="BJ64" s="316"/>
      <c r="BK64" s="316"/>
      <c r="BL64" s="316"/>
      <c r="BM64" s="316"/>
      <c r="BN64" s="316"/>
      <c r="BO64" s="316"/>
      <c r="BP64" s="316"/>
      <c r="BQ64" s="316"/>
      <c r="BR64" s="316"/>
      <c r="BS64" s="316"/>
      <c r="BT64" s="316"/>
      <c r="BU64" s="316"/>
      <c r="BV64" s="316"/>
      <c r="BW64" s="316"/>
      <c r="BX64" s="316"/>
      <c r="BY64" s="316"/>
      <c r="BZ64" s="316"/>
      <c r="CA64" s="316"/>
      <c r="CB64" s="316"/>
      <c r="CC64" s="316"/>
      <c r="CD64" s="316"/>
    </row>
    <row r="65" ht="15.75" customHeight="1">
      <c r="A65" s="308"/>
      <c r="B65" s="362">
        <v>45475.0</v>
      </c>
      <c r="C65" s="335">
        <v>82.525</v>
      </c>
      <c r="D65" s="335">
        <v>82.525</v>
      </c>
      <c r="E65" s="335">
        <v>82.525</v>
      </c>
      <c r="F65" s="335">
        <v>82.525</v>
      </c>
      <c r="G65" s="335" t="s">
        <v>238</v>
      </c>
      <c r="H65" s="336">
        <f t="shared" si="1"/>
        <v>0.0002423801745</v>
      </c>
      <c r="I65" s="336"/>
      <c r="J65" s="336"/>
      <c r="K65" s="348"/>
      <c r="L65" s="312"/>
      <c r="M65" s="312"/>
      <c r="N65" s="363">
        <v>45475.0</v>
      </c>
      <c r="O65" s="341">
        <v>29.357</v>
      </c>
      <c r="P65" s="341">
        <v>29.357</v>
      </c>
      <c r="Q65" s="341">
        <v>29.357</v>
      </c>
      <c r="R65" s="341">
        <v>29.357</v>
      </c>
      <c r="S65" s="335" t="s">
        <v>238</v>
      </c>
      <c r="T65" s="336">
        <f t="shared" si="2"/>
        <v>0.002797109205</v>
      </c>
      <c r="U65" s="336"/>
      <c r="V65" s="336"/>
      <c r="W65" s="348"/>
      <c r="X65" s="312"/>
      <c r="Y65" s="312"/>
      <c r="Z65" s="363">
        <v>45475.0</v>
      </c>
      <c r="AA65" s="341">
        <v>1963.919</v>
      </c>
      <c r="AB65" s="341">
        <v>1963.919</v>
      </c>
      <c r="AC65" s="341">
        <v>1963.919</v>
      </c>
      <c r="AD65" s="341">
        <v>1963.919</v>
      </c>
      <c r="AE65" s="335" t="s">
        <v>238</v>
      </c>
      <c r="AF65" s="336">
        <f t="shared" si="3"/>
        <v>-0.001623493849</v>
      </c>
      <c r="AG65" s="336"/>
      <c r="AH65" s="336"/>
      <c r="AI65" s="348"/>
      <c r="AJ65" s="312"/>
      <c r="AK65" s="312"/>
      <c r="AL65" s="342">
        <v>45475.0</v>
      </c>
      <c r="AM65" s="343">
        <v>20.834</v>
      </c>
      <c r="AN65" s="343">
        <v>20.834</v>
      </c>
      <c r="AO65" s="343">
        <v>20.834</v>
      </c>
      <c r="AP65" s="343">
        <v>20.834</v>
      </c>
      <c r="AQ65" s="335" t="s">
        <v>238</v>
      </c>
      <c r="AR65" s="336">
        <f t="shared" si="4"/>
        <v>0.000240021123</v>
      </c>
      <c r="AS65" s="336"/>
      <c r="AT65" s="336"/>
      <c r="AU65" s="348"/>
      <c r="AV65" s="312"/>
      <c r="AW65" s="312"/>
      <c r="AX65" s="312"/>
      <c r="AY65" s="312"/>
      <c r="AZ65" s="312"/>
      <c r="BA65" s="312"/>
      <c r="BB65" s="312"/>
      <c r="BC65" s="312"/>
      <c r="BD65" s="316"/>
      <c r="BE65" s="316"/>
      <c r="BF65" s="316"/>
      <c r="BG65" s="316"/>
      <c r="BH65" s="316"/>
      <c r="BI65" s="316"/>
      <c r="BJ65" s="316"/>
      <c r="BK65" s="316"/>
      <c r="BL65" s="316"/>
      <c r="BM65" s="316"/>
      <c r="BN65" s="316"/>
      <c r="BO65" s="316"/>
      <c r="BP65" s="316"/>
      <c r="BQ65" s="316"/>
      <c r="BR65" s="316"/>
      <c r="BS65" s="316"/>
      <c r="BT65" s="316"/>
      <c r="BU65" s="316"/>
      <c r="BV65" s="316"/>
      <c r="BW65" s="316"/>
      <c r="BX65" s="316"/>
      <c r="BY65" s="316"/>
      <c r="BZ65" s="316"/>
      <c r="CA65" s="316"/>
      <c r="CB65" s="316"/>
      <c r="CC65" s="316"/>
      <c r="CD65" s="316"/>
    </row>
    <row r="66" ht="15.75" customHeight="1">
      <c r="A66" s="308"/>
      <c r="B66" s="362">
        <v>45476.0</v>
      </c>
      <c r="C66" s="335">
        <v>83.288</v>
      </c>
      <c r="D66" s="335">
        <v>83.288</v>
      </c>
      <c r="E66" s="335">
        <v>83.288</v>
      </c>
      <c r="F66" s="335">
        <v>83.288</v>
      </c>
      <c r="G66" s="335" t="s">
        <v>238</v>
      </c>
      <c r="H66" s="336">
        <f t="shared" si="1"/>
        <v>0.009203203433</v>
      </c>
      <c r="I66" s="336"/>
      <c r="J66" s="336"/>
      <c r="K66" s="348"/>
      <c r="L66" s="312"/>
      <c r="M66" s="312"/>
      <c r="N66" s="363">
        <v>45476.0</v>
      </c>
      <c r="O66" s="341">
        <v>29.526</v>
      </c>
      <c r="P66" s="341">
        <v>29.526</v>
      </c>
      <c r="Q66" s="341">
        <v>29.526</v>
      </c>
      <c r="R66" s="341">
        <v>29.526</v>
      </c>
      <c r="S66" s="335" t="s">
        <v>238</v>
      </c>
      <c r="T66" s="336">
        <f t="shared" si="2"/>
        <v>0.005740212423</v>
      </c>
      <c r="U66" s="336"/>
      <c r="V66" s="336"/>
      <c r="W66" s="348"/>
      <c r="X66" s="312"/>
      <c r="Y66" s="312"/>
      <c r="Z66" s="363">
        <v>45476.0</v>
      </c>
      <c r="AA66" s="341">
        <v>1978.961</v>
      </c>
      <c r="AB66" s="341">
        <v>1978.961</v>
      </c>
      <c r="AC66" s="341">
        <v>1978.961</v>
      </c>
      <c r="AD66" s="341">
        <v>1978.961</v>
      </c>
      <c r="AE66" s="335" t="s">
        <v>238</v>
      </c>
      <c r="AF66" s="336">
        <f t="shared" si="3"/>
        <v>0.007629992784</v>
      </c>
      <c r="AG66" s="336"/>
      <c r="AH66" s="336"/>
      <c r="AI66" s="348"/>
      <c r="AJ66" s="312"/>
      <c r="AK66" s="312"/>
      <c r="AL66" s="342">
        <v>45476.0</v>
      </c>
      <c r="AM66" s="343">
        <v>20.844</v>
      </c>
      <c r="AN66" s="343">
        <v>20.844</v>
      </c>
      <c r="AO66" s="343">
        <v>20.844</v>
      </c>
      <c r="AP66" s="343">
        <v>20.844</v>
      </c>
      <c r="AQ66" s="335" t="s">
        <v>238</v>
      </c>
      <c r="AR66" s="336">
        <f t="shared" si="4"/>
        <v>0.0004798694847</v>
      </c>
      <c r="AS66" s="336"/>
      <c r="AT66" s="336"/>
      <c r="AU66" s="348"/>
      <c r="AV66" s="312"/>
      <c r="AW66" s="312"/>
      <c r="AX66" s="312"/>
      <c r="AY66" s="312"/>
      <c r="AZ66" s="312"/>
      <c r="BA66" s="312"/>
      <c r="BB66" s="312"/>
      <c r="BC66" s="312"/>
      <c r="BD66" s="316"/>
      <c r="BE66" s="316"/>
      <c r="BF66" s="316"/>
      <c r="BG66" s="316"/>
      <c r="BH66" s="316"/>
      <c r="BI66" s="316"/>
      <c r="BJ66" s="316"/>
      <c r="BK66" s="316"/>
      <c r="BL66" s="316"/>
      <c r="BM66" s="316"/>
      <c r="BN66" s="316"/>
      <c r="BO66" s="316"/>
      <c r="BP66" s="316"/>
      <c r="BQ66" s="316"/>
      <c r="BR66" s="316"/>
      <c r="BS66" s="316"/>
      <c r="BT66" s="316"/>
      <c r="BU66" s="316"/>
      <c r="BV66" s="316"/>
      <c r="BW66" s="316"/>
      <c r="BX66" s="316"/>
      <c r="BY66" s="316"/>
      <c r="BZ66" s="316"/>
      <c r="CA66" s="316"/>
      <c r="CB66" s="316"/>
      <c r="CC66" s="316"/>
      <c r="CD66" s="316"/>
    </row>
    <row r="67" ht="15.75" customHeight="1">
      <c r="A67" s="308"/>
      <c r="B67" s="334">
        <v>45477.0</v>
      </c>
      <c r="C67" s="335">
        <v>83.819</v>
      </c>
      <c r="D67" s="335">
        <v>83.819</v>
      </c>
      <c r="E67" s="335">
        <v>83.819</v>
      </c>
      <c r="F67" s="335">
        <v>83.819</v>
      </c>
      <c r="G67" s="335" t="s">
        <v>238</v>
      </c>
      <c r="H67" s="336">
        <f t="shared" si="1"/>
        <v>0.006355230926</v>
      </c>
      <c r="I67" s="336"/>
      <c r="J67" s="336"/>
      <c r="K67" s="348"/>
      <c r="L67" s="312"/>
      <c r="M67" s="312"/>
      <c r="N67" s="363">
        <v>45477.0</v>
      </c>
      <c r="O67" s="341">
        <v>29.632</v>
      </c>
      <c r="P67" s="341">
        <v>29.632</v>
      </c>
      <c r="Q67" s="341">
        <v>29.632</v>
      </c>
      <c r="R67" s="341">
        <v>29.632</v>
      </c>
      <c r="S67" s="335" t="s">
        <v>238</v>
      </c>
      <c r="T67" s="336">
        <f t="shared" si="2"/>
        <v>0.003583627352</v>
      </c>
      <c r="U67" s="336"/>
      <c r="V67" s="336"/>
      <c r="W67" s="348"/>
      <c r="X67" s="312"/>
      <c r="Y67" s="312"/>
      <c r="Z67" s="340">
        <v>45477.0</v>
      </c>
      <c r="AA67" s="341">
        <v>1987.799</v>
      </c>
      <c r="AB67" s="341">
        <v>1987.799</v>
      </c>
      <c r="AC67" s="341">
        <v>1987.799</v>
      </c>
      <c r="AD67" s="341">
        <v>1987.799</v>
      </c>
      <c r="AE67" s="335" t="s">
        <v>238</v>
      </c>
      <c r="AF67" s="336">
        <f t="shared" si="3"/>
        <v>0.004456036979</v>
      </c>
      <c r="AG67" s="336"/>
      <c r="AH67" s="336"/>
      <c r="AI67" s="348"/>
      <c r="AJ67" s="312"/>
      <c r="AK67" s="312"/>
      <c r="AL67" s="342">
        <v>45477.0</v>
      </c>
      <c r="AM67" s="343">
        <v>20.85</v>
      </c>
      <c r="AN67" s="343">
        <v>20.85</v>
      </c>
      <c r="AO67" s="343">
        <v>20.85</v>
      </c>
      <c r="AP67" s="343">
        <v>20.85</v>
      </c>
      <c r="AQ67" s="335" t="s">
        <v>238</v>
      </c>
      <c r="AR67" s="336">
        <f t="shared" si="4"/>
        <v>0.0002878111978</v>
      </c>
      <c r="AS67" s="336"/>
      <c r="AT67" s="336"/>
      <c r="AU67" s="348"/>
      <c r="AV67" s="312"/>
      <c r="AW67" s="312"/>
      <c r="AX67" s="312"/>
      <c r="AY67" s="312"/>
      <c r="AZ67" s="312"/>
      <c r="BA67" s="312"/>
      <c r="BB67" s="312"/>
      <c r="BC67" s="312"/>
      <c r="BD67" s="316"/>
      <c r="BE67" s="316"/>
      <c r="BF67" s="316"/>
      <c r="BG67" s="316"/>
      <c r="BH67" s="316"/>
      <c r="BI67" s="316"/>
      <c r="BJ67" s="316"/>
      <c r="BK67" s="316"/>
      <c r="BL67" s="316"/>
      <c r="BM67" s="316"/>
      <c r="BN67" s="316"/>
      <c r="BO67" s="316"/>
      <c r="BP67" s="316"/>
      <c r="BQ67" s="316"/>
      <c r="BR67" s="316"/>
      <c r="BS67" s="316"/>
      <c r="BT67" s="316"/>
      <c r="BU67" s="316"/>
      <c r="BV67" s="316"/>
      <c r="BW67" s="316"/>
      <c r="BX67" s="316"/>
      <c r="BY67" s="316"/>
      <c r="BZ67" s="316"/>
      <c r="CA67" s="316"/>
      <c r="CB67" s="316"/>
      <c r="CC67" s="316"/>
      <c r="CD67" s="316"/>
    </row>
    <row r="68" ht="15.75" customHeight="1">
      <c r="A68" s="308"/>
      <c r="B68" s="334">
        <v>45478.0</v>
      </c>
      <c r="C68" s="335">
        <v>83.921</v>
      </c>
      <c r="D68" s="335">
        <v>83.921</v>
      </c>
      <c r="E68" s="335">
        <v>83.921</v>
      </c>
      <c r="F68" s="335">
        <v>83.921</v>
      </c>
      <c r="G68" s="335" t="s">
        <v>238</v>
      </c>
      <c r="H68" s="336">
        <f t="shared" si="1"/>
        <v>0.001216168029</v>
      </c>
      <c r="I68" s="336"/>
      <c r="J68" s="336"/>
      <c r="K68" s="348"/>
      <c r="L68" s="312"/>
      <c r="M68" s="312"/>
      <c r="N68" s="363">
        <v>45478.0</v>
      </c>
      <c r="O68" s="341">
        <v>29.724</v>
      </c>
      <c r="P68" s="341">
        <v>29.724</v>
      </c>
      <c r="Q68" s="341">
        <v>29.724</v>
      </c>
      <c r="R68" s="341">
        <v>29.724</v>
      </c>
      <c r="S68" s="335" t="s">
        <v>238</v>
      </c>
      <c r="T68" s="336">
        <f t="shared" si="2"/>
        <v>0.003099941831</v>
      </c>
      <c r="U68" s="336"/>
      <c r="V68" s="336"/>
      <c r="W68" s="348"/>
      <c r="X68" s="312"/>
      <c r="Y68" s="312"/>
      <c r="Z68" s="340">
        <v>45478.0</v>
      </c>
      <c r="AA68" s="341">
        <v>1987.268</v>
      </c>
      <c r="AB68" s="341">
        <v>1987.268</v>
      </c>
      <c r="AC68" s="341">
        <v>1987.268</v>
      </c>
      <c r="AD68" s="341">
        <v>1987.268</v>
      </c>
      <c r="AE68" s="335" t="s">
        <v>238</v>
      </c>
      <c r="AF68" s="336">
        <f t="shared" si="3"/>
        <v>-0.0002671653097</v>
      </c>
      <c r="AG68" s="336"/>
      <c r="AH68" s="336"/>
      <c r="AI68" s="348"/>
      <c r="AJ68" s="312"/>
      <c r="AK68" s="312"/>
      <c r="AL68" s="342">
        <v>45478.0</v>
      </c>
      <c r="AM68" s="343">
        <v>20.853</v>
      </c>
      <c r="AN68" s="343">
        <v>20.853</v>
      </c>
      <c r="AO68" s="343">
        <v>20.853</v>
      </c>
      <c r="AP68" s="343">
        <v>20.853</v>
      </c>
      <c r="AQ68" s="335" t="s">
        <v>238</v>
      </c>
      <c r="AR68" s="336">
        <f t="shared" si="4"/>
        <v>0.0001438745416</v>
      </c>
      <c r="AS68" s="336"/>
      <c r="AT68" s="336"/>
      <c r="AU68" s="348"/>
      <c r="AV68" s="312"/>
      <c r="AW68" s="312"/>
      <c r="AX68" s="312"/>
      <c r="AY68" s="312"/>
      <c r="AZ68" s="312"/>
      <c r="BA68" s="312"/>
      <c r="BB68" s="312"/>
      <c r="BC68" s="312"/>
      <c r="BD68" s="316"/>
      <c r="BE68" s="316"/>
      <c r="BF68" s="316"/>
      <c r="BG68" s="316"/>
      <c r="BH68" s="316"/>
      <c r="BI68" s="316"/>
      <c r="BJ68" s="316"/>
      <c r="BK68" s="316"/>
      <c r="BL68" s="316"/>
      <c r="BM68" s="316"/>
      <c r="BN68" s="316"/>
      <c r="BO68" s="316"/>
      <c r="BP68" s="316"/>
      <c r="BQ68" s="316"/>
      <c r="BR68" s="316"/>
      <c r="BS68" s="316"/>
      <c r="BT68" s="316"/>
      <c r="BU68" s="316"/>
      <c r="BV68" s="316"/>
      <c r="BW68" s="316"/>
      <c r="BX68" s="316"/>
      <c r="BY68" s="316"/>
      <c r="BZ68" s="316"/>
      <c r="CA68" s="316"/>
      <c r="CB68" s="316"/>
      <c r="CC68" s="316"/>
      <c r="CD68" s="316"/>
    </row>
    <row r="69" ht="15.75" customHeight="1">
      <c r="A69" s="308"/>
      <c r="B69" s="334">
        <v>45481.0</v>
      </c>
      <c r="C69" s="335">
        <v>83.978</v>
      </c>
      <c r="D69" s="335">
        <v>83.978</v>
      </c>
      <c r="E69" s="335">
        <v>83.978</v>
      </c>
      <c r="F69" s="335">
        <v>83.978</v>
      </c>
      <c r="G69" s="335" t="s">
        <v>238</v>
      </c>
      <c r="H69" s="336">
        <f t="shared" si="1"/>
        <v>0.0006789796507</v>
      </c>
      <c r="I69" s="336"/>
      <c r="J69" s="336"/>
      <c r="K69" s="348"/>
      <c r="L69" s="312"/>
      <c r="M69" s="312"/>
      <c r="N69" s="363">
        <v>45481.0</v>
      </c>
      <c r="O69" s="341">
        <v>29.767</v>
      </c>
      <c r="P69" s="341">
        <v>29.767</v>
      </c>
      <c r="Q69" s="341">
        <v>29.767</v>
      </c>
      <c r="R69" s="341">
        <v>29.767</v>
      </c>
      <c r="S69" s="335" t="s">
        <v>238</v>
      </c>
      <c r="T69" s="336">
        <f t="shared" si="2"/>
        <v>0.001445597065</v>
      </c>
      <c r="U69" s="336"/>
      <c r="V69" s="336"/>
      <c r="W69" s="348"/>
      <c r="X69" s="312"/>
      <c r="Y69" s="312"/>
      <c r="Z69" s="340">
        <v>45481.0</v>
      </c>
      <c r="AA69" s="341">
        <v>1984.904</v>
      </c>
      <c r="AB69" s="341">
        <v>1984.904</v>
      </c>
      <c r="AC69" s="341">
        <v>1984.904</v>
      </c>
      <c r="AD69" s="341">
        <v>1984.904</v>
      </c>
      <c r="AE69" s="335" t="s">
        <v>238</v>
      </c>
      <c r="AF69" s="336">
        <f t="shared" si="3"/>
        <v>-0.001190280924</v>
      </c>
      <c r="AG69" s="336"/>
      <c r="AH69" s="336"/>
      <c r="AI69" s="348"/>
      <c r="AJ69" s="312"/>
      <c r="AK69" s="312"/>
      <c r="AL69" s="342">
        <v>45481.0</v>
      </c>
      <c r="AM69" s="343">
        <v>20.865</v>
      </c>
      <c r="AN69" s="343">
        <v>20.865</v>
      </c>
      <c r="AO69" s="343">
        <v>20.865</v>
      </c>
      <c r="AP69" s="343">
        <v>20.865</v>
      </c>
      <c r="AQ69" s="335" t="s">
        <v>238</v>
      </c>
      <c r="AR69" s="336">
        <f t="shared" si="4"/>
        <v>0.0005752912571</v>
      </c>
      <c r="AS69" s="336"/>
      <c r="AT69" s="336"/>
      <c r="AU69" s="348"/>
      <c r="AV69" s="312"/>
      <c r="AW69" s="312"/>
      <c r="AX69" s="312"/>
      <c r="AY69" s="312"/>
      <c r="AZ69" s="312"/>
      <c r="BA69" s="312"/>
      <c r="BB69" s="312"/>
      <c r="BC69" s="312"/>
      <c r="BD69" s="316"/>
      <c r="BE69" s="316"/>
      <c r="BF69" s="316"/>
      <c r="BG69" s="316"/>
      <c r="BH69" s="316"/>
      <c r="BI69" s="316"/>
      <c r="BJ69" s="316"/>
      <c r="BK69" s="316"/>
      <c r="BL69" s="316"/>
      <c r="BM69" s="316"/>
      <c r="BN69" s="316"/>
      <c r="BO69" s="316"/>
      <c r="BP69" s="316"/>
      <c r="BQ69" s="316"/>
      <c r="BR69" s="316"/>
      <c r="BS69" s="316"/>
      <c r="BT69" s="316"/>
      <c r="BU69" s="316"/>
      <c r="BV69" s="316"/>
      <c r="BW69" s="316"/>
      <c r="BX69" s="316"/>
      <c r="BY69" s="316"/>
      <c r="BZ69" s="316"/>
      <c r="CA69" s="316"/>
      <c r="CB69" s="316"/>
      <c r="CC69" s="316"/>
      <c r="CD69" s="316"/>
    </row>
    <row r="70" ht="15.75" customHeight="1">
      <c r="A70" s="308"/>
      <c r="B70" s="334">
        <v>45482.0</v>
      </c>
      <c r="C70" s="335">
        <v>84.364</v>
      </c>
      <c r="D70" s="335">
        <v>84.364</v>
      </c>
      <c r="E70" s="335">
        <v>84.364</v>
      </c>
      <c r="F70" s="335">
        <v>84.364</v>
      </c>
      <c r="G70" s="335" t="s">
        <v>238</v>
      </c>
      <c r="H70" s="336">
        <f t="shared" si="1"/>
        <v>0.004585910545</v>
      </c>
      <c r="I70" s="336"/>
      <c r="J70" s="336"/>
      <c r="K70" s="348"/>
      <c r="L70" s="312"/>
      <c r="M70" s="312"/>
      <c r="N70" s="363">
        <v>45482.0</v>
      </c>
      <c r="O70" s="341">
        <v>29.675</v>
      </c>
      <c r="P70" s="341">
        <v>29.675</v>
      </c>
      <c r="Q70" s="341">
        <v>29.675</v>
      </c>
      <c r="R70" s="341">
        <v>29.675</v>
      </c>
      <c r="S70" s="335" t="s">
        <v>238</v>
      </c>
      <c r="T70" s="336">
        <f t="shared" si="2"/>
        <v>-0.003095456864</v>
      </c>
      <c r="U70" s="336"/>
      <c r="V70" s="336"/>
      <c r="W70" s="348"/>
      <c r="X70" s="312"/>
      <c r="Y70" s="312"/>
      <c r="Z70" s="340">
        <v>45482.0</v>
      </c>
      <c r="AA70" s="341">
        <v>1997.182</v>
      </c>
      <c r="AB70" s="341">
        <v>1997.182</v>
      </c>
      <c r="AC70" s="341">
        <v>1997.182</v>
      </c>
      <c r="AD70" s="341">
        <v>1997.182</v>
      </c>
      <c r="AE70" s="335" t="s">
        <v>238</v>
      </c>
      <c r="AF70" s="336">
        <f t="shared" si="3"/>
        <v>0.006166636737</v>
      </c>
      <c r="AG70" s="336"/>
      <c r="AH70" s="336"/>
      <c r="AI70" s="348"/>
      <c r="AJ70" s="312"/>
      <c r="AK70" s="312"/>
      <c r="AL70" s="342">
        <v>45482.0</v>
      </c>
      <c r="AM70" s="343">
        <v>20.872</v>
      </c>
      <c r="AN70" s="343">
        <v>20.872</v>
      </c>
      <c r="AO70" s="343">
        <v>20.872</v>
      </c>
      <c r="AP70" s="343">
        <v>20.872</v>
      </c>
      <c r="AQ70" s="335" t="s">
        <v>238</v>
      </c>
      <c r="AR70" s="336">
        <f t="shared" si="4"/>
        <v>0.0003354337909</v>
      </c>
      <c r="AS70" s="336"/>
      <c r="AT70" s="336"/>
      <c r="AU70" s="348"/>
      <c r="AV70" s="312"/>
      <c r="AW70" s="312"/>
      <c r="AX70" s="312"/>
      <c r="AY70" s="312"/>
      <c r="AZ70" s="312"/>
      <c r="BA70" s="312"/>
      <c r="BB70" s="312"/>
      <c r="BC70" s="312"/>
      <c r="BD70" s="316"/>
      <c r="BE70" s="316"/>
      <c r="BF70" s="316"/>
      <c r="BG70" s="316"/>
      <c r="BH70" s="316"/>
      <c r="BI70" s="316"/>
      <c r="BJ70" s="316"/>
      <c r="BK70" s="316"/>
      <c r="BL70" s="316"/>
      <c r="BM70" s="316"/>
      <c r="BN70" s="316"/>
      <c r="BO70" s="316"/>
      <c r="BP70" s="316"/>
      <c r="BQ70" s="316"/>
      <c r="BR70" s="316"/>
      <c r="BS70" s="316"/>
      <c r="BT70" s="316"/>
      <c r="BU70" s="316"/>
      <c r="BV70" s="316"/>
      <c r="BW70" s="316"/>
      <c r="BX70" s="316"/>
      <c r="BY70" s="316"/>
      <c r="BZ70" s="316"/>
      <c r="CA70" s="316"/>
      <c r="CB70" s="316"/>
      <c r="CC70" s="316"/>
      <c r="CD70" s="316"/>
    </row>
    <row r="71" ht="15.75" customHeight="1">
      <c r="A71" s="308"/>
      <c r="B71" s="334">
        <v>45483.0</v>
      </c>
      <c r="C71" s="335">
        <v>84.197</v>
      </c>
      <c r="D71" s="335">
        <v>84.197</v>
      </c>
      <c r="E71" s="335">
        <v>84.197</v>
      </c>
      <c r="F71" s="335">
        <v>84.197</v>
      </c>
      <c r="G71" s="335" t="s">
        <v>238</v>
      </c>
      <c r="H71" s="336">
        <f t="shared" si="1"/>
        <v>-0.001981479164</v>
      </c>
      <c r="I71" s="336"/>
      <c r="J71" s="336"/>
      <c r="K71" s="348"/>
      <c r="L71" s="312"/>
      <c r="M71" s="312"/>
      <c r="N71" s="363">
        <v>45483.0</v>
      </c>
      <c r="O71" s="341">
        <v>29.753</v>
      </c>
      <c r="P71" s="341">
        <v>29.753</v>
      </c>
      <c r="Q71" s="341">
        <v>29.753</v>
      </c>
      <c r="R71" s="341">
        <v>29.753</v>
      </c>
      <c r="S71" s="335" t="s">
        <v>238</v>
      </c>
      <c r="T71" s="336">
        <f t="shared" si="2"/>
        <v>0.002625026748</v>
      </c>
      <c r="U71" s="336"/>
      <c r="V71" s="336"/>
      <c r="W71" s="348"/>
      <c r="X71" s="312"/>
      <c r="Y71" s="312"/>
      <c r="Z71" s="340">
        <v>45483.0</v>
      </c>
      <c r="AA71" s="341">
        <v>1992.359</v>
      </c>
      <c r="AB71" s="341">
        <v>1992.359</v>
      </c>
      <c r="AC71" s="341">
        <v>1992.359</v>
      </c>
      <c r="AD71" s="341">
        <v>1992.359</v>
      </c>
      <c r="AE71" s="335" t="s">
        <v>238</v>
      </c>
      <c r="AF71" s="336">
        <f t="shared" si="3"/>
        <v>-0.002417823178</v>
      </c>
      <c r="AG71" s="336"/>
      <c r="AH71" s="336"/>
      <c r="AI71" s="348"/>
      <c r="AJ71" s="312"/>
      <c r="AK71" s="312"/>
      <c r="AL71" s="353">
        <v>45483.0</v>
      </c>
      <c r="AM71" s="343">
        <v>20.895</v>
      </c>
      <c r="AN71" s="343">
        <v>20.895</v>
      </c>
      <c r="AO71" s="343">
        <v>20.895</v>
      </c>
      <c r="AP71" s="343">
        <v>20.895</v>
      </c>
      <c r="AQ71" s="335" t="s">
        <v>238</v>
      </c>
      <c r="AR71" s="336">
        <f t="shared" si="4"/>
        <v>0.001101348065</v>
      </c>
      <c r="AS71" s="336"/>
      <c r="AT71" s="336"/>
      <c r="AU71" s="348"/>
      <c r="AV71" s="312"/>
      <c r="AW71" s="312"/>
      <c r="AX71" s="312"/>
      <c r="AY71" s="312"/>
      <c r="AZ71" s="312"/>
      <c r="BA71" s="312"/>
      <c r="BB71" s="312"/>
      <c r="BC71" s="312"/>
      <c r="BD71" s="316"/>
      <c r="BE71" s="316"/>
      <c r="BF71" s="316"/>
      <c r="BG71" s="316"/>
      <c r="BH71" s="316"/>
      <c r="BI71" s="316"/>
      <c r="BJ71" s="316"/>
      <c r="BK71" s="316"/>
      <c r="BL71" s="316"/>
      <c r="BM71" s="316"/>
      <c r="BN71" s="316"/>
      <c r="BO71" s="316"/>
      <c r="BP71" s="316"/>
      <c r="BQ71" s="316"/>
      <c r="BR71" s="316"/>
      <c r="BS71" s="316"/>
      <c r="BT71" s="316"/>
      <c r="BU71" s="316"/>
      <c r="BV71" s="316"/>
      <c r="BW71" s="316"/>
      <c r="BX71" s="316"/>
      <c r="BY71" s="316"/>
      <c r="BZ71" s="316"/>
      <c r="CA71" s="316"/>
      <c r="CB71" s="316"/>
      <c r="CC71" s="316"/>
      <c r="CD71" s="316"/>
    </row>
    <row r="72" ht="15.75" customHeight="1">
      <c r="A72" s="308"/>
      <c r="B72" s="334">
        <v>45484.0</v>
      </c>
      <c r="C72" s="335">
        <v>84.009</v>
      </c>
      <c r="D72" s="335">
        <v>84.009</v>
      </c>
      <c r="E72" s="335">
        <v>84.009</v>
      </c>
      <c r="F72" s="335">
        <v>84.009</v>
      </c>
      <c r="G72" s="335" t="s">
        <v>238</v>
      </c>
      <c r="H72" s="336">
        <f t="shared" si="1"/>
        <v>-0.002235355199</v>
      </c>
      <c r="I72" s="336"/>
      <c r="J72" s="336"/>
      <c r="K72" s="348"/>
      <c r="L72" s="312"/>
      <c r="M72" s="312"/>
      <c r="N72" s="340">
        <v>45484.0</v>
      </c>
      <c r="O72" s="341">
        <v>29.82</v>
      </c>
      <c r="P72" s="341">
        <v>29.82</v>
      </c>
      <c r="Q72" s="341">
        <v>29.82</v>
      </c>
      <c r="R72" s="341">
        <v>29.82</v>
      </c>
      <c r="S72" s="335" t="s">
        <v>238</v>
      </c>
      <c r="T72" s="336">
        <f t="shared" si="2"/>
        <v>0.002249342093</v>
      </c>
      <c r="U72" s="336"/>
      <c r="V72" s="336"/>
      <c r="W72" s="348"/>
      <c r="X72" s="312"/>
      <c r="Y72" s="312"/>
      <c r="Z72" s="340">
        <v>45484.0</v>
      </c>
      <c r="AA72" s="341">
        <v>1992.476</v>
      </c>
      <c r="AB72" s="341">
        <v>1992.476</v>
      </c>
      <c r="AC72" s="341">
        <v>1992.476</v>
      </c>
      <c r="AD72" s="341">
        <v>1992.476</v>
      </c>
      <c r="AE72" s="335" t="s">
        <v>238</v>
      </c>
      <c r="AF72" s="336">
        <f t="shared" si="3"/>
        <v>0.0000587226322</v>
      </c>
      <c r="AG72" s="336"/>
      <c r="AH72" s="336"/>
      <c r="AI72" s="348"/>
      <c r="AJ72" s="312"/>
      <c r="AK72" s="312"/>
      <c r="AL72" s="353">
        <v>45484.0</v>
      </c>
      <c r="AM72" s="343">
        <v>20.899</v>
      </c>
      <c r="AN72" s="343">
        <v>20.899</v>
      </c>
      <c r="AO72" s="343">
        <v>20.899</v>
      </c>
      <c r="AP72" s="343">
        <v>20.899</v>
      </c>
      <c r="AQ72" s="335" t="s">
        <v>238</v>
      </c>
      <c r="AR72" s="336">
        <f t="shared" si="4"/>
        <v>0.0001914150362</v>
      </c>
      <c r="AS72" s="336"/>
      <c r="AT72" s="336"/>
      <c r="AU72" s="348"/>
      <c r="AV72" s="312"/>
      <c r="AW72" s="312"/>
      <c r="AX72" s="312"/>
      <c r="AY72" s="312"/>
      <c r="AZ72" s="312"/>
      <c r="BA72" s="312"/>
      <c r="BB72" s="312"/>
      <c r="BC72" s="312"/>
      <c r="BD72" s="316"/>
      <c r="BE72" s="316"/>
      <c r="BF72" s="316"/>
      <c r="BG72" s="316"/>
      <c r="BH72" s="316"/>
      <c r="BI72" s="316"/>
      <c r="BJ72" s="316"/>
      <c r="BK72" s="316"/>
      <c r="BL72" s="316"/>
      <c r="BM72" s="316"/>
      <c r="BN72" s="316"/>
      <c r="BO72" s="316"/>
      <c r="BP72" s="316"/>
      <c r="BQ72" s="316"/>
      <c r="BR72" s="316"/>
      <c r="BS72" s="316"/>
      <c r="BT72" s="316"/>
      <c r="BU72" s="316"/>
      <c r="BV72" s="316"/>
      <c r="BW72" s="316"/>
      <c r="BX72" s="316"/>
      <c r="BY72" s="316"/>
      <c r="BZ72" s="316"/>
      <c r="CA72" s="316"/>
      <c r="CB72" s="316"/>
      <c r="CC72" s="316"/>
      <c r="CD72" s="316"/>
    </row>
    <row r="73" ht="15.75" customHeight="1">
      <c r="A73" s="308"/>
      <c r="B73" s="334">
        <v>45485.0</v>
      </c>
      <c r="C73" s="335">
        <v>84.107</v>
      </c>
      <c r="D73" s="335">
        <v>84.107</v>
      </c>
      <c r="E73" s="335">
        <v>84.107</v>
      </c>
      <c r="F73" s="335">
        <v>84.107</v>
      </c>
      <c r="G73" s="335" t="s">
        <v>238</v>
      </c>
      <c r="H73" s="336">
        <f t="shared" si="1"/>
        <v>0.001165861799</v>
      </c>
      <c r="I73" s="336"/>
      <c r="J73" s="336"/>
      <c r="K73" s="348"/>
      <c r="L73" s="312"/>
      <c r="M73" s="312"/>
      <c r="N73" s="340">
        <v>45485.0</v>
      </c>
      <c r="O73" s="341">
        <v>29.922</v>
      </c>
      <c r="P73" s="341">
        <v>29.922</v>
      </c>
      <c r="Q73" s="341">
        <v>29.922</v>
      </c>
      <c r="R73" s="341">
        <v>29.922</v>
      </c>
      <c r="S73" s="335" t="s">
        <v>238</v>
      </c>
      <c r="T73" s="336">
        <f t="shared" si="2"/>
        <v>0.003414686455</v>
      </c>
      <c r="U73" s="336"/>
      <c r="V73" s="336"/>
      <c r="W73" s="348"/>
      <c r="X73" s="312"/>
      <c r="Y73" s="312"/>
      <c r="Z73" s="340">
        <v>45485.0</v>
      </c>
      <c r="AA73" s="341">
        <v>2000.936</v>
      </c>
      <c r="AB73" s="341">
        <v>2000.936</v>
      </c>
      <c r="AC73" s="341">
        <v>2000.936</v>
      </c>
      <c r="AD73" s="341">
        <v>2000.936</v>
      </c>
      <c r="AE73" s="335" t="s">
        <v>238</v>
      </c>
      <c r="AF73" s="336">
        <f t="shared" si="3"/>
        <v>0.004236984642</v>
      </c>
      <c r="AG73" s="336"/>
      <c r="AH73" s="336"/>
      <c r="AI73" s="348"/>
      <c r="AJ73" s="312"/>
      <c r="AK73" s="312"/>
      <c r="AL73" s="353">
        <v>45485.0</v>
      </c>
      <c r="AM73" s="343">
        <v>20.906</v>
      </c>
      <c r="AN73" s="343">
        <v>20.906</v>
      </c>
      <c r="AO73" s="343">
        <v>20.906</v>
      </c>
      <c r="AP73" s="343">
        <v>20.906</v>
      </c>
      <c r="AQ73" s="335" t="s">
        <v>238</v>
      </c>
      <c r="AR73" s="336">
        <f t="shared" si="4"/>
        <v>0.0003348881744</v>
      </c>
      <c r="AS73" s="336"/>
      <c r="AT73" s="336"/>
      <c r="AU73" s="348"/>
      <c r="AV73" s="312"/>
      <c r="AW73" s="312"/>
      <c r="AX73" s="312"/>
      <c r="AY73" s="312"/>
      <c r="AZ73" s="312"/>
      <c r="BA73" s="312"/>
      <c r="BB73" s="312"/>
      <c r="BC73" s="312"/>
      <c r="BD73" s="316"/>
      <c r="BE73" s="316"/>
      <c r="BF73" s="316"/>
      <c r="BG73" s="316"/>
      <c r="BH73" s="316"/>
      <c r="BI73" s="316"/>
      <c r="BJ73" s="316"/>
      <c r="BK73" s="316"/>
      <c r="BL73" s="316"/>
      <c r="BM73" s="316"/>
      <c r="BN73" s="316"/>
      <c r="BO73" s="316"/>
      <c r="BP73" s="316"/>
      <c r="BQ73" s="316"/>
      <c r="BR73" s="316"/>
      <c r="BS73" s="316"/>
      <c r="BT73" s="316"/>
      <c r="BU73" s="316"/>
      <c r="BV73" s="316"/>
      <c r="BW73" s="316"/>
      <c r="BX73" s="316"/>
      <c r="BY73" s="316"/>
      <c r="BZ73" s="316"/>
      <c r="CA73" s="316"/>
      <c r="CB73" s="316"/>
      <c r="CC73" s="316"/>
      <c r="CD73" s="316"/>
    </row>
    <row r="74" ht="15.75" customHeight="1">
      <c r="A74" s="308"/>
      <c r="B74" s="362">
        <v>45488.0</v>
      </c>
      <c r="C74" s="335">
        <v>84.312</v>
      </c>
      <c r="D74" s="335">
        <v>84.312</v>
      </c>
      <c r="E74" s="335">
        <v>84.312</v>
      </c>
      <c r="F74" s="335">
        <v>84.312</v>
      </c>
      <c r="G74" s="335" t="s">
        <v>238</v>
      </c>
      <c r="H74" s="336">
        <f t="shared" si="1"/>
        <v>0.002434405872</v>
      </c>
      <c r="I74" s="336"/>
      <c r="J74" s="336"/>
      <c r="K74" s="348"/>
      <c r="L74" s="312"/>
      <c r="M74" s="312"/>
      <c r="N74" s="340">
        <v>45488.0</v>
      </c>
      <c r="O74" s="341">
        <v>29.936</v>
      </c>
      <c r="P74" s="341">
        <v>29.936</v>
      </c>
      <c r="Q74" s="341">
        <v>29.936</v>
      </c>
      <c r="R74" s="341">
        <v>29.936</v>
      </c>
      <c r="S74" s="335" t="s">
        <v>238</v>
      </c>
      <c r="T74" s="336">
        <f t="shared" si="2"/>
        <v>0.0004677737397</v>
      </c>
      <c r="U74" s="336"/>
      <c r="V74" s="336"/>
      <c r="W74" s="348"/>
      <c r="X74" s="312"/>
      <c r="Y74" s="312"/>
      <c r="Z74" s="363">
        <v>45488.0</v>
      </c>
      <c r="AA74" s="341">
        <v>2007.897</v>
      </c>
      <c r="AB74" s="341">
        <v>2007.897</v>
      </c>
      <c r="AC74" s="341">
        <v>2007.897</v>
      </c>
      <c r="AD74" s="341">
        <v>2007.897</v>
      </c>
      <c r="AE74" s="335" t="s">
        <v>238</v>
      </c>
      <c r="AF74" s="336">
        <f t="shared" si="3"/>
        <v>0.003472834611</v>
      </c>
      <c r="AG74" s="336"/>
      <c r="AH74" s="336"/>
      <c r="AI74" s="348"/>
      <c r="AJ74" s="312"/>
      <c r="AK74" s="312"/>
      <c r="AL74" s="353">
        <v>45488.0</v>
      </c>
      <c r="AM74" s="343">
        <v>20.919</v>
      </c>
      <c r="AN74" s="343">
        <v>20.919</v>
      </c>
      <c r="AO74" s="343">
        <v>20.919</v>
      </c>
      <c r="AP74" s="343">
        <v>20.919</v>
      </c>
      <c r="AQ74" s="335" t="s">
        <v>238</v>
      </c>
      <c r="AR74" s="336">
        <f t="shared" si="4"/>
        <v>0.0006216377965</v>
      </c>
      <c r="AS74" s="336"/>
      <c r="AT74" s="336"/>
      <c r="AU74" s="348"/>
      <c r="AV74" s="312"/>
      <c r="AW74" s="312"/>
      <c r="AX74" s="312"/>
      <c r="AY74" s="312"/>
      <c r="AZ74" s="312"/>
      <c r="BA74" s="312"/>
      <c r="BB74" s="312"/>
      <c r="BC74" s="312"/>
      <c r="BD74" s="316"/>
      <c r="BE74" s="316"/>
      <c r="BF74" s="316"/>
      <c r="BG74" s="316"/>
      <c r="BH74" s="316"/>
      <c r="BI74" s="316"/>
      <c r="BJ74" s="316"/>
      <c r="BK74" s="316"/>
      <c r="BL74" s="316"/>
      <c r="BM74" s="316"/>
      <c r="BN74" s="316"/>
      <c r="BO74" s="316"/>
      <c r="BP74" s="316"/>
      <c r="BQ74" s="316"/>
      <c r="BR74" s="316"/>
      <c r="BS74" s="316"/>
      <c r="BT74" s="316"/>
      <c r="BU74" s="316"/>
      <c r="BV74" s="316"/>
      <c r="BW74" s="316"/>
      <c r="BX74" s="316"/>
      <c r="BY74" s="316"/>
      <c r="BZ74" s="316"/>
      <c r="CA74" s="316"/>
      <c r="CB74" s="316"/>
      <c r="CC74" s="316"/>
      <c r="CD74" s="316"/>
    </row>
    <row r="75" ht="15.75" customHeight="1">
      <c r="A75" s="308"/>
      <c r="B75" s="362">
        <v>45489.0</v>
      </c>
      <c r="C75" s="335">
        <v>84.306</v>
      </c>
      <c r="D75" s="335">
        <v>84.306</v>
      </c>
      <c r="E75" s="335">
        <v>84.306</v>
      </c>
      <c r="F75" s="335">
        <v>84.306</v>
      </c>
      <c r="G75" s="335" t="s">
        <v>238</v>
      </c>
      <c r="H75" s="336">
        <f t="shared" si="1"/>
        <v>-0.00007116677938</v>
      </c>
      <c r="I75" s="336"/>
      <c r="J75" s="336"/>
      <c r="K75" s="348"/>
      <c r="L75" s="312"/>
      <c r="M75" s="312"/>
      <c r="N75" s="340">
        <v>45489.0</v>
      </c>
      <c r="O75" s="341">
        <v>30.187</v>
      </c>
      <c r="P75" s="341">
        <v>30.187</v>
      </c>
      <c r="Q75" s="341">
        <v>30.187</v>
      </c>
      <c r="R75" s="341">
        <v>30.187</v>
      </c>
      <c r="S75" s="335" t="s">
        <v>238</v>
      </c>
      <c r="T75" s="336">
        <f t="shared" si="2"/>
        <v>0.008349598597</v>
      </c>
      <c r="U75" s="336"/>
      <c r="V75" s="336"/>
      <c r="W75" s="348"/>
      <c r="X75" s="312"/>
      <c r="Y75" s="312"/>
      <c r="Z75" s="363">
        <v>45489.0</v>
      </c>
      <c r="AA75" s="341">
        <v>2009.716</v>
      </c>
      <c r="AB75" s="341">
        <v>2009.716</v>
      </c>
      <c r="AC75" s="341">
        <v>2009.716</v>
      </c>
      <c r="AD75" s="341">
        <v>2009.716</v>
      </c>
      <c r="AE75" s="335" t="s">
        <v>238</v>
      </c>
      <c r="AF75" s="336">
        <f t="shared" si="3"/>
        <v>0.0009055128626</v>
      </c>
      <c r="AG75" s="336"/>
      <c r="AH75" s="336"/>
      <c r="AI75" s="348"/>
      <c r="AJ75" s="312"/>
      <c r="AK75" s="312"/>
      <c r="AL75" s="353">
        <v>45489.0</v>
      </c>
      <c r="AM75" s="343">
        <v>20.929</v>
      </c>
      <c r="AN75" s="343">
        <v>20.929</v>
      </c>
      <c r="AO75" s="343">
        <v>20.929</v>
      </c>
      <c r="AP75" s="343">
        <v>20.929</v>
      </c>
      <c r="AQ75" s="335" t="s">
        <v>238</v>
      </c>
      <c r="AR75" s="336">
        <f t="shared" si="4"/>
        <v>0.0004779201009</v>
      </c>
      <c r="AS75" s="336"/>
      <c r="AT75" s="336"/>
      <c r="AU75" s="348"/>
      <c r="AV75" s="312"/>
      <c r="AW75" s="312"/>
      <c r="AX75" s="312"/>
      <c r="AY75" s="312"/>
      <c r="AZ75" s="312"/>
      <c r="BA75" s="312"/>
      <c r="BB75" s="312"/>
      <c r="BC75" s="312"/>
      <c r="BD75" s="316"/>
      <c r="BE75" s="316"/>
      <c r="BF75" s="316"/>
      <c r="BG75" s="316"/>
      <c r="BH75" s="316"/>
      <c r="BI75" s="316"/>
      <c r="BJ75" s="316"/>
      <c r="BK75" s="316"/>
      <c r="BL75" s="316"/>
      <c r="BM75" s="316"/>
      <c r="BN75" s="316"/>
      <c r="BO75" s="316"/>
      <c r="BP75" s="316"/>
      <c r="BQ75" s="316"/>
      <c r="BR75" s="316"/>
      <c r="BS75" s="316"/>
      <c r="BT75" s="316"/>
      <c r="BU75" s="316"/>
      <c r="BV75" s="316"/>
      <c r="BW75" s="316"/>
      <c r="BX75" s="316"/>
      <c r="BY75" s="316"/>
      <c r="BZ75" s="316"/>
      <c r="CA75" s="316"/>
      <c r="CB75" s="316"/>
      <c r="CC75" s="316"/>
      <c r="CD75" s="316"/>
    </row>
    <row r="76" ht="15.75" customHeight="1">
      <c r="A76" s="308"/>
      <c r="B76" s="362">
        <v>45491.0</v>
      </c>
      <c r="C76" s="335">
        <v>84.0</v>
      </c>
      <c r="D76" s="335">
        <v>84.0</v>
      </c>
      <c r="E76" s="335">
        <v>84.0</v>
      </c>
      <c r="F76" s="335">
        <v>84.0</v>
      </c>
      <c r="G76" s="335" t="s">
        <v>238</v>
      </c>
      <c r="H76" s="336">
        <f t="shared" si="1"/>
        <v>-0.003636238009</v>
      </c>
      <c r="I76" s="336"/>
      <c r="J76" s="336"/>
      <c r="K76" s="348"/>
      <c r="L76" s="312"/>
      <c r="M76" s="312"/>
      <c r="N76" s="340">
        <v>45491.0</v>
      </c>
      <c r="O76" s="341">
        <v>30.414</v>
      </c>
      <c r="P76" s="341">
        <v>30.414</v>
      </c>
      <c r="Q76" s="341">
        <v>30.414</v>
      </c>
      <c r="R76" s="341">
        <v>30.414</v>
      </c>
      <c r="S76" s="335" t="s">
        <v>238</v>
      </c>
      <c r="T76" s="336">
        <f t="shared" si="2"/>
        <v>0.00749166059</v>
      </c>
      <c r="U76" s="336"/>
      <c r="V76" s="336"/>
      <c r="W76" s="348"/>
      <c r="X76" s="312"/>
      <c r="Y76" s="312"/>
      <c r="Z76" s="363">
        <v>45491.0</v>
      </c>
      <c r="AA76" s="341">
        <v>2015.972</v>
      </c>
      <c r="AB76" s="341">
        <v>2015.972</v>
      </c>
      <c r="AC76" s="341">
        <v>2015.972</v>
      </c>
      <c r="AD76" s="341">
        <v>2015.972</v>
      </c>
      <c r="AE76" s="335" t="s">
        <v>238</v>
      </c>
      <c r="AF76" s="336">
        <f t="shared" si="3"/>
        <v>0.003108042668</v>
      </c>
      <c r="AG76" s="336"/>
      <c r="AH76" s="336"/>
      <c r="AI76" s="348"/>
      <c r="AJ76" s="312"/>
      <c r="AK76" s="312"/>
      <c r="AL76" s="353">
        <v>45491.0</v>
      </c>
      <c r="AM76" s="343">
        <v>20.94</v>
      </c>
      <c r="AN76" s="343">
        <v>20.94</v>
      </c>
      <c r="AO76" s="343">
        <v>20.94</v>
      </c>
      <c r="AP76" s="343">
        <v>20.94</v>
      </c>
      <c r="AQ76" s="335" t="s">
        <v>238</v>
      </c>
      <c r="AR76" s="336">
        <f t="shared" si="4"/>
        <v>0.0005254484346</v>
      </c>
      <c r="AS76" s="336"/>
      <c r="AT76" s="336"/>
      <c r="AU76" s="348"/>
      <c r="AV76" s="312"/>
      <c r="AW76" s="312"/>
      <c r="AX76" s="312"/>
      <c r="AY76" s="312"/>
      <c r="AZ76" s="312"/>
      <c r="BA76" s="312"/>
      <c r="BB76" s="312"/>
      <c r="BC76" s="312"/>
      <c r="BD76" s="316"/>
      <c r="BE76" s="316"/>
      <c r="BF76" s="316"/>
      <c r="BG76" s="316"/>
      <c r="BH76" s="316"/>
      <c r="BI76" s="316"/>
      <c r="BJ76" s="316"/>
      <c r="BK76" s="316"/>
      <c r="BL76" s="316"/>
      <c r="BM76" s="316"/>
      <c r="BN76" s="316"/>
      <c r="BO76" s="316"/>
      <c r="BP76" s="316"/>
      <c r="BQ76" s="316"/>
      <c r="BR76" s="316"/>
      <c r="BS76" s="316"/>
      <c r="BT76" s="316"/>
      <c r="BU76" s="316"/>
      <c r="BV76" s="316"/>
      <c r="BW76" s="316"/>
      <c r="BX76" s="316"/>
      <c r="BY76" s="316"/>
      <c r="BZ76" s="316"/>
      <c r="CA76" s="316"/>
      <c r="CB76" s="316"/>
      <c r="CC76" s="316"/>
      <c r="CD76" s="316"/>
    </row>
    <row r="77" ht="15.75" customHeight="1">
      <c r="A77" s="308"/>
      <c r="B77" s="362">
        <v>45492.0</v>
      </c>
      <c r="C77" s="335">
        <v>83.262</v>
      </c>
      <c r="D77" s="335">
        <v>83.262</v>
      </c>
      <c r="E77" s="335">
        <v>83.262</v>
      </c>
      <c r="F77" s="335">
        <v>83.262</v>
      </c>
      <c r="G77" s="335" t="s">
        <v>238</v>
      </c>
      <c r="H77" s="336">
        <f t="shared" si="1"/>
        <v>-0.008824536226</v>
      </c>
      <c r="I77" s="336"/>
      <c r="J77" s="336"/>
      <c r="K77" s="348"/>
      <c r="L77" s="312"/>
      <c r="M77" s="312"/>
      <c r="N77" s="340">
        <v>45492.0</v>
      </c>
      <c r="O77" s="341">
        <v>30.172</v>
      </c>
      <c r="P77" s="341">
        <v>30.172</v>
      </c>
      <c r="Q77" s="341">
        <v>30.172</v>
      </c>
      <c r="R77" s="341">
        <v>30.172</v>
      </c>
      <c r="S77" s="335" t="s">
        <v>238</v>
      </c>
      <c r="T77" s="336">
        <f t="shared" si="2"/>
        <v>-0.007988686727</v>
      </c>
      <c r="U77" s="336"/>
      <c r="V77" s="336"/>
      <c r="W77" s="348"/>
      <c r="X77" s="312"/>
      <c r="Y77" s="312"/>
      <c r="Z77" s="363">
        <v>45492.0</v>
      </c>
      <c r="AA77" s="341">
        <v>2001.124</v>
      </c>
      <c r="AB77" s="341">
        <v>2001.124</v>
      </c>
      <c r="AC77" s="341">
        <v>2001.124</v>
      </c>
      <c r="AD77" s="341">
        <v>2001.124</v>
      </c>
      <c r="AE77" s="335" t="s">
        <v>238</v>
      </c>
      <c r="AF77" s="336">
        <f t="shared" si="3"/>
        <v>-0.007392438527</v>
      </c>
      <c r="AG77" s="336"/>
      <c r="AH77" s="336"/>
      <c r="AI77" s="348"/>
      <c r="AJ77" s="312"/>
      <c r="AK77" s="312"/>
      <c r="AL77" s="353">
        <v>45492.0</v>
      </c>
      <c r="AM77" s="343">
        <v>20.945</v>
      </c>
      <c r="AN77" s="343">
        <v>20.945</v>
      </c>
      <c r="AO77" s="343">
        <v>20.945</v>
      </c>
      <c r="AP77" s="343">
        <v>20.945</v>
      </c>
      <c r="AQ77" s="335" t="s">
        <v>238</v>
      </c>
      <c r="AR77" s="336">
        <f t="shared" si="4"/>
        <v>0.0002387489566</v>
      </c>
      <c r="AS77" s="336"/>
      <c r="AT77" s="336"/>
      <c r="AU77" s="348"/>
      <c r="AV77" s="312"/>
      <c r="AW77" s="312"/>
      <c r="AX77" s="312"/>
      <c r="AY77" s="312"/>
      <c r="AZ77" s="312"/>
      <c r="BA77" s="312"/>
      <c r="BB77" s="312"/>
      <c r="BC77" s="312"/>
      <c r="BD77" s="316"/>
      <c r="BE77" s="316"/>
      <c r="BF77" s="316"/>
      <c r="BG77" s="316"/>
      <c r="BH77" s="316"/>
      <c r="BI77" s="316"/>
      <c r="BJ77" s="316"/>
      <c r="BK77" s="316"/>
      <c r="BL77" s="316"/>
      <c r="BM77" s="316"/>
      <c r="BN77" s="316"/>
      <c r="BO77" s="316"/>
      <c r="BP77" s="316"/>
      <c r="BQ77" s="316"/>
      <c r="BR77" s="316"/>
      <c r="BS77" s="316"/>
      <c r="BT77" s="316"/>
      <c r="BU77" s="316"/>
      <c r="BV77" s="316"/>
      <c r="BW77" s="316"/>
      <c r="BX77" s="316"/>
      <c r="BY77" s="316"/>
      <c r="BZ77" s="316"/>
      <c r="CA77" s="316"/>
      <c r="CB77" s="316"/>
      <c r="CC77" s="316"/>
      <c r="CD77" s="316"/>
    </row>
    <row r="78" ht="15.75" customHeight="1">
      <c r="A78" s="308"/>
      <c r="B78" s="362">
        <v>45495.0</v>
      </c>
      <c r="C78" s="335">
        <v>83.783</v>
      </c>
      <c r="D78" s="335">
        <v>83.783</v>
      </c>
      <c r="E78" s="335">
        <v>83.783</v>
      </c>
      <c r="F78" s="335">
        <v>83.783</v>
      </c>
      <c r="G78" s="335" t="s">
        <v>238</v>
      </c>
      <c r="H78" s="336">
        <f t="shared" si="1"/>
        <v>0.00623786033</v>
      </c>
      <c r="I78" s="336"/>
      <c r="J78" s="336"/>
      <c r="K78" s="348"/>
      <c r="L78" s="312"/>
      <c r="M78" s="312"/>
      <c r="N78" s="340">
        <v>45495.0</v>
      </c>
      <c r="O78" s="341">
        <v>30.012</v>
      </c>
      <c r="P78" s="341">
        <v>30.012</v>
      </c>
      <c r="Q78" s="341">
        <v>30.012</v>
      </c>
      <c r="R78" s="341">
        <v>30.012</v>
      </c>
      <c r="S78" s="335" t="s">
        <v>238</v>
      </c>
      <c r="T78" s="336">
        <f t="shared" si="2"/>
        <v>-0.005317040308</v>
      </c>
      <c r="U78" s="336"/>
      <c r="V78" s="336"/>
      <c r="W78" s="348"/>
      <c r="X78" s="312"/>
      <c r="Y78" s="312"/>
      <c r="Z78" s="363">
        <v>45495.0</v>
      </c>
      <c r="AA78" s="341">
        <v>2002.126</v>
      </c>
      <c r="AB78" s="341">
        <v>2002.126</v>
      </c>
      <c r="AC78" s="341">
        <v>2002.126</v>
      </c>
      <c r="AD78" s="341">
        <v>2002.126</v>
      </c>
      <c r="AE78" s="335" t="s">
        <v>238</v>
      </c>
      <c r="AF78" s="336">
        <f t="shared" si="3"/>
        <v>0.0005005932784</v>
      </c>
      <c r="AG78" s="336"/>
      <c r="AH78" s="336"/>
      <c r="AI78" s="348"/>
      <c r="AJ78" s="312"/>
      <c r="AK78" s="312"/>
      <c r="AL78" s="353">
        <v>45495.0</v>
      </c>
      <c r="AM78" s="343">
        <v>20.956</v>
      </c>
      <c r="AN78" s="343">
        <v>20.956</v>
      </c>
      <c r="AO78" s="343">
        <v>20.956</v>
      </c>
      <c r="AP78" s="343">
        <v>20.956</v>
      </c>
      <c r="AQ78" s="335" t="s">
        <v>238</v>
      </c>
      <c r="AR78" s="336">
        <f t="shared" si="4"/>
        <v>0.000525047147</v>
      </c>
      <c r="AS78" s="336"/>
      <c r="AT78" s="336"/>
      <c r="AU78" s="348"/>
      <c r="AV78" s="312"/>
      <c r="AW78" s="312"/>
      <c r="AX78" s="312"/>
      <c r="AY78" s="312"/>
      <c r="AZ78" s="312"/>
      <c r="BA78" s="312"/>
      <c r="BB78" s="312"/>
      <c r="BC78" s="312"/>
      <c r="BD78" s="316"/>
      <c r="BE78" s="316"/>
      <c r="BF78" s="316"/>
      <c r="BG78" s="316"/>
      <c r="BH78" s="316"/>
      <c r="BI78" s="316"/>
      <c r="BJ78" s="316"/>
      <c r="BK78" s="316"/>
      <c r="BL78" s="316"/>
      <c r="BM78" s="316"/>
      <c r="BN78" s="316"/>
      <c r="BO78" s="316"/>
      <c r="BP78" s="316"/>
      <c r="BQ78" s="316"/>
      <c r="BR78" s="316"/>
      <c r="BS78" s="316"/>
      <c r="BT78" s="316"/>
      <c r="BU78" s="316"/>
      <c r="BV78" s="316"/>
      <c r="BW78" s="316"/>
      <c r="BX78" s="316"/>
      <c r="BY78" s="316"/>
      <c r="BZ78" s="316"/>
      <c r="CA78" s="316"/>
      <c r="CB78" s="316"/>
      <c r="CC78" s="316"/>
      <c r="CD78" s="316"/>
    </row>
    <row r="79" ht="15.75" customHeight="1">
      <c r="A79" s="308"/>
      <c r="B79" s="362">
        <v>45496.0</v>
      </c>
      <c r="C79" s="335">
        <v>83.84</v>
      </c>
      <c r="D79" s="335">
        <v>83.84</v>
      </c>
      <c r="E79" s="335">
        <v>83.84</v>
      </c>
      <c r="F79" s="335">
        <v>83.84</v>
      </c>
      <c r="G79" s="335" t="s">
        <v>238</v>
      </c>
      <c r="H79" s="336">
        <f t="shared" si="1"/>
        <v>0.0006800976262</v>
      </c>
      <c r="I79" s="336"/>
      <c r="J79" s="336"/>
      <c r="K79" s="348"/>
      <c r="L79" s="312"/>
      <c r="M79" s="312"/>
      <c r="N79" s="363">
        <v>45496.0</v>
      </c>
      <c r="O79" s="341">
        <v>29.085</v>
      </c>
      <c r="P79" s="341">
        <v>29.085</v>
      </c>
      <c r="Q79" s="341">
        <v>29.085</v>
      </c>
      <c r="R79" s="341">
        <v>29.085</v>
      </c>
      <c r="S79" s="335" t="s">
        <v>238</v>
      </c>
      <c r="T79" s="336">
        <f t="shared" si="2"/>
        <v>-0.03137472432</v>
      </c>
      <c r="U79" s="336"/>
      <c r="V79" s="336"/>
      <c r="W79" s="348"/>
      <c r="X79" s="312"/>
      <c r="Y79" s="312"/>
      <c r="Z79" s="363">
        <v>45496.0</v>
      </c>
      <c r="AA79" s="341">
        <v>1997.726</v>
      </c>
      <c r="AB79" s="341">
        <v>1997.726</v>
      </c>
      <c r="AC79" s="341">
        <v>1997.726</v>
      </c>
      <c r="AD79" s="341">
        <v>1997.726</v>
      </c>
      <c r="AE79" s="335" t="s">
        <v>238</v>
      </c>
      <c r="AF79" s="336">
        <f t="shared" si="3"/>
        <v>-0.00220008229</v>
      </c>
      <c r="AG79" s="336"/>
      <c r="AH79" s="336"/>
      <c r="AI79" s="348"/>
      <c r="AJ79" s="312"/>
      <c r="AK79" s="312"/>
      <c r="AL79" s="353">
        <v>45496.0</v>
      </c>
      <c r="AM79" s="343">
        <v>20.967</v>
      </c>
      <c r="AN79" s="343">
        <v>20.967</v>
      </c>
      <c r="AO79" s="343">
        <v>20.967</v>
      </c>
      <c r="AP79" s="343">
        <v>20.967</v>
      </c>
      <c r="AQ79" s="335" t="s">
        <v>238</v>
      </c>
      <c r="AR79" s="336">
        <f t="shared" si="4"/>
        <v>0.0005247716171</v>
      </c>
      <c r="AS79" s="336"/>
      <c r="AT79" s="336"/>
      <c r="AU79" s="348"/>
      <c r="AV79" s="312"/>
      <c r="AW79" s="312"/>
      <c r="AX79" s="312"/>
      <c r="AY79" s="312"/>
      <c r="AZ79" s="312"/>
      <c r="BA79" s="312"/>
      <c r="BB79" s="312"/>
      <c r="BC79" s="312"/>
      <c r="BD79" s="316"/>
      <c r="BE79" s="316"/>
      <c r="BF79" s="316"/>
      <c r="BG79" s="316"/>
      <c r="BH79" s="316"/>
      <c r="BI79" s="316"/>
      <c r="BJ79" s="316"/>
      <c r="BK79" s="316"/>
      <c r="BL79" s="316"/>
      <c r="BM79" s="316"/>
      <c r="BN79" s="316"/>
      <c r="BO79" s="316"/>
      <c r="BP79" s="316"/>
      <c r="BQ79" s="316"/>
      <c r="BR79" s="316"/>
      <c r="BS79" s="316"/>
      <c r="BT79" s="316"/>
      <c r="BU79" s="316"/>
      <c r="BV79" s="316"/>
      <c r="BW79" s="316"/>
      <c r="BX79" s="316"/>
      <c r="BY79" s="316"/>
      <c r="BZ79" s="316"/>
      <c r="CA79" s="316"/>
      <c r="CB79" s="316"/>
      <c r="CC79" s="316"/>
      <c r="CD79" s="316"/>
    </row>
    <row r="80" ht="15.75" customHeight="1">
      <c r="A80" s="308"/>
      <c r="B80" s="362">
        <v>45497.0</v>
      </c>
      <c r="C80" s="335">
        <v>83.311</v>
      </c>
      <c r="D80" s="335">
        <v>83.311</v>
      </c>
      <c r="E80" s="335">
        <v>83.311</v>
      </c>
      <c r="F80" s="335">
        <v>83.311</v>
      </c>
      <c r="G80" s="335" t="s">
        <v>238</v>
      </c>
      <c r="H80" s="336">
        <f t="shared" si="1"/>
        <v>-0.006329627297</v>
      </c>
      <c r="I80" s="336"/>
      <c r="J80" s="336"/>
      <c r="K80" s="348"/>
      <c r="L80" s="312"/>
      <c r="M80" s="312"/>
      <c r="N80" s="363">
        <v>45497.0</v>
      </c>
      <c r="O80" s="341">
        <v>28.814</v>
      </c>
      <c r="P80" s="341">
        <v>28.814</v>
      </c>
      <c r="Q80" s="341">
        <v>28.814</v>
      </c>
      <c r="R80" s="341">
        <v>28.814</v>
      </c>
      <c r="S80" s="335" t="s">
        <v>238</v>
      </c>
      <c r="T80" s="336">
        <f t="shared" si="2"/>
        <v>-0.009361197223</v>
      </c>
      <c r="U80" s="336"/>
      <c r="V80" s="336"/>
      <c r="W80" s="348"/>
      <c r="X80" s="312"/>
      <c r="Y80" s="312"/>
      <c r="Z80" s="363">
        <v>45497.0</v>
      </c>
      <c r="AA80" s="341">
        <v>2000.397</v>
      </c>
      <c r="AB80" s="341">
        <v>2000.397</v>
      </c>
      <c r="AC80" s="341">
        <v>2000.397</v>
      </c>
      <c r="AD80" s="341">
        <v>2000.397</v>
      </c>
      <c r="AE80" s="335" t="s">
        <v>238</v>
      </c>
      <c r="AF80" s="336">
        <f t="shared" si="3"/>
        <v>0.001336127176</v>
      </c>
      <c r="AG80" s="336"/>
      <c r="AH80" s="336"/>
      <c r="AI80" s="348"/>
      <c r="AJ80" s="312"/>
      <c r="AK80" s="312"/>
      <c r="AL80" s="353">
        <v>45497.0</v>
      </c>
      <c r="AM80" s="343">
        <v>20.971</v>
      </c>
      <c r="AN80" s="343">
        <v>20.971</v>
      </c>
      <c r="AO80" s="343">
        <v>20.971</v>
      </c>
      <c r="AP80" s="343">
        <v>20.971</v>
      </c>
      <c r="AQ80" s="335" t="s">
        <v>238</v>
      </c>
      <c r="AR80" s="336">
        <f t="shared" si="4"/>
        <v>0.0001907577859</v>
      </c>
      <c r="AS80" s="336"/>
      <c r="AT80" s="336"/>
      <c r="AU80" s="348"/>
      <c r="AV80" s="312"/>
      <c r="AW80" s="312"/>
      <c r="AX80" s="312"/>
      <c r="AY80" s="312"/>
      <c r="AZ80" s="312"/>
      <c r="BA80" s="312"/>
      <c r="BB80" s="312"/>
      <c r="BC80" s="312"/>
      <c r="BD80" s="316"/>
      <c r="BE80" s="316"/>
      <c r="BF80" s="316"/>
      <c r="BG80" s="316"/>
      <c r="BH80" s="316"/>
      <c r="BI80" s="316"/>
      <c r="BJ80" s="316"/>
      <c r="BK80" s="316"/>
      <c r="BL80" s="316"/>
      <c r="BM80" s="316"/>
      <c r="BN80" s="316"/>
      <c r="BO80" s="316"/>
      <c r="BP80" s="316"/>
      <c r="BQ80" s="316"/>
      <c r="BR80" s="316"/>
      <c r="BS80" s="316"/>
      <c r="BT80" s="316"/>
      <c r="BU80" s="316"/>
      <c r="BV80" s="316"/>
      <c r="BW80" s="316"/>
      <c r="BX80" s="316"/>
      <c r="BY80" s="316"/>
      <c r="BZ80" s="316"/>
      <c r="CA80" s="316"/>
      <c r="CB80" s="316"/>
      <c r="CC80" s="316"/>
      <c r="CD80" s="316"/>
    </row>
    <row r="81" ht="15.75" customHeight="1">
      <c r="A81" s="308"/>
      <c r="B81" s="362">
        <v>45498.0</v>
      </c>
      <c r="C81" s="335">
        <v>82.956</v>
      </c>
      <c r="D81" s="335">
        <v>82.956</v>
      </c>
      <c r="E81" s="335">
        <v>82.956</v>
      </c>
      <c r="F81" s="335">
        <v>82.956</v>
      </c>
      <c r="G81" s="335" t="s">
        <v>238</v>
      </c>
      <c r="H81" s="336">
        <f t="shared" si="1"/>
        <v>-0.004270246525</v>
      </c>
      <c r="I81" s="336"/>
      <c r="J81" s="336"/>
      <c r="K81" s="348"/>
      <c r="L81" s="312"/>
      <c r="M81" s="312"/>
      <c r="N81" s="363">
        <v>45498.0</v>
      </c>
      <c r="O81" s="341">
        <v>27.81</v>
      </c>
      <c r="P81" s="341">
        <v>27.81</v>
      </c>
      <c r="Q81" s="341">
        <v>27.81</v>
      </c>
      <c r="R81" s="341">
        <v>27.81</v>
      </c>
      <c r="S81" s="335" t="s">
        <v>238</v>
      </c>
      <c r="T81" s="336">
        <f t="shared" si="2"/>
        <v>-0.03546571189</v>
      </c>
      <c r="U81" s="336"/>
      <c r="V81" s="336"/>
      <c r="W81" s="348"/>
      <c r="X81" s="312"/>
      <c r="Y81" s="312"/>
      <c r="Z81" s="363">
        <v>45498.0</v>
      </c>
      <c r="AA81" s="341">
        <v>1993.255</v>
      </c>
      <c r="AB81" s="341">
        <v>1993.255</v>
      </c>
      <c r="AC81" s="341">
        <v>1993.255</v>
      </c>
      <c r="AD81" s="341">
        <v>1993.255</v>
      </c>
      <c r="AE81" s="335" t="s">
        <v>238</v>
      </c>
      <c r="AF81" s="336">
        <f t="shared" si="3"/>
        <v>-0.003576679998</v>
      </c>
      <c r="AG81" s="336"/>
      <c r="AH81" s="336"/>
      <c r="AI81" s="348"/>
      <c r="AJ81" s="312"/>
      <c r="AK81" s="312"/>
      <c r="AL81" s="353">
        <v>45498.0</v>
      </c>
      <c r="AM81" s="343">
        <v>20.987</v>
      </c>
      <c r="AN81" s="343">
        <v>20.987</v>
      </c>
      <c r="AO81" s="343">
        <v>20.987</v>
      </c>
      <c r="AP81" s="343">
        <v>20.987</v>
      </c>
      <c r="AQ81" s="335" t="s">
        <v>238</v>
      </c>
      <c r="AR81" s="336">
        <f t="shared" si="4"/>
        <v>0.0007626674663</v>
      </c>
      <c r="AS81" s="336"/>
      <c r="AT81" s="336"/>
      <c r="AU81" s="348"/>
      <c r="AV81" s="312"/>
      <c r="AW81" s="312"/>
      <c r="AX81" s="312"/>
      <c r="AY81" s="312"/>
      <c r="AZ81" s="312"/>
      <c r="BA81" s="312"/>
      <c r="BB81" s="312"/>
      <c r="BC81" s="312"/>
      <c r="BD81" s="316"/>
      <c r="BE81" s="316"/>
      <c r="BF81" s="316"/>
      <c r="BG81" s="316"/>
      <c r="BH81" s="316"/>
      <c r="BI81" s="316"/>
      <c r="BJ81" s="316"/>
      <c r="BK81" s="316"/>
      <c r="BL81" s="316"/>
      <c r="BM81" s="316"/>
      <c r="BN81" s="316"/>
      <c r="BO81" s="316"/>
      <c r="BP81" s="316"/>
      <c r="BQ81" s="316"/>
      <c r="BR81" s="316"/>
      <c r="BS81" s="316"/>
      <c r="BT81" s="316"/>
      <c r="BU81" s="316"/>
      <c r="BV81" s="316"/>
      <c r="BW81" s="316"/>
      <c r="BX81" s="316"/>
      <c r="BY81" s="316"/>
      <c r="BZ81" s="316"/>
      <c r="CA81" s="316"/>
      <c r="CB81" s="316"/>
      <c r="CC81" s="316"/>
      <c r="CD81" s="316"/>
    </row>
    <row r="82" ht="15.75" customHeight="1">
      <c r="A82" s="308"/>
      <c r="B82" s="362">
        <v>45499.0</v>
      </c>
      <c r="C82" s="335">
        <v>84.011</v>
      </c>
      <c r="D82" s="335">
        <v>84.011</v>
      </c>
      <c r="E82" s="335">
        <v>84.011</v>
      </c>
      <c r="F82" s="335">
        <v>84.011</v>
      </c>
      <c r="G82" s="335" t="s">
        <v>238</v>
      </c>
      <c r="H82" s="336">
        <f t="shared" si="1"/>
        <v>0.0126373959</v>
      </c>
      <c r="I82" s="336"/>
      <c r="J82" s="336"/>
      <c r="K82" s="348"/>
      <c r="L82" s="312"/>
      <c r="M82" s="312"/>
      <c r="N82" s="363">
        <v>45499.0</v>
      </c>
      <c r="O82" s="341">
        <v>27.769</v>
      </c>
      <c r="P82" s="341">
        <v>27.769</v>
      </c>
      <c r="Q82" s="341">
        <v>27.769</v>
      </c>
      <c r="R82" s="341">
        <v>27.769</v>
      </c>
      <c r="S82" s="335" t="s">
        <v>238</v>
      </c>
      <c r="T82" s="336">
        <f t="shared" si="2"/>
        <v>-0.001475377658</v>
      </c>
      <c r="U82" s="336"/>
      <c r="V82" s="336"/>
      <c r="W82" s="348"/>
      <c r="X82" s="312"/>
      <c r="Y82" s="312"/>
      <c r="Z82" s="363">
        <v>45499.0</v>
      </c>
      <c r="AA82" s="341">
        <v>2021.822</v>
      </c>
      <c r="AB82" s="341">
        <v>2021.822</v>
      </c>
      <c r="AC82" s="341">
        <v>2021.822</v>
      </c>
      <c r="AD82" s="341">
        <v>2021.822</v>
      </c>
      <c r="AE82" s="335" t="s">
        <v>238</v>
      </c>
      <c r="AF82" s="336">
        <f t="shared" si="3"/>
        <v>0.01423010421</v>
      </c>
      <c r="AG82" s="336"/>
      <c r="AH82" s="336"/>
      <c r="AI82" s="348"/>
      <c r="AJ82" s="312"/>
      <c r="AK82" s="312"/>
      <c r="AL82" s="353">
        <v>45499.0</v>
      </c>
      <c r="AM82" s="343">
        <v>20.998</v>
      </c>
      <c r="AN82" s="343">
        <v>20.998</v>
      </c>
      <c r="AO82" s="343">
        <v>20.998</v>
      </c>
      <c r="AP82" s="343">
        <v>20.998</v>
      </c>
      <c r="AQ82" s="335" t="s">
        <v>238</v>
      </c>
      <c r="AR82" s="336">
        <f t="shared" si="4"/>
        <v>0.0005239966775</v>
      </c>
      <c r="AS82" s="336"/>
      <c r="AT82" s="336"/>
      <c r="AU82" s="348"/>
      <c r="AV82" s="312"/>
      <c r="AW82" s="312"/>
      <c r="AX82" s="312"/>
      <c r="AY82" s="312"/>
      <c r="AZ82" s="312"/>
      <c r="BA82" s="312"/>
      <c r="BB82" s="312"/>
      <c r="BC82" s="312"/>
      <c r="BD82" s="316"/>
      <c r="BE82" s="316"/>
      <c r="BF82" s="316"/>
      <c r="BG82" s="316"/>
      <c r="BH82" s="316"/>
      <c r="BI82" s="316"/>
      <c r="BJ82" s="316"/>
      <c r="BK82" s="316"/>
      <c r="BL82" s="316"/>
      <c r="BM82" s="316"/>
      <c r="BN82" s="316"/>
      <c r="BO82" s="316"/>
      <c r="BP82" s="316"/>
      <c r="BQ82" s="316"/>
      <c r="BR82" s="316"/>
      <c r="BS82" s="316"/>
      <c r="BT82" s="316"/>
      <c r="BU82" s="316"/>
      <c r="BV82" s="316"/>
      <c r="BW82" s="316"/>
      <c r="BX82" s="316"/>
      <c r="BY82" s="316"/>
      <c r="BZ82" s="316"/>
      <c r="CA82" s="316"/>
      <c r="CB82" s="316"/>
      <c r="CC82" s="316"/>
      <c r="CD82" s="316"/>
    </row>
    <row r="83" ht="15.75" customHeight="1">
      <c r="A83" s="308"/>
      <c r="B83" s="362">
        <v>45502.0</v>
      </c>
      <c r="C83" s="335">
        <v>84.23</v>
      </c>
      <c r="D83" s="335">
        <v>84.23</v>
      </c>
      <c r="E83" s="335">
        <v>84.23</v>
      </c>
      <c r="F83" s="335">
        <v>84.23</v>
      </c>
      <c r="G83" s="335" t="s">
        <v>238</v>
      </c>
      <c r="H83" s="336">
        <f t="shared" si="1"/>
        <v>0.002603409677</v>
      </c>
      <c r="I83" s="336"/>
      <c r="J83" s="336"/>
      <c r="K83" s="348"/>
      <c r="L83" s="312"/>
      <c r="M83" s="312"/>
      <c r="N83" s="363">
        <v>45502.0</v>
      </c>
      <c r="O83" s="341">
        <v>28.416</v>
      </c>
      <c r="P83" s="341">
        <v>28.416</v>
      </c>
      <c r="Q83" s="341">
        <v>28.416</v>
      </c>
      <c r="R83" s="341">
        <v>28.416</v>
      </c>
      <c r="S83" s="335" t="s">
        <v>238</v>
      </c>
      <c r="T83" s="336">
        <f t="shared" si="2"/>
        <v>0.02303207622</v>
      </c>
      <c r="U83" s="336"/>
      <c r="V83" s="336"/>
      <c r="W83" s="348"/>
      <c r="X83" s="312"/>
      <c r="Y83" s="312"/>
      <c r="Z83" s="363">
        <v>45502.0</v>
      </c>
      <c r="AA83" s="341">
        <v>2018.893</v>
      </c>
      <c r="AB83" s="341">
        <v>2018.893</v>
      </c>
      <c r="AC83" s="341">
        <v>2018.893</v>
      </c>
      <c r="AD83" s="341">
        <v>2018.893</v>
      </c>
      <c r="AE83" s="335" t="s">
        <v>238</v>
      </c>
      <c r="AF83" s="336">
        <f t="shared" si="3"/>
        <v>-0.001449743678</v>
      </c>
      <c r="AG83" s="336"/>
      <c r="AH83" s="336"/>
      <c r="AI83" s="348"/>
      <c r="AJ83" s="312"/>
      <c r="AK83" s="312"/>
      <c r="AL83" s="353">
        <v>45502.0</v>
      </c>
      <c r="AM83" s="343">
        <v>21.014</v>
      </c>
      <c r="AN83" s="343">
        <v>21.014</v>
      </c>
      <c r="AO83" s="343">
        <v>21.014</v>
      </c>
      <c r="AP83" s="343">
        <v>21.014</v>
      </c>
      <c r="AQ83" s="335" t="s">
        <v>238</v>
      </c>
      <c r="AR83" s="336">
        <f t="shared" si="4"/>
        <v>0.0007616871738</v>
      </c>
      <c r="AS83" s="336"/>
      <c r="AT83" s="336"/>
      <c r="AU83" s="348"/>
      <c r="AV83" s="312"/>
      <c r="AW83" s="312"/>
      <c r="AX83" s="312"/>
      <c r="AY83" s="312"/>
      <c r="AZ83" s="312"/>
      <c r="BA83" s="312"/>
      <c r="BB83" s="312"/>
      <c r="BC83" s="312"/>
      <c r="BD83" s="316"/>
      <c r="BE83" s="316"/>
      <c r="BF83" s="316"/>
      <c r="BG83" s="316"/>
      <c r="BH83" s="316"/>
      <c r="BI83" s="316"/>
      <c r="BJ83" s="316"/>
      <c r="BK83" s="316"/>
      <c r="BL83" s="316"/>
      <c r="BM83" s="316"/>
      <c r="BN83" s="316"/>
      <c r="BO83" s="316"/>
      <c r="BP83" s="316"/>
      <c r="BQ83" s="316"/>
      <c r="BR83" s="316"/>
      <c r="BS83" s="316"/>
      <c r="BT83" s="316"/>
      <c r="BU83" s="316"/>
      <c r="BV83" s="316"/>
      <c r="BW83" s="316"/>
      <c r="BX83" s="316"/>
      <c r="BY83" s="316"/>
      <c r="BZ83" s="316"/>
      <c r="CA83" s="316"/>
      <c r="CB83" s="316"/>
      <c r="CC83" s="316"/>
      <c r="CD83" s="316"/>
    </row>
    <row r="84" ht="15.75" customHeight="1">
      <c r="A84" s="308"/>
      <c r="B84" s="362">
        <v>45503.0</v>
      </c>
      <c r="C84" s="335">
        <v>84.455</v>
      </c>
      <c r="D84" s="335">
        <v>84.455</v>
      </c>
      <c r="E84" s="335">
        <v>84.455</v>
      </c>
      <c r="F84" s="335">
        <v>84.455</v>
      </c>
      <c r="G84" s="335" t="s">
        <v>238</v>
      </c>
      <c r="H84" s="336">
        <f t="shared" si="1"/>
        <v>0.002667695805</v>
      </c>
      <c r="I84" s="336"/>
      <c r="J84" s="336"/>
      <c r="K84" s="348"/>
      <c r="L84" s="312"/>
      <c r="M84" s="312"/>
      <c r="N84" s="363">
        <v>45503.0</v>
      </c>
      <c r="O84" s="341">
        <v>28.209</v>
      </c>
      <c r="P84" s="341">
        <v>28.209</v>
      </c>
      <c r="Q84" s="341">
        <v>28.209</v>
      </c>
      <c r="R84" s="341">
        <v>28.209</v>
      </c>
      <c r="S84" s="335" t="s">
        <v>238</v>
      </c>
      <c r="T84" s="336">
        <f t="shared" si="2"/>
        <v>-0.007311290847</v>
      </c>
      <c r="U84" s="336"/>
      <c r="V84" s="336"/>
      <c r="W84" s="348"/>
      <c r="X84" s="312"/>
      <c r="Y84" s="312"/>
      <c r="Z84" s="363">
        <v>45503.0</v>
      </c>
      <c r="AA84" s="341">
        <v>2017.082</v>
      </c>
      <c r="AB84" s="341">
        <v>2017.082</v>
      </c>
      <c r="AC84" s="341">
        <v>2017.082</v>
      </c>
      <c r="AD84" s="341">
        <v>2017.082</v>
      </c>
      <c r="AE84" s="335" t="s">
        <v>238</v>
      </c>
      <c r="AF84" s="336">
        <f t="shared" si="3"/>
        <v>-0.0008974288104</v>
      </c>
      <c r="AG84" s="336"/>
      <c r="AH84" s="336"/>
      <c r="AI84" s="348"/>
      <c r="AJ84" s="312"/>
      <c r="AK84" s="312"/>
      <c r="AL84" s="353">
        <v>45503.0</v>
      </c>
      <c r="AM84" s="343">
        <v>21.016</v>
      </c>
      <c r="AN84" s="343">
        <v>21.016</v>
      </c>
      <c r="AO84" s="343">
        <v>21.016</v>
      </c>
      <c r="AP84" s="343">
        <v>21.016</v>
      </c>
      <c r="AQ84" s="335" t="s">
        <v>238</v>
      </c>
      <c r="AR84" s="336">
        <f t="shared" si="4"/>
        <v>0.00009517011666</v>
      </c>
      <c r="AS84" s="336"/>
      <c r="AT84" s="336"/>
      <c r="AU84" s="348"/>
      <c r="AV84" s="312"/>
      <c r="AW84" s="312"/>
      <c r="AX84" s="312"/>
      <c r="AY84" s="312"/>
      <c r="AZ84" s="312"/>
      <c r="BA84" s="312"/>
      <c r="BB84" s="312"/>
      <c r="BC84" s="312"/>
      <c r="BD84" s="316"/>
      <c r="BE84" s="316"/>
      <c r="BF84" s="316"/>
      <c r="BG84" s="316"/>
      <c r="BH84" s="316"/>
      <c r="BI84" s="316"/>
      <c r="BJ84" s="316"/>
      <c r="BK84" s="316"/>
      <c r="BL84" s="316"/>
      <c r="BM84" s="316"/>
      <c r="BN84" s="316"/>
      <c r="BO84" s="316"/>
      <c r="BP84" s="316"/>
      <c r="BQ84" s="316"/>
      <c r="BR84" s="316"/>
      <c r="BS84" s="316"/>
      <c r="BT84" s="316"/>
      <c r="BU84" s="316"/>
      <c r="BV84" s="316"/>
      <c r="BW84" s="316"/>
      <c r="BX84" s="316"/>
      <c r="BY84" s="316"/>
      <c r="BZ84" s="316"/>
      <c r="CA84" s="316"/>
      <c r="CB84" s="316"/>
      <c r="CC84" s="316"/>
      <c r="CD84" s="316"/>
    </row>
    <row r="85" ht="15.75" customHeight="1">
      <c r="A85" s="308"/>
      <c r="B85" s="362">
        <v>45504.0</v>
      </c>
      <c r="C85" s="335">
        <v>84.901</v>
      </c>
      <c r="D85" s="335">
        <v>84.901</v>
      </c>
      <c r="E85" s="335">
        <v>84.901</v>
      </c>
      <c r="F85" s="335">
        <v>84.901</v>
      </c>
      <c r="G85" s="335" t="s">
        <v>238</v>
      </c>
      <c r="H85" s="336">
        <f t="shared" si="1"/>
        <v>0.005267023679</v>
      </c>
      <c r="I85" s="336"/>
      <c r="J85" s="336"/>
      <c r="K85" s="348"/>
      <c r="L85" s="312"/>
      <c r="M85" s="312"/>
      <c r="N85" s="363">
        <v>45504.0</v>
      </c>
      <c r="O85" s="341">
        <v>28.368</v>
      </c>
      <c r="P85" s="341">
        <v>28.368</v>
      </c>
      <c r="Q85" s="341">
        <v>28.368</v>
      </c>
      <c r="R85" s="341">
        <v>28.368</v>
      </c>
      <c r="S85" s="335" t="s">
        <v>238</v>
      </c>
      <c r="T85" s="336">
        <f t="shared" si="2"/>
        <v>0.005620673369</v>
      </c>
      <c r="U85" s="336"/>
      <c r="V85" s="336"/>
      <c r="W85" s="348"/>
      <c r="X85" s="312"/>
      <c r="Y85" s="312"/>
      <c r="Z85" s="363">
        <v>45504.0</v>
      </c>
      <c r="AA85" s="341">
        <v>2023.963</v>
      </c>
      <c r="AB85" s="341">
        <v>2023.963</v>
      </c>
      <c r="AC85" s="341">
        <v>2023.963</v>
      </c>
      <c r="AD85" s="341">
        <v>2023.963</v>
      </c>
      <c r="AE85" s="335" t="s">
        <v>238</v>
      </c>
      <c r="AF85" s="336">
        <f t="shared" si="3"/>
        <v>0.003405558043</v>
      </c>
      <c r="AG85" s="336"/>
      <c r="AH85" s="336"/>
      <c r="AI85" s="348"/>
      <c r="AJ85" s="312"/>
      <c r="AK85" s="312"/>
      <c r="AL85" s="353">
        <v>45504.0</v>
      </c>
      <c r="AM85" s="343">
        <v>21.011</v>
      </c>
      <c r="AN85" s="343">
        <v>21.011</v>
      </c>
      <c r="AO85" s="343">
        <v>21.011</v>
      </c>
      <c r="AP85" s="343">
        <v>21.011</v>
      </c>
      <c r="AQ85" s="335" t="s">
        <v>238</v>
      </c>
      <c r="AR85" s="336">
        <f t="shared" si="4"/>
        <v>-0.0002379422763</v>
      </c>
      <c r="AS85" s="336"/>
      <c r="AT85" s="336"/>
      <c r="AU85" s="348"/>
      <c r="AV85" s="312"/>
      <c r="AW85" s="312"/>
      <c r="AX85" s="312"/>
      <c r="AY85" s="312"/>
      <c r="AZ85" s="312"/>
      <c r="BA85" s="312"/>
      <c r="BB85" s="312"/>
      <c r="BC85" s="312"/>
      <c r="BD85" s="316"/>
      <c r="BE85" s="316"/>
      <c r="BF85" s="316"/>
      <c r="BG85" s="316"/>
      <c r="BH85" s="316"/>
      <c r="BI85" s="316"/>
      <c r="BJ85" s="316"/>
      <c r="BK85" s="316"/>
      <c r="BL85" s="316"/>
      <c r="BM85" s="316"/>
      <c r="BN85" s="316"/>
      <c r="BO85" s="316"/>
      <c r="BP85" s="316"/>
      <c r="BQ85" s="316"/>
      <c r="BR85" s="316"/>
      <c r="BS85" s="316"/>
      <c r="BT85" s="316"/>
      <c r="BU85" s="316"/>
      <c r="BV85" s="316"/>
      <c r="BW85" s="316"/>
      <c r="BX85" s="316"/>
      <c r="BY85" s="316"/>
      <c r="BZ85" s="316"/>
      <c r="CA85" s="316"/>
      <c r="CB85" s="316"/>
      <c r="CC85" s="316"/>
      <c r="CD85" s="316"/>
    </row>
    <row r="86" ht="15.75" customHeight="1">
      <c r="A86" s="308"/>
      <c r="B86" s="362">
        <v>45505.0</v>
      </c>
      <c r="C86" s="335">
        <v>85.341</v>
      </c>
      <c r="D86" s="335">
        <v>85.341</v>
      </c>
      <c r="E86" s="335">
        <v>85.341</v>
      </c>
      <c r="F86" s="335">
        <v>85.341</v>
      </c>
      <c r="G86" s="335" t="s">
        <v>238</v>
      </c>
      <c r="H86" s="336">
        <f t="shared" si="1"/>
        <v>0.005169123715</v>
      </c>
      <c r="I86" s="336"/>
      <c r="J86" s="336"/>
      <c r="K86" s="348"/>
      <c r="L86" s="312"/>
      <c r="M86" s="312"/>
      <c r="N86" s="363">
        <v>45505.0</v>
      </c>
      <c r="O86" s="341">
        <v>28.566</v>
      </c>
      <c r="P86" s="341">
        <v>28.566</v>
      </c>
      <c r="Q86" s="341">
        <v>28.566</v>
      </c>
      <c r="R86" s="341">
        <v>28.566</v>
      </c>
      <c r="S86" s="335" t="s">
        <v>238</v>
      </c>
      <c r="T86" s="336">
        <f t="shared" si="2"/>
        <v>0.006955450109</v>
      </c>
      <c r="U86" s="336"/>
      <c r="V86" s="336"/>
      <c r="W86" s="348"/>
      <c r="X86" s="312"/>
      <c r="Y86" s="312"/>
      <c r="Z86" s="363">
        <v>45505.0</v>
      </c>
      <c r="AA86" s="341">
        <v>2026.22</v>
      </c>
      <c r="AB86" s="341">
        <v>2026.22</v>
      </c>
      <c r="AC86" s="341">
        <v>2026.22</v>
      </c>
      <c r="AD86" s="341">
        <v>2026.22</v>
      </c>
      <c r="AE86" s="335" t="s">
        <v>238</v>
      </c>
      <c r="AF86" s="336">
        <f t="shared" si="3"/>
        <v>0.001114517657</v>
      </c>
      <c r="AG86" s="336"/>
      <c r="AH86" s="336"/>
      <c r="AI86" s="348"/>
      <c r="AJ86" s="312"/>
      <c r="AK86" s="312"/>
      <c r="AL86" s="342">
        <v>45505.0</v>
      </c>
      <c r="AM86" s="343">
        <v>21.028</v>
      </c>
      <c r="AN86" s="343">
        <v>21.028</v>
      </c>
      <c r="AO86" s="343">
        <v>21.028</v>
      </c>
      <c r="AP86" s="343">
        <v>21.028</v>
      </c>
      <c r="AQ86" s="335" t="s">
        <v>238</v>
      </c>
      <c r="AR86" s="336">
        <f t="shared" si="4"/>
        <v>0.0008087728503</v>
      </c>
      <c r="AS86" s="336"/>
      <c r="AT86" s="336"/>
      <c r="AU86" s="348"/>
      <c r="AV86" s="312"/>
      <c r="AW86" s="312"/>
      <c r="AX86" s="312"/>
      <c r="AY86" s="312"/>
      <c r="AZ86" s="312"/>
      <c r="BA86" s="312"/>
      <c r="BB86" s="312"/>
      <c r="BC86" s="312"/>
      <c r="BD86" s="316"/>
      <c r="BE86" s="316"/>
      <c r="BF86" s="316"/>
      <c r="BG86" s="316"/>
      <c r="BH86" s="316"/>
      <c r="BI86" s="316"/>
      <c r="BJ86" s="316"/>
      <c r="BK86" s="316"/>
      <c r="BL86" s="316"/>
      <c r="BM86" s="316"/>
      <c r="BN86" s="316"/>
      <c r="BO86" s="316"/>
      <c r="BP86" s="316"/>
      <c r="BQ86" s="316"/>
      <c r="BR86" s="316"/>
      <c r="BS86" s="316"/>
      <c r="BT86" s="316"/>
      <c r="BU86" s="316"/>
      <c r="BV86" s="316"/>
      <c r="BW86" s="316"/>
      <c r="BX86" s="316"/>
      <c r="BY86" s="316"/>
      <c r="BZ86" s="316"/>
      <c r="CA86" s="316"/>
      <c r="CB86" s="316"/>
      <c r="CC86" s="316"/>
      <c r="CD86" s="316"/>
    </row>
    <row r="87" ht="15.75" customHeight="1">
      <c r="A87" s="308"/>
      <c r="B87" s="362">
        <v>45506.0</v>
      </c>
      <c r="C87" s="335">
        <v>84.447</v>
      </c>
      <c r="D87" s="335">
        <v>84.447</v>
      </c>
      <c r="E87" s="335">
        <v>84.447</v>
      </c>
      <c r="F87" s="335">
        <v>84.447</v>
      </c>
      <c r="G87" s="335" t="s">
        <v>238</v>
      </c>
      <c r="H87" s="336">
        <f t="shared" si="1"/>
        <v>-0.01053087688</v>
      </c>
      <c r="I87" s="336"/>
      <c r="J87" s="336"/>
      <c r="K87" s="348"/>
      <c r="L87" s="312"/>
      <c r="M87" s="312"/>
      <c r="N87" s="363">
        <v>45506.0</v>
      </c>
      <c r="O87" s="341">
        <v>28.846</v>
      </c>
      <c r="P87" s="341">
        <v>28.846</v>
      </c>
      <c r="Q87" s="341">
        <v>28.846</v>
      </c>
      <c r="R87" s="341">
        <v>28.846</v>
      </c>
      <c r="S87" s="335" t="s">
        <v>238</v>
      </c>
      <c r="T87" s="336">
        <f t="shared" si="2"/>
        <v>0.009754135721</v>
      </c>
      <c r="U87" s="336"/>
      <c r="V87" s="336"/>
      <c r="W87" s="348"/>
      <c r="X87" s="312"/>
      <c r="Y87" s="312"/>
      <c r="Z87" s="363">
        <v>45506.0</v>
      </c>
      <c r="AA87" s="341">
        <v>2008.971</v>
      </c>
      <c r="AB87" s="341">
        <v>2008.971</v>
      </c>
      <c r="AC87" s="341">
        <v>2008.971</v>
      </c>
      <c r="AD87" s="341">
        <v>2008.971</v>
      </c>
      <c r="AE87" s="335" t="s">
        <v>238</v>
      </c>
      <c r="AF87" s="336">
        <f t="shared" si="3"/>
        <v>-0.008549337596</v>
      </c>
      <c r="AG87" s="336"/>
      <c r="AH87" s="336"/>
      <c r="AI87" s="348"/>
      <c r="AJ87" s="312"/>
      <c r="AK87" s="312"/>
      <c r="AL87" s="342">
        <v>45506.0</v>
      </c>
      <c r="AM87" s="343">
        <v>21.049</v>
      </c>
      <c r="AN87" s="343">
        <v>21.049</v>
      </c>
      <c r="AO87" s="343">
        <v>21.049</v>
      </c>
      <c r="AP87" s="343">
        <v>21.049</v>
      </c>
      <c r="AQ87" s="335" t="s">
        <v>238</v>
      </c>
      <c r="AR87" s="336">
        <f t="shared" si="4"/>
        <v>0.0009981701045</v>
      </c>
      <c r="AS87" s="336"/>
      <c r="AT87" s="336"/>
      <c r="AU87" s="348"/>
      <c r="AV87" s="312"/>
      <c r="AW87" s="312"/>
      <c r="AX87" s="312"/>
      <c r="AY87" s="312"/>
      <c r="AZ87" s="312"/>
      <c r="BA87" s="312"/>
      <c r="BB87" s="312"/>
      <c r="BC87" s="312"/>
      <c r="BD87" s="316"/>
      <c r="BE87" s="316"/>
      <c r="BF87" s="316"/>
      <c r="BG87" s="316"/>
      <c r="BH87" s="316"/>
      <c r="BI87" s="316"/>
      <c r="BJ87" s="316"/>
      <c r="BK87" s="316"/>
      <c r="BL87" s="316"/>
      <c r="BM87" s="316"/>
      <c r="BN87" s="316"/>
      <c r="BO87" s="316"/>
      <c r="BP87" s="316"/>
      <c r="BQ87" s="316"/>
      <c r="BR87" s="316"/>
      <c r="BS87" s="316"/>
      <c r="BT87" s="316"/>
      <c r="BU87" s="316"/>
      <c r="BV87" s="316"/>
      <c r="BW87" s="316"/>
      <c r="BX87" s="316"/>
      <c r="BY87" s="316"/>
      <c r="BZ87" s="316"/>
      <c r="CA87" s="316"/>
      <c r="CB87" s="316"/>
      <c r="CC87" s="316"/>
      <c r="CD87" s="316"/>
    </row>
    <row r="88" ht="15.75" customHeight="1">
      <c r="A88" s="308"/>
      <c r="B88" s="362">
        <v>45509.0</v>
      </c>
      <c r="C88" s="335">
        <v>82.248</v>
      </c>
      <c r="D88" s="335">
        <v>82.248</v>
      </c>
      <c r="E88" s="335">
        <v>82.248</v>
      </c>
      <c r="F88" s="335">
        <v>82.248</v>
      </c>
      <c r="G88" s="335" t="s">
        <v>238</v>
      </c>
      <c r="H88" s="336">
        <f t="shared" si="1"/>
        <v>-0.0263850454</v>
      </c>
      <c r="I88" s="336"/>
      <c r="J88" s="336"/>
      <c r="K88" s="348"/>
      <c r="L88" s="312"/>
      <c r="M88" s="312"/>
      <c r="N88" s="363">
        <v>45509.0</v>
      </c>
      <c r="O88" s="341">
        <v>28.397</v>
      </c>
      <c r="P88" s="341">
        <v>28.397</v>
      </c>
      <c r="Q88" s="341">
        <v>28.397</v>
      </c>
      <c r="R88" s="341">
        <v>28.397</v>
      </c>
      <c r="S88" s="335" t="s">
        <v>238</v>
      </c>
      <c r="T88" s="336">
        <f t="shared" si="2"/>
        <v>-0.01568782938</v>
      </c>
      <c r="U88" s="336"/>
      <c r="V88" s="336"/>
      <c r="W88" s="348"/>
      <c r="X88" s="312"/>
      <c r="Y88" s="312"/>
      <c r="Z88" s="363">
        <v>45509.0</v>
      </c>
      <c r="AA88" s="341">
        <v>1964.229</v>
      </c>
      <c r="AB88" s="341">
        <v>1964.229</v>
      </c>
      <c r="AC88" s="341">
        <v>1964.229</v>
      </c>
      <c r="AD88" s="341">
        <v>1964.229</v>
      </c>
      <c r="AE88" s="335" t="s">
        <v>238</v>
      </c>
      <c r="AF88" s="336">
        <f t="shared" si="3"/>
        <v>-0.02252284877</v>
      </c>
      <c r="AG88" s="336"/>
      <c r="AH88" s="336"/>
      <c r="AI88" s="348"/>
      <c r="AJ88" s="312"/>
      <c r="AK88" s="312"/>
      <c r="AL88" s="342">
        <v>45509.0</v>
      </c>
      <c r="AM88" s="343">
        <v>21.07</v>
      </c>
      <c r="AN88" s="343">
        <v>21.07</v>
      </c>
      <c r="AO88" s="343">
        <v>21.07</v>
      </c>
      <c r="AP88" s="343">
        <v>21.07</v>
      </c>
      <c r="AQ88" s="335" t="s">
        <v>238</v>
      </c>
      <c r="AR88" s="336">
        <f t="shared" si="4"/>
        <v>0.0009971747544</v>
      </c>
      <c r="AS88" s="336"/>
      <c r="AT88" s="336"/>
      <c r="AU88" s="348"/>
      <c r="AV88" s="312"/>
      <c r="AW88" s="312"/>
      <c r="AX88" s="312"/>
      <c r="AY88" s="312"/>
      <c r="AZ88" s="312"/>
      <c r="BA88" s="312"/>
      <c r="BB88" s="312"/>
      <c r="BC88" s="312"/>
      <c r="BD88" s="316"/>
      <c r="BE88" s="316"/>
      <c r="BF88" s="316"/>
      <c r="BG88" s="316"/>
      <c r="BH88" s="316"/>
      <c r="BI88" s="316"/>
      <c r="BJ88" s="316"/>
      <c r="BK88" s="316"/>
      <c r="BL88" s="316"/>
      <c r="BM88" s="316"/>
      <c r="BN88" s="316"/>
      <c r="BO88" s="316"/>
      <c r="BP88" s="316"/>
      <c r="BQ88" s="316"/>
      <c r="BR88" s="316"/>
      <c r="BS88" s="316"/>
      <c r="BT88" s="316"/>
      <c r="BU88" s="316"/>
      <c r="BV88" s="316"/>
      <c r="BW88" s="316"/>
      <c r="BX88" s="316"/>
      <c r="BY88" s="316"/>
      <c r="BZ88" s="316"/>
      <c r="CA88" s="316"/>
      <c r="CB88" s="316"/>
      <c r="CC88" s="316"/>
      <c r="CD88" s="316"/>
    </row>
    <row r="89" ht="15.75" customHeight="1">
      <c r="A89" s="308"/>
      <c r="B89" s="334">
        <v>45510.0</v>
      </c>
      <c r="C89" s="335">
        <v>82.186</v>
      </c>
      <c r="D89" s="335">
        <v>82.186</v>
      </c>
      <c r="E89" s="335">
        <v>82.186</v>
      </c>
      <c r="F89" s="335">
        <v>82.186</v>
      </c>
      <c r="G89" s="335" t="s">
        <v>238</v>
      </c>
      <c r="H89" s="336">
        <f t="shared" si="1"/>
        <v>-0.0007541019855</v>
      </c>
      <c r="I89" s="336"/>
      <c r="J89" s="336"/>
      <c r="K89" s="348"/>
      <c r="L89" s="312"/>
      <c r="M89" s="312"/>
      <c r="N89" s="363">
        <v>45510.0</v>
      </c>
      <c r="O89" s="341">
        <v>28.339</v>
      </c>
      <c r="P89" s="341">
        <v>28.339</v>
      </c>
      <c r="Q89" s="341">
        <v>28.339</v>
      </c>
      <c r="R89" s="341">
        <v>28.339</v>
      </c>
      <c r="S89" s="335" t="s">
        <v>238</v>
      </c>
      <c r="T89" s="336">
        <f t="shared" si="2"/>
        <v>-0.00204455796</v>
      </c>
      <c r="U89" s="336"/>
      <c r="V89" s="336"/>
      <c r="W89" s="348"/>
      <c r="X89" s="312"/>
      <c r="Y89" s="312"/>
      <c r="Z89" s="340">
        <v>45510.0</v>
      </c>
      <c r="AA89" s="341">
        <v>1957.23</v>
      </c>
      <c r="AB89" s="341">
        <v>1957.23</v>
      </c>
      <c r="AC89" s="341">
        <v>1957.23</v>
      </c>
      <c r="AD89" s="341">
        <v>1957.23</v>
      </c>
      <c r="AE89" s="335" t="s">
        <v>238</v>
      </c>
      <c r="AF89" s="336">
        <f t="shared" si="3"/>
        <v>-0.003569593578</v>
      </c>
      <c r="AG89" s="336"/>
      <c r="AH89" s="336"/>
      <c r="AI89" s="348"/>
      <c r="AJ89" s="312"/>
      <c r="AK89" s="312"/>
      <c r="AL89" s="342">
        <v>45510.0</v>
      </c>
      <c r="AM89" s="343">
        <v>21.076</v>
      </c>
      <c r="AN89" s="343">
        <v>21.076</v>
      </c>
      <c r="AO89" s="343">
        <v>21.076</v>
      </c>
      <c r="AP89" s="343">
        <v>21.076</v>
      </c>
      <c r="AQ89" s="335" t="s">
        <v>238</v>
      </c>
      <c r="AR89" s="336">
        <f t="shared" si="4"/>
        <v>0.0002847245309</v>
      </c>
      <c r="AS89" s="336"/>
      <c r="AT89" s="336"/>
      <c r="AU89" s="348"/>
      <c r="AV89" s="312"/>
      <c r="AW89" s="312"/>
      <c r="AX89" s="312"/>
      <c r="AY89" s="312"/>
      <c r="AZ89" s="312"/>
      <c r="BA89" s="312"/>
      <c r="BB89" s="312"/>
      <c r="BC89" s="312"/>
      <c r="BD89" s="316"/>
      <c r="BE89" s="316"/>
      <c r="BF89" s="316"/>
      <c r="BG89" s="316"/>
      <c r="BH89" s="316"/>
      <c r="BI89" s="316"/>
      <c r="BJ89" s="316"/>
      <c r="BK89" s="316"/>
      <c r="BL89" s="316"/>
      <c r="BM89" s="316"/>
      <c r="BN89" s="316"/>
      <c r="BO89" s="316"/>
      <c r="BP89" s="316"/>
      <c r="BQ89" s="316"/>
      <c r="BR89" s="316"/>
      <c r="BS89" s="316"/>
      <c r="BT89" s="316"/>
      <c r="BU89" s="316"/>
      <c r="BV89" s="316"/>
      <c r="BW89" s="316"/>
      <c r="BX89" s="316"/>
      <c r="BY89" s="316"/>
      <c r="BZ89" s="316"/>
      <c r="CA89" s="316"/>
      <c r="CB89" s="316"/>
      <c r="CC89" s="316"/>
      <c r="CD89" s="316"/>
    </row>
    <row r="90" ht="15.75" customHeight="1">
      <c r="A90" s="308"/>
      <c r="B90" s="334">
        <v>45511.0</v>
      </c>
      <c r="C90" s="335">
        <v>83.419</v>
      </c>
      <c r="D90" s="335">
        <v>83.419</v>
      </c>
      <c r="E90" s="335">
        <v>83.419</v>
      </c>
      <c r="F90" s="335">
        <v>83.419</v>
      </c>
      <c r="G90" s="335" t="s">
        <v>238</v>
      </c>
      <c r="H90" s="336">
        <f t="shared" si="1"/>
        <v>0.01489112991</v>
      </c>
      <c r="I90" s="336"/>
      <c r="J90" s="336"/>
      <c r="K90" s="348"/>
      <c r="L90" s="312"/>
      <c r="M90" s="312"/>
      <c r="N90" s="363">
        <v>45511.0</v>
      </c>
      <c r="O90" s="341">
        <v>28.136</v>
      </c>
      <c r="P90" s="341">
        <v>28.136</v>
      </c>
      <c r="Q90" s="341">
        <v>28.136</v>
      </c>
      <c r="R90" s="341">
        <v>28.136</v>
      </c>
      <c r="S90" s="335" t="s">
        <v>238</v>
      </c>
      <c r="T90" s="336">
        <f t="shared" si="2"/>
        <v>-0.007189052653</v>
      </c>
      <c r="U90" s="336"/>
      <c r="V90" s="336"/>
      <c r="W90" s="348"/>
      <c r="X90" s="312"/>
      <c r="Y90" s="312"/>
      <c r="Z90" s="340">
        <v>45511.0</v>
      </c>
      <c r="AA90" s="341">
        <v>1979.191</v>
      </c>
      <c r="AB90" s="341">
        <v>1979.191</v>
      </c>
      <c r="AC90" s="341">
        <v>1979.191</v>
      </c>
      <c r="AD90" s="341">
        <v>1979.191</v>
      </c>
      <c r="AE90" s="335" t="s">
        <v>238</v>
      </c>
      <c r="AF90" s="336">
        <f t="shared" si="3"/>
        <v>0.01115796702</v>
      </c>
      <c r="AG90" s="336"/>
      <c r="AH90" s="336"/>
      <c r="AI90" s="348"/>
      <c r="AJ90" s="312"/>
      <c r="AK90" s="312"/>
      <c r="AL90" s="342">
        <v>45511.0</v>
      </c>
      <c r="AM90" s="343">
        <v>21.08</v>
      </c>
      <c r="AN90" s="343">
        <v>21.08</v>
      </c>
      <c r="AO90" s="343">
        <v>21.08</v>
      </c>
      <c r="AP90" s="343">
        <v>21.08</v>
      </c>
      <c r="AQ90" s="335" t="s">
        <v>238</v>
      </c>
      <c r="AR90" s="336">
        <f t="shared" si="4"/>
        <v>0.0001897713261</v>
      </c>
      <c r="AS90" s="336"/>
      <c r="AT90" s="336"/>
      <c r="AU90" s="348"/>
      <c r="AV90" s="312"/>
      <c r="AW90" s="312"/>
      <c r="AX90" s="312"/>
      <c r="AY90" s="312"/>
      <c r="AZ90" s="312"/>
      <c r="BA90" s="312"/>
      <c r="BB90" s="312"/>
      <c r="BC90" s="312"/>
      <c r="BD90" s="316"/>
      <c r="BE90" s="316"/>
      <c r="BF90" s="316"/>
      <c r="BG90" s="316"/>
      <c r="BH90" s="316"/>
      <c r="BI90" s="316"/>
      <c r="BJ90" s="316"/>
      <c r="BK90" s="316"/>
      <c r="BL90" s="316"/>
      <c r="BM90" s="316"/>
      <c r="BN90" s="316"/>
      <c r="BO90" s="316"/>
      <c r="BP90" s="316"/>
      <c r="BQ90" s="316"/>
      <c r="BR90" s="316"/>
      <c r="BS90" s="316"/>
      <c r="BT90" s="316"/>
      <c r="BU90" s="316"/>
      <c r="BV90" s="316"/>
      <c r="BW90" s="316"/>
      <c r="BX90" s="316"/>
      <c r="BY90" s="316"/>
      <c r="BZ90" s="316"/>
      <c r="CA90" s="316"/>
      <c r="CB90" s="316"/>
      <c r="CC90" s="316"/>
      <c r="CD90" s="316"/>
    </row>
    <row r="91" ht="15.75" customHeight="1">
      <c r="A91" s="308"/>
      <c r="B91" s="334">
        <v>45512.0</v>
      </c>
      <c r="C91" s="335">
        <v>83.283</v>
      </c>
      <c r="D91" s="335">
        <v>83.283</v>
      </c>
      <c r="E91" s="335">
        <v>83.283</v>
      </c>
      <c r="F91" s="335">
        <v>83.283</v>
      </c>
      <c r="G91" s="335" t="s">
        <v>238</v>
      </c>
      <c r="H91" s="336">
        <f t="shared" si="1"/>
        <v>-0.001631654451</v>
      </c>
      <c r="I91" s="336"/>
      <c r="J91" s="336"/>
      <c r="K91" s="348"/>
      <c r="L91" s="312"/>
      <c r="M91" s="312"/>
      <c r="N91" s="363">
        <v>45512.0</v>
      </c>
      <c r="O91" s="341">
        <v>28.083</v>
      </c>
      <c r="P91" s="341">
        <v>28.083</v>
      </c>
      <c r="Q91" s="341">
        <v>28.083</v>
      </c>
      <c r="R91" s="341">
        <v>28.083</v>
      </c>
      <c r="S91" s="335" t="s">
        <v>238</v>
      </c>
      <c r="T91" s="336">
        <f t="shared" si="2"/>
        <v>-0.001885484114</v>
      </c>
      <c r="U91" s="336"/>
      <c r="V91" s="336"/>
      <c r="W91" s="348"/>
      <c r="X91" s="312"/>
      <c r="Y91" s="312"/>
      <c r="Z91" s="340">
        <v>45512.0</v>
      </c>
      <c r="AA91" s="341">
        <v>1974.683</v>
      </c>
      <c r="AB91" s="341">
        <v>1974.683</v>
      </c>
      <c r="AC91" s="341">
        <v>1974.683</v>
      </c>
      <c r="AD91" s="341">
        <v>1974.683</v>
      </c>
      <c r="AE91" s="335" t="s">
        <v>238</v>
      </c>
      <c r="AF91" s="336">
        <f t="shared" si="3"/>
        <v>-0.002280296212</v>
      </c>
      <c r="AG91" s="336"/>
      <c r="AH91" s="336"/>
      <c r="AI91" s="348"/>
      <c r="AJ91" s="312"/>
      <c r="AK91" s="312"/>
      <c r="AL91" s="342">
        <v>45512.0</v>
      </c>
      <c r="AM91" s="343">
        <v>21.08</v>
      </c>
      <c r="AN91" s="343">
        <v>21.08</v>
      </c>
      <c r="AO91" s="343">
        <v>21.08</v>
      </c>
      <c r="AP91" s="343">
        <v>21.08</v>
      </c>
      <c r="AQ91" s="335" t="s">
        <v>238</v>
      </c>
      <c r="AR91" s="336">
        <f t="shared" si="4"/>
        <v>0</v>
      </c>
      <c r="AS91" s="336"/>
      <c r="AT91" s="336"/>
      <c r="AU91" s="348"/>
      <c r="AV91" s="312"/>
      <c r="AW91" s="312"/>
      <c r="AX91" s="312"/>
      <c r="AY91" s="312"/>
      <c r="AZ91" s="312"/>
      <c r="BA91" s="312"/>
      <c r="BB91" s="312"/>
      <c r="BC91" s="312"/>
      <c r="BD91" s="316"/>
      <c r="BE91" s="316"/>
      <c r="BF91" s="316"/>
      <c r="BG91" s="316"/>
      <c r="BH91" s="316"/>
      <c r="BI91" s="316"/>
      <c r="BJ91" s="316"/>
      <c r="BK91" s="316"/>
      <c r="BL91" s="316"/>
      <c r="BM91" s="316"/>
      <c r="BN91" s="316"/>
      <c r="BO91" s="316"/>
      <c r="BP91" s="316"/>
      <c r="BQ91" s="316"/>
      <c r="BR91" s="316"/>
      <c r="BS91" s="316"/>
      <c r="BT91" s="316"/>
      <c r="BU91" s="316"/>
      <c r="BV91" s="316"/>
      <c r="BW91" s="316"/>
      <c r="BX91" s="316"/>
      <c r="BY91" s="316"/>
      <c r="BZ91" s="316"/>
      <c r="CA91" s="316"/>
      <c r="CB91" s="316"/>
      <c r="CC91" s="316"/>
      <c r="CD91" s="316"/>
    </row>
    <row r="92" ht="15.75" customHeight="1">
      <c r="A92" s="308"/>
      <c r="B92" s="334">
        <v>45513.0</v>
      </c>
      <c r="C92" s="335">
        <v>83.839</v>
      </c>
      <c r="D92" s="335">
        <v>83.839</v>
      </c>
      <c r="E92" s="335">
        <v>83.839</v>
      </c>
      <c r="F92" s="335">
        <v>83.839</v>
      </c>
      <c r="G92" s="335" t="s">
        <v>238</v>
      </c>
      <c r="H92" s="336">
        <f t="shared" si="1"/>
        <v>0.006653846308</v>
      </c>
      <c r="I92" s="336"/>
      <c r="J92" s="336"/>
      <c r="K92" s="348"/>
      <c r="L92" s="312"/>
      <c r="M92" s="312"/>
      <c r="N92" s="363">
        <v>45513.0</v>
      </c>
      <c r="O92" s="341">
        <v>28.358</v>
      </c>
      <c r="P92" s="341">
        <v>28.358</v>
      </c>
      <c r="Q92" s="341">
        <v>28.358</v>
      </c>
      <c r="R92" s="341">
        <v>28.358</v>
      </c>
      <c r="S92" s="335" t="s">
        <v>238</v>
      </c>
      <c r="T92" s="336">
        <f t="shared" si="2"/>
        <v>0.009744766258</v>
      </c>
      <c r="U92" s="336"/>
      <c r="V92" s="336"/>
      <c r="W92" s="348"/>
      <c r="X92" s="312"/>
      <c r="Y92" s="312"/>
      <c r="Z92" s="340">
        <v>45513.0</v>
      </c>
      <c r="AA92" s="341">
        <v>1987.259</v>
      </c>
      <c r="AB92" s="341">
        <v>1987.259</v>
      </c>
      <c r="AC92" s="341">
        <v>1987.259</v>
      </c>
      <c r="AD92" s="341">
        <v>1987.259</v>
      </c>
      <c r="AE92" s="335" t="s">
        <v>238</v>
      </c>
      <c r="AF92" s="336">
        <f t="shared" si="3"/>
        <v>0.006348423191</v>
      </c>
      <c r="AG92" s="336"/>
      <c r="AH92" s="336"/>
      <c r="AI92" s="348"/>
      <c r="AJ92" s="312"/>
      <c r="AK92" s="312"/>
      <c r="AL92" s="342">
        <v>45513.0</v>
      </c>
      <c r="AM92" s="343">
        <v>21.082</v>
      </c>
      <c r="AN92" s="343">
        <v>21.082</v>
      </c>
      <c r="AO92" s="343">
        <v>21.082</v>
      </c>
      <c r="AP92" s="343">
        <v>21.082</v>
      </c>
      <c r="AQ92" s="335" t="s">
        <v>238</v>
      </c>
      <c r="AR92" s="336">
        <f t="shared" si="4"/>
        <v>0.00009487215984</v>
      </c>
      <c r="AS92" s="336"/>
      <c r="AT92" s="336"/>
      <c r="AU92" s="348"/>
      <c r="AV92" s="312"/>
      <c r="AW92" s="312"/>
      <c r="AX92" s="312"/>
      <c r="AY92" s="312"/>
      <c r="AZ92" s="312"/>
      <c r="BA92" s="312"/>
      <c r="BB92" s="312"/>
      <c r="BC92" s="312"/>
      <c r="BD92" s="316"/>
      <c r="BE92" s="316"/>
      <c r="BF92" s="316"/>
      <c r="BG92" s="316"/>
      <c r="BH92" s="316"/>
      <c r="BI92" s="316"/>
      <c r="BJ92" s="316"/>
      <c r="BK92" s="316"/>
      <c r="BL92" s="316"/>
      <c r="BM92" s="316"/>
      <c r="BN92" s="316"/>
      <c r="BO92" s="316"/>
      <c r="BP92" s="316"/>
      <c r="BQ92" s="316"/>
      <c r="BR92" s="316"/>
      <c r="BS92" s="316"/>
      <c r="BT92" s="316"/>
      <c r="BU92" s="316"/>
      <c r="BV92" s="316"/>
      <c r="BW92" s="316"/>
      <c r="BX92" s="316"/>
      <c r="BY92" s="316"/>
      <c r="BZ92" s="316"/>
      <c r="CA92" s="316"/>
      <c r="CB92" s="316"/>
      <c r="CC92" s="316"/>
      <c r="CD92" s="316"/>
    </row>
    <row r="93" ht="15.75" customHeight="1">
      <c r="A93" s="308"/>
      <c r="B93" s="334">
        <v>45516.0</v>
      </c>
      <c r="C93" s="335">
        <v>83.717</v>
      </c>
      <c r="D93" s="335">
        <v>83.717</v>
      </c>
      <c r="E93" s="335">
        <v>83.717</v>
      </c>
      <c r="F93" s="335">
        <v>83.717</v>
      </c>
      <c r="G93" s="335" t="s">
        <v>238</v>
      </c>
      <c r="H93" s="336">
        <f t="shared" si="1"/>
        <v>-0.001456229816</v>
      </c>
      <c r="I93" s="336"/>
      <c r="J93" s="336"/>
      <c r="K93" s="348"/>
      <c r="L93" s="312"/>
      <c r="M93" s="312"/>
      <c r="N93" s="363">
        <v>45516.0</v>
      </c>
      <c r="O93" s="341">
        <v>28.531</v>
      </c>
      <c r="P93" s="341">
        <v>28.531</v>
      </c>
      <c r="Q93" s="341">
        <v>28.531</v>
      </c>
      <c r="R93" s="341">
        <v>28.531</v>
      </c>
      <c r="S93" s="335" t="s">
        <v>238</v>
      </c>
      <c r="T93" s="336">
        <f t="shared" si="2"/>
        <v>0.006082038119</v>
      </c>
      <c r="U93" s="336"/>
      <c r="V93" s="336"/>
      <c r="W93" s="348"/>
      <c r="X93" s="312"/>
      <c r="Y93" s="312"/>
      <c r="Z93" s="340">
        <v>45516.0</v>
      </c>
      <c r="AA93" s="341">
        <v>1992.15</v>
      </c>
      <c r="AB93" s="341">
        <v>1992.15</v>
      </c>
      <c r="AC93" s="341">
        <v>1992.15</v>
      </c>
      <c r="AD93" s="341">
        <v>1992.15</v>
      </c>
      <c r="AE93" s="335" t="s">
        <v>238</v>
      </c>
      <c r="AF93" s="336">
        <f t="shared" si="3"/>
        <v>0.0024581552</v>
      </c>
      <c r="AG93" s="336"/>
      <c r="AH93" s="336"/>
      <c r="AI93" s="348"/>
      <c r="AJ93" s="312"/>
      <c r="AK93" s="312"/>
      <c r="AL93" s="353">
        <v>45516.0</v>
      </c>
      <c r="AM93" s="343">
        <v>21.105</v>
      </c>
      <c r="AN93" s="343">
        <v>21.105</v>
      </c>
      <c r="AO93" s="343">
        <v>21.105</v>
      </c>
      <c r="AP93" s="343">
        <v>21.105</v>
      </c>
      <c r="AQ93" s="335" t="s">
        <v>238</v>
      </c>
      <c r="AR93" s="336">
        <f t="shared" si="4"/>
        <v>0.001090383401</v>
      </c>
      <c r="AS93" s="336"/>
      <c r="AT93" s="336"/>
      <c r="AU93" s="348"/>
      <c r="AV93" s="312"/>
      <c r="AW93" s="312"/>
      <c r="AX93" s="312"/>
      <c r="AY93" s="312"/>
      <c r="AZ93" s="312"/>
      <c r="BA93" s="312"/>
      <c r="BB93" s="312"/>
      <c r="BC93" s="312"/>
      <c r="BD93" s="316"/>
      <c r="BE93" s="316"/>
      <c r="BF93" s="316"/>
      <c r="BG93" s="316"/>
      <c r="BH93" s="316"/>
      <c r="BI93" s="316"/>
      <c r="BJ93" s="316"/>
      <c r="BK93" s="316"/>
      <c r="BL93" s="316"/>
      <c r="BM93" s="316"/>
      <c r="BN93" s="316"/>
      <c r="BO93" s="316"/>
      <c r="BP93" s="316"/>
      <c r="BQ93" s="316"/>
      <c r="BR93" s="316"/>
      <c r="BS93" s="316"/>
      <c r="BT93" s="316"/>
      <c r="BU93" s="316"/>
      <c r="BV93" s="316"/>
      <c r="BW93" s="316"/>
      <c r="BX93" s="316"/>
      <c r="BY93" s="316"/>
      <c r="BZ93" s="316"/>
      <c r="CA93" s="316"/>
      <c r="CB93" s="316"/>
      <c r="CC93" s="316"/>
      <c r="CD93" s="316"/>
    </row>
    <row r="94" ht="15.75" customHeight="1">
      <c r="A94" s="308"/>
      <c r="B94" s="334">
        <v>45517.0</v>
      </c>
      <c r="C94" s="335">
        <v>83.103</v>
      </c>
      <c r="D94" s="335">
        <v>83.103</v>
      </c>
      <c r="E94" s="335">
        <v>83.103</v>
      </c>
      <c r="F94" s="335">
        <v>83.103</v>
      </c>
      <c r="G94" s="335" t="s">
        <v>238</v>
      </c>
      <c r="H94" s="336">
        <f t="shared" si="1"/>
        <v>-0.007361260911</v>
      </c>
      <c r="I94" s="336"/>
      <c r="J94" s="336"/>
      <c r="K94" s="348"/>
      <c r="L94" s="312"/>
      <c r="M94" s="312"/>
      <c r="N94" s="363">
        <v>45517.0</v>
      </c>
      <c r="O94" s="341">
        <v>28.715</v>
      </c>
      <c r="P94" s="341">
        <v>28.715</v>
      </c>
      <c r="Q94" s="341">
        <v>28.715</v>
      </c>
      <c r="R94" s="341">
        <v>28.715</v>
      </c>
      <c r="S94" s="335" t="s">
        <v>238</v>
      </c>
      <c r="T94" s="336">
        <f t="shared" si="2"/>
        <v>0.006428418881</v>
      </c>
      <c r="U94" s="336"/>
      <c r="V94" s="336"/>
      <c r="W94" s="348"/>
      <c r="X94" s="312"/>
      <c r="Y94" s="312"/>
      <c r="Z94" s="340">
        <v>45517.0</v>
      </c>
      <c r="AA94" s="341">
        <v>1979.108</v>
      </c>
      <c r="AB94" s="341">
        <v>1979.108</v>
      </c>
      <c r="AC94" s="341">
        <v>1979.108</v>
      </c>
      <c r="AD94" s="341">
        <v>1979.108</v>
      </c>
      <c r="AE94" s="335" t="s">
        <v>238</v>
      </c>
      <c r="AF94" s="336">
        <f t="shared" si="3"/>
        <v>-0.006568219384</v>
      </c>
      <c r="AG94" s="336"/>
      <c r="AH94" s="336"/>
      <c r="AI94" s="348"/>
      <c r="AJ94" s="312"/>
      <c r="AK94" s="312"/>
      <c r="AL94" s="353">
        <v>45517.0</v>
      </c>
      <c r="AM94" s="343">
        <v>21.104</v>
      </c>
      <c r="AN94" s="343">
        <v>21.104</v>
      </c>
      <c r="AO94" s="343">
        <v>21.104</v>
      </c>
      <c r="AP94" s="343">
        <v>21.104</v>
      </c>
      <c r="AQ94" s="335" t="s">
        <v>238</v>
      </c>
      <c r="AR94" s="336">
        <f t="shared" si="4"/>
        <v>-0.0000473832595</v>
      </c>
      <c r="AS94" s="336"/>
      <c r="AT94" s="336"/>
      <c r="AU94" s="348"/>
      <c r="AV94" s="312"/>
      <c r="AW94" s="312"/>
      <c r="AX94" s="312"/>
      <c r="AY94" s="312"/>
      <c r="AZ94" s="312"/>
      <c r="BA94" s="312"/>
      <c r="BB94" s="312"/>
      <c r="BC94" s="312"/>
      <c r="BD94" s="316"/>
      <c r="BE94" s="316"/>
      <c r="BF94" s="316"/>
      <c r="BG94" s="316"/>
      <c r="BH94" s="316"/>
      <c r="BI94" s="316"/>
      <c r="BJ94" s="316"/>
      <c r="BK94" s="316"/>
      <c r="BL94" s="316"/>
      <c r="BM94" s="316"/>
      <c r="BN94" s="316"/>
      <c r="BO94" s="316"/>
      <c r="BP94" s="316"/>
      <c r="BQ94" s="316"/>
      <c r="BR94" s="316"/>
      <c r="BS94" s="316"/>
      <c r="BT94" s="316"/>
      <c r="BU94" s="316"/>
      <c r="BV94" s="316"/>
      <c r="BW94" s="316"/>
      <c r="BX94" s="316"/>
      <c r="BY94" s="316"/>
      <c r="BZ94" s="316"/>
      <c r="CA94" s="316"/>
      <c r="CB94" s="316"/>
      <c r="CC94" s="316"/>
      <c r="CD94" s="316"/>
    </row>
    <row r="95" ht="15.75" customHeight="1">
      <c r="A95" s="308"/>
      <c r="B95" s="334">
        <v>45518.0</v>
      </c>
      <c r="C95" s="335">
        <v>82.998</v>
      </c>
      <c r="D95" s="335">
        <v>82.998</v>
      </c>
      <c r="E95" s="335">
        <v>82.998</v>
      </c>
      <c r="F95" s="335">
        <v>82.998</v>
      </c>
      <c r="G95" s="335" t="s">
        <v>238</v>
      </c>
      <c r="H95" s="336">
        <f t="shared" si="1"/>
        <v>-0.001264291172</v>
      </c>
      <c r="I95" s="336"/>
      <c r="J95" s="336"/>
      <c r="K95" s="348"/>
      <c r="L95" s="312"/>
      <c r="M95" s="312"/>
      <c r="N95" s="340">
        <v>45518.0</v>
      </c>
      <c r="O95" s="341">
        <v>28.816</v>
      </c>
      <c r="P95" s="341">
        <v>28.816</v>
      </c>
      <c r="Q95" s="341">
        <v>28.816</v>
      </c>
      <c r="R95" s="341">
        <v>28.816</v>
      </c>
      <c r="S95" s="335" t="s">
        <v>238</v>
      </c>
      <c r="T95" s="336">
        <f t="shared" si="2"/>
        <v>0.003511154117</v>
      </c>
      <c r="U95" s="336"/>
      <c r="V95" s="336"/>
      <c r="W95" s="348"/>
      <c r="X95" s="312"/>
      <c r="Y95" s="312"/>
      <c r="Z95" s="340">
        <v>45518.0</v>
      </c>
      <c r="AA95" s="341">
        <v>1977.608</v>
      </c>
      <c r="AB95" s="341">
        <v>1977.608</v>
      </c>
      <c r="AC95" s="341">
        <v>1977.608</v>
      </c>
      <c r="AD95" s="341">
        <v>1977.608</v>
      </c>
      <c r="AE95" s="335" t="s">
        <v>238</v>
      </c>
      <c r="AF95" s="336">
        <f t="shared" si="3"/>
        <v>-0.0007582045676</v>
      </c>
      <c r="AG95" s="336"/>
      <c r="AH95" s="336"/>
      <c r="AI95" s="348"/>
      <c r="AJ95" s="312"/>
      <c r="AK95" s="312"/>
      <c r="AL95" s="353">
        <v>45518.0</v>
      </c>
      <c r="AM95" s="343">
        <v>21.131</v>
      </c>
      <c r="AN95" s="343">
        <v>21.131</v>
      </c>
      <c r="AO95" s="343">
        <v>21.131</v>
      </c>
      <c r="AP95" s="343">
        <v>21.131</v>
      </c>
      <c r="AQ95" s="335" t="s">
        <v>238</v>
      </c>
      <c r="AR95" s="336">
        <f t="shared" si="4"/>
        <v>0.00127856061</v>
      </c>
      <c r="AS95" s="336"/>
      <c r="AT95" s="336"/>
      <c r="AU95" s="348"/>
      <c r="AV95" s="312"/>
      <c r="AW95" s="312"/>
      <c r="AX95" s="312"/>
      <c r="AY95" s="312"/>
      <c r="AZ95" s="312"/>
      <c r="BA95" s="312"/>
      <c r="BB95" s="312"/>
      <c r="BC95" s="312"/>
      <c r="BD95" s="316"/>
      <c r="BE95" s="316"/>
      <c r="BF95" s="316"/>
      <c r="BG95" s="316"/>
      <c r="BH95" s="316"/>
      <c r="BI95" s="316"/>
      <c r="BJ95" s="316"/>
      <c r="BK95" s="316"/>
      <c r="BL95" s="316"/>
      <c r="BM95" s="316"/>
      <c r="BN95" s="316"/>
      <c r="BO95" s="316"/>
      <c r="BP95" s="316"/>
      <c r="BQ95" s="316"/>
      <c r="BR95" s="316"/>
      <c r="BS95" s="316"/>
      <c r="BT95" s="316"/>
      <c r="BU95" s="316"/>
      <c r="BV95" s="316"/>
      <c r="BW95" s="316"/>
      <c r="BX95" s="316"/>
      <c r="BY95" s="316"/>
      <c r="BZ95" s="316"/>
      <c r="CA95" s="316"/>
      <c r="CB95" s="316"/>
      <c r="CC95" s="316"/>
      <c r="CD95" s="316"/>
    </row>
    <row r="96" ht="15.75" customHeight="1">
      <c r="A96" s="308"/>
      <c r="B96" s="362">
        <v>45520.0</v>
      </c>
      <c r="C96" s="335">
        <v>84.381</v>
      </c>
      <c r="D96" s="335">
        <v>84.381</v>
      </c>
      <c r="E96" s="335">
        <v>84.381</v>
      </c>
      <c r="F96" s="335">
        <v>84.381</v>
      </c>
      <c r="G96" s="335" t="s">
        <v>238</v>
      </c>
      <c r="H96" s="336">
        <f t="shared" si="1"/>
        <v>0.01652574665</v>
      </c>
      <c r="I96" s="336"/>
      <c r="J96" s="336"/>
      <c r="K96" s="348"/>
      <c r="L96" s="312"/>
      <c r="M96" s="312"/>
      <c r="N96" s="340">
        <v>45520.0</v>
      </c>
      <c r="O96" s="341">
        <v>28.748</v>
      </c>
      <c r="P96" s="341">
        <v>28.748</v>
      </c>
      <c r="Q96" s="341">
        <v>28.748</v>
      </c>
      <c r="R96" s="341">
        <v>28.748</v>
      </c>
      <c r="S96" s="335" t="s">
        <v>238</v>
      </c>
      <c r="T96" s="336">
        <f t="shared" si="2"/>
        <v>-0.002362588827</v>
      </c>
      <c r="U96" s="336"/>
      <c r="V96" s="336"/>
      <c r="W96" s="348"/>
      <c r="X96" s="312"/>
      <c r="Y96" s="312"/>
      <c r="Z96" s="363">
        <v>45520.0</v>
      </c>
      <c r="AA96" s="341">
        <v>2003.933</v>
      </c>
      <c r="AB96" s="341">
        <v>2003.933</v>
      </c>
      <c r="AC96" s="341">
        <v>2003.933</v>
      </c>
      <c r="AD96" s="341">
        <v>2003.933</v>
      </c>
      <c r="AE96" s="335" t="s">
        <v>238</v>
      </c>
      <c r="AF96" s="336">
        <f t="shared" si="3"/>
        <v>0.01322371595</v>
      </c>
      <c r="AG96" s="336"/>
      <c r="AH96" s="336"/>
      <c r="AI96" s="348"/>
      <c r="AJ96" s="312"/>
      <c r="AK96" s="312"/>
      <c r="AL96" s="353">
        <v>45520.0</v>
      </c>
      <c r="AM96" s="343">
        <v>21.14</v>
      </c>
      <c r="AN96" s="343">
        <v>21.14</v>
      </c>
      <c r="AO96" s="343">
        <v>21.14</v>
      </c>
      <c r="AP96" s="343">
        <v>21.14</v>
      </c>
      <c r="AQ96" s="335" t="s">
        <v>238</v>
      </c>
      <c r="AR96" s="336">
        <f t="shared" si="4"/>
        <v>0.0004258238573</v>
      </c>
      <c r="AS96" s="336"/>
      <c r="AT96" s="336"/>
      <c r="AU96" s="348"/>
      <c r="AV96" s="312"/>
      <c r="AW96" s="312"/>
      <c r="AX96" s="312"/>
      <c r="AY96" s="312"/>
      <c r="AZ96" s="312"/>
      <c r="BA96" s="312"/>
      <c r="BB96" s="312"/>
      <c r="BC96" s="312"/>
      <c r="BD96" s="316"/>
      <c r="BE96" s="316"/>
      <c r="BF96" s="316"/>
      <c r="BG96" s="316"/>
      <c r="BH96" s="316"/>
      <c r="BI96" s="316"/>
      <c r="BJ96" s="316"/>
      <c r="BK96" s="316"/>
      <c r="BL96" s="316"/>
      <c r="BM96" s="316"/>
      <c r="BN96" s="316"/>
      <c r="BO96" s="316"/>
      <c r="BP96" s="316"/>
      <c r="BQ96" s="316"/>
      <c r="BR96" s="316"/>
      <c r="BS96" s="316"/>
      <c r="BT96" s="316"/>
      <c r="BU96" s="316"/>
      <c r="BV96" s="316"/>
      <c r="BW96" s="316"/>
      <c r="BX96" s="316"/>
      <c r="BY96" s="316"/>
      <c r="BZ96" s="316"/>
      <c r="CA96" s="316"/>
      <c r="CB96" s="316"/>
      <c r="CC96" s="316"/>
      <c r="CD96" s="316"/>
    </row>
    <row r="97" ht="15.75" customHeight="1">
      <c r="A97" s="308"/>
      <c r="B97" s="362">
        <v>45523.0</v>
      </c>
      <c r="C97" s="335">
        <v>84.682</v>
      </c>
      <c r="D97" s="335">
        <v>84.682</v>
      </c>
      <c r="E97" s="335">
        <v>84.682</v>
      </c>
      <c r="F97" s="335">
        <v>84.682</v>
      </c>
      <c r="G97" s="335" t="s">
        <v>238</v>
      </c>
      <c r="H97" s="336">
        <f t="shared" si="1"/>
        <v>0.00356080654</v>
      </c>
      <c r="I97" s="336"/>
      <c r="J97" s="336"/>
      <c r="K97" s="348"/>
      <c r="L97" s="312"/>
      <c r="M97" s="312"/>
      <c r="N97" s="340">
        <v>45523.0</v>
      </c>
      <c r="O97" s="341">
        <v>29.168</v>
      </c>
      <c r="P97" s="341">
        <v>29.168</v>
      </c>
      <c r="Q97" s="341">
        <v>29.168</v>
      </c>
      <c r="R97" s="341">
        <v>29.168</v>
      </c>
      <c r="S97" s="335" t="s">
        <v>238</v>
      </c>
      <c r="T97" s="336">
        <f t="shared" si="2"/>
        <v>0.01450401833</v>
      </c>
      <c r="U97" s="336"/>
      <c r="V97" s="336"/>
      <c r="W97" s="348"/>
      <c r="X97" s="312"/>
      <c r="Y97" s="312"/>
      <c r="Z97" s="363">
        <v>45523.0</v>
      </c>
      <c r="AA97" s="341">
        <v>2001.455</v>
      </c>
      <c r="AB97" s="341">
        <v>2001.455</v>
      </c>
      <c r="AC97" s="341">
        <v>2001.455</v>
      </c>
      <c r="AD97" s="341">
        <v>2001.455</v>
      </c>
      <c r="AE97" s="335" t="s">
        <v>238</v>
      </c>
      <c r="AF97" s="336">
        <f t="shared" si="3"/>
        <v>-0.00123733347</v>
      </c>
      <c r="AG97" s="336"/>
      <c r="AH97" s="336"/>
      <c r="AI97" s="348"/>
      <c r="AJ97" s="312"/>
      <c r="AK97" s="312"/>
      <c r="AL97" s="353">
        <v>45523.0</v>
      </c>
      <c r="AM97" s="343">
        <v>21.151</v>
      </c>
      <c r="AN97" s="343">
        <v>21.151</v>
      </c>
      <c r="AO97" s="343">
        <v>21.151</v>
      </c>
      <c r="AP97" s="343">
        <v>21.151</v>
      </c>
      <c r="AQ97" s="335" t="s">
        <v>238</v>
      </c>
      <c r="AR97" s="336">
        <f t="shared" si="4"/>
        <v>0.0005202052563</v>
      </c>
      <c r="AS97" s="336"/>
      <c r="AT97" s="336"/>
      <c r="AU97" s="348"/>
      <c r="AV97" s="312"/>
      <c r="AW97" s="312"/>
      <c r="AX97" s="312"/>
      <c r="AY97" s="312"/>
      <c r="AZ97" s="312"/>
      <c r="BA97" s="312"/>
      <c r="BB97" s="312"/>
      <c r="BC97" s="312"/>
      <c r="BD97" s="316"/>
      <c r="BE97" s="316"/>
      <c r="BF97" s="316"/>
      <c r="BG97" s="316"/>
      <c r="BH97" s="316"/>
      <c r="BI97" s="316"/>
      <c r="BJ97" s="316"/>
      <c r="BK97" s="316"/>
      <c r="BL97" s="316"/>
      <c r="BM97" s="316"/>
      <c r="BN97" s="316"/>
      <c r="BO97" s="316"/>
      <c r="BP97" s="316"/>
      <c r="BQ97" s="316"/>
      <c r="BR97" s="316"/>
      <c r="BS97" s="316"/>
      <c r="BT97" s="316"/>
      <c r="BU97" s="316"/>
      <c r="BV97" s="316"/>
      <c r="BW97" s="316"/>
      <c r="BX97" s="316"/>
      <c r="BY97" s="316"/>
      <c r="BZ97" s="316"/>
      <c r="CA97" s="316"/>
      <c r="CB97" s="316"/>
      <c r="CC97" s="316"/>
      <c r="CD97" s="316"/>
    </row>
    <row r="98" ht="15.75" customHeight="1">
      <c r="A98" s="308"/>
      <c r="B98" s="362">
        <v>45524.0</v>
      </c>
      <c r="C98" s="335">
        <v>85.161</v>
      </c>
      <c r="D98" s="335">
        <v>85.161</v>
      </c>
      <c r="E98" s="335">
        <v>85.161</v>
      </c>
      <c r="F98" s="335">
        <v>85.161</v>
      </c>
      <c r="G98" s="335" t="s">
        <v>238</v>
      </c>
      <c r="H98" s="336">
        <f t="shared" si="1"/>
        <v>0.005640518243</v>
      </c>
      <c r="I98" s="336"/>
      <c r="J98" s="336"/>
      <c r="K98" s="348"/>
      <c r="L98" s="312"/>
      <c r="M98" s="312"/>
      <c r="N98" s="340">
        <v>45524.0</v>
      </c>
      <c r="O98" s="341">
        <v>29.327</v>
      </c>
      <c r="P98" s="341">
        <v>29.327</v>
      </c>
      <c r="Q98" s="341">
        <v>29.327</v>
      </c>
      <c r="R98" s="341">
        <v>29.327</v>
      </c>
      <c r="S98" s="335" t="s">
        <v>238</v>
      </c>
      <c r="T98" s="336">
        <f t="shared" si="2"/>
        <v>0.005436375471</v>
      </c>
      <c r="U98" s="336"/>
      <c r="V98" s="336"/>
      <c r="W98" s="348"/>
      <c r="X98" s="312"/>
      <c r="Y98" s="312"/>
      <c r="Z98" s="363">
        <v>45524.0</v>
      </c>
      <c r="AA98" s="341">
        <v>2010.868</v>
      </c>
      <c r="AB98" s="341">
        <v>2010.868</v>
      </c>
      <c r="AC98" s="341">
        <v>2010.868</v>
      </c>
      <c r="AD98" s="341">
        <v>2010.868</v>
      </c>
      <c r="AE98" s="335" t="s">
        <v>238</v>
      </c>
      <c r="AF98" s="336">
        <f t="shared" si="3"/>
        <v>0.004692053591</v>
      </c>
      <c r="AG98" s="336"/>
      <c r="AH98" s="336"/>
      <c r="AI98" s="348"/>
      <c r="AJ98" s="312"/>
      <c r="AK98" s="312"/>
      <c r="AL98" s="353">
        <v>45524.0</v>
      </c>
      <c r="AM98" s="343">
        <v>21.152</v>
      </c>
      <c r="AN98" s="343">
        <v>21.152</v>
      </c>
      <c r="AO98" s="343">
        <v>21.152</v>
      </c>
      <c r="AP98" s="343">
        <v>21.152</v>
      </c>
      <c r="AQ98" s="335" t="s">
        <v>238</v>
      </c>
      <c r="AR98" s="336">
        <f t="shared" si="4"/>
        <v>0.00004727797084</v>
      </c>
      <c r="AS98" s="336"/>
      <c r="AT98" s="336"/>
      <c r="AU98" s="348"/>
      <c r="AV98" s="312"/>
      <c r="AW98" s="312"/>
      <c r="AX98" s="312"/>
      <c r="AY98" s="312"/>
      <c r="AZ98" s="312"/>
      <c r="BA98" s="312"/>
      <c r="BB98" s="312"/>
      <c r="BC98" s="312"/>
      <c r="BD98" s="316"/>
      <c r="BE98" s="316"/>
      <c r="BF98" s="316"/>
      <c r="BG98" s="316"/>
      <c r="BH98" s="316"/>
      <c r="BI98" s="316"/>
      <c r="BJ98" s="316"/>
      <c r="BK98" s="316"/>
      <c r="BL98" s="316"/>
      <c r="BM98" s="316"/>
      <c r="BN98" s="316"/>
      <c r="BO98" s="316"/>
      <c r="BP98" s="316"/>
      <c r="BQ98" s="316"/>
      <c r="BR98" s="316"/>
      <c r="BS98" s="316"/>
      <c r="BT98" s="316"/>
      <c r="BU98" s="316"/>
      <c r="BV98" s="316"/>
      <c r="BW98" s="316"/>
      <c r="BX98" s="316"/>
      <c r="BY98" s="316"/>
      <c r="BZ98" s="316"/>
      <c r="CA98" s="316"/>
      <c r="CB98" s="316"/>
      <c r="CC98" s="316"/>
      <c r="CD98" s="316"/>
    </row>
    <row r="99" ht="15.75" customHeight="1">
      <c r="A99" s="308"/>
      <c r="B99" s="362">
        <v>45525.0</v>
      </c>
      <c r="C99" s="335">
        <v>85.312</v>
      </c>
      <c r="D99" s="335">
        <v>85.312</v>
      </c>
      <c r="E99" s="335">
        <v>85.312</v>
      </c>
      <c r="F99" s="335">
        <v>85.312</v>
      </c>
      <c r="G99" s="335" t="s">
        <v>238</v>
      </c>
      <c r="H99" s="336">
        <f t="shared" si="1"/>
        <v>0.001771541998</v>
      </c>
      <c r="I99" s="336"/>
      <c r="J99" s="336"/>
      <c r="K99" s="348"/>
      <c r="L99" s="312"/>
      <c r="M99" s="312"/>
      <c r="N99" s="340">
        <v>45525.0</v>
      </c>
      <c r="O99" s="341">
        <v>29.187</v>
      </c>
      <c r="P99" s="341">
        <v>29.187</v>
      </c>
      <c r="Q99" s="341">
        <v>29.187</v>
      </c>
      <c r="R99" s="341">
        <v>29.187</v>
      </c>
      <c r="S99" s="335" t="s">
        <v>238</v>
      </c>
      <c r="T99" s="336">
        <f t="shared" si="2"/>
        <v>-0.004785188746</v>
      </c>
      <c r="U99" s="336"/>
      <c r="V99" s="336"/>
      <c r="W99" s="348"/>
      <c r="X99" s="312"/>
      <c r="Y99" s="312"/>
      <c r="Z99" s="363">
        <v>45525.0</v>
      </c>
      <c r="AA99" s="341">
        <v>2017.527</v>
      </c>
      <c r="AB99" s="341">
        <v>2017.527</v>
      </c>
      <c r="AC99" s="341">
        <v>2017.527</v>
      </c>
      <c r="AD99" s="341">
        <v>2017.527</v>
      </c>
      <c r="AE99" s="335" t="s">
        <v>238</v>
      </c>
      <c r="AF99" s="336">
        <f t="shared" si="3"/>
        <v>0.003306034321</v>
      </c>
      <c r="AG99" s="336"/>
      <c r="AH99" s="336"/>
      <c r="AI99" s="348"/>
      <c r="AJ99" s="312"/>
      <c r="AK99" s="312"/>
      <c r="AL99" s="353">
        <v>45525.0</v>
      </c>
      <c r="AM99" s="343">
        <v>21.159</v>
      </c>
      <c r="AN99" s="343">
        <v>21.159</v>
      </c>
      <c r="AO99" s="343">
        <v>21.159</v>
      </c>
      <c r="AP99" s="343">
        <v>21.159</v>
      </c>
      <c r="AQ99" s="335" t="s">
        <v>238</v>
      </c>
      <c r="AR99" s="336">
        <f t="shared" si="4"/>
        <v>0.0003308832249</v>
      </c>
      <c r="AS99" s="336"/>
      <c r="AT99" s="336"/>
      <c r="AU99" s="348"/>
      <c r="AV99" s="312"/>
      <c r="AW99" s="312"/>
      <c r="AX99" s="312"/>
      <c r="AY99" s="312"/>
      <c r="AZ99" s="312"/>
      <c r="BA99" s="312"/>
      <c r="BB99" s="312"/>
      <c r="BC99" s="312"/>
      <c r="BD99" s="316"/>
      <c r="BE99" s="316"/>
      <c r="BF99" s="316"/>
      <c r="BG99" s="316"/>
      <c r="BH99" s="316"/>
      <c r="BI99" s="316"/>
      <c r="BJ99" s="316"/>
      <c r="BK99" s="316"/>
      <c r="BL99" s="316"/>
      <c r="BM99" s="316"/>
      <c r="BN99" s="316"/>
      <c r="BO99" s="316"/>
      <c r="BP99" s="316"/>
      <c r="BQ99" s="316"/>
      <c r="BR99" s="316"/>
      <c r="BS99" s="316"/>
      <c r="BT99" s="316"/>
      <c r="BU99" s="316"/>
      <c r="BV99" s="316"/>
      <c r="BW99" s="316"/>
      <c r="BX99" s="316"/>
      <c r="BY99" s="316"/>
      <c r="BZ99" s="316"/>
      <c r="CA99" s="316"/>
      <c r="CB99" s="316"/>
      <c r="CC99" s="316"/>
      <c r="CD99" s="316"/>
    </row>
    <row r="100" ht="15.75" customHeight="1">
      <c r="A100" s="308"/>
      <c r="B100" s="362">
        <v>45526.0</v>
      </c>
      <c r="C100" s="335">
        <v>85.278</v>
      </c>
      <c r="D100" s="335">
        <v>85.278</v>
      </c>
      <c r="E100" s="335">
        <v>85.278</v>
      </c>
      <c r="F100" s="335">
        <v>85.278</v>
      </c>
      <c r="G100" s="335" t="s">
        <v>238</v>
      </c>
      <c r="H100" s="336">
        <f t="shared" si="1"/>
        <v>-0.0003986165713</v>
      </c>
      <c r="I100" s="336"/>
      <c r="J100" s="336"/>
      <c r="K100" s="348"/>
      <c r="L100" s="312"/>
      <c r="M100" s="312"/>
      <c r="N100" s="340">
        <v>45526.0</v>
      </c>
      <c r="O100" s="341">
        <v>29.22</v>
      </c>
      <c r="P100" s="341">
        <v>29.22</v>
      </c>
      <c r="Q100" s="341">
        <v>29.22</v>
      </c>
      <c r="R100" s="341">
        <v>29.22</v>
      </c>
      <c r="S100" s="335" t="s">
        <v>238</v>
      </c>
      <c r="T100" s="336">
        <f t="shared" si="2"/>
        <v>0.001130001661</v>
      </c>
      <c r="U100" s="336"/>
      <c r="V100" s="336"/>
      <c r="W100" s="348"/>
      <c r="X100" s="312"/>
      <c r="Y100" s="312"/>
      <c r="Z100" s="363">
        <v>45526.0</v>
      </c>
      <c r="AA100" s="341">
        <v>2024.027</v>
      </c>
      <c r="AB100" s="341">
        <v>2024.027</v>
      </c>
      <c r="AC100" s="341">
        <v>2024.027</v>
      </c>
      <c r="AD100" s="341">
        <v>2024.027</v>
      </c>
      <c r="AE100" s="335" t="s">
        <v>238</v>
      </c>
      <c r="AF100" s="336">
        <f t="shared" si="3"/>
        <v>0.003216587285</v>
      </c>
      <c r="AG100" s="336"/>
      <c r="AH100" s="336"/>
      <c r="AI100" s="348"/>
      <c r="AJ100" s="312"/>
      <c r="AK100" s="312"/>
      <c r="AL100" s="353">
        <v>45526.0</v>
      </c>
      <c r="AM100" s="343">
        <v>21.165</v>
      </c>
      <c r="AN100" s="343">
        <v>21.165</v>
      </c>
      <c r="AO100" s="343">
        <v>21.165</v>
      </c>
      <c r="AP100" s="343">
        <v>21.165</v>
      </c>
      <c r="AQ100" s="335" t="s">
        <v>238</v>
      </c>
      <c r="AR100" s="336">
        <f t="shared" si="4"/>
        <v>0.0002835270787</v>
      </c>
      <c r="AS100" s="336"/>
      <c r="AT100" s="336"/>
      <c r="AU100" s="348"/>
      <c r="AV100" s="312"/>
      <c r="AW100" s="312"/>
      <c r="AX100" s="312"/>
      <c r="AY100" s="312"/>
      <c r="AZ100" s="312"/>
      <c r="BA100" s="312"/>
      <c r="BB100" s="312"/>
      <c r="BC100" s="312"/>
      <c r="BD100" s="316"/>
      <c r="BE100" s="316"/>
      <c r="BF100" s="316"/>
      <c r="BG100" s="316"/>
      <c r="BH100" s="316"/>
      <c r="BI100" s="316"/>
      <c r="BJ100" s="316"/>
      <c r="BK100" s="316"/>
      <c r="BL100" s="316"/>
      <c r="BM100" s="316"/>
      <c r="BN100" s="316"/>
      <c r="BO100" s="316"/>
      <c r="BP100" s="316"/>
      <c r="BQ100" s="316"/>
      <c r="BR100" s="316"/>
      <c r="BS100" s="316"/>
      <c r="BT100" s="316"/>
      <c r="BU100" s="316"/>
      <c r="BV100" s="316"/>
      <c r="BW100" s="316"/>
      <c r="BX100" s="316"/>
      <c r="BY100" s="316"/>
      <c r="BZ100" s="316"/>
      <c r="CA100" s="316"/>
      <c r="CB100" s="316"/>
      <c r="CC100" s="316"/>
      <c r="CD100" s="316"/>
    </row>
    <row r="101" ht="15.75" customHeight="1">
      <c r="A101" s="308"/>
      <c r="B101" s="362">
        <v>45527.0</v>
      </c>
      <c r="C101" s="335">
        <v>85.412</v>
      </c>
      <c r="D101" s="335">
        <v>85.412</v>
      </c>
      <c r="E101" s="335">
        <v>85.412</v>
      </c>
      <c r="F101" s="335">
        <v>85.412</v>
      </c>
      <c r="G101" s="335" t="s">
        <v>238</v>
      </c>
      <c r="H101" s="336">
        <f t="shared" si="1"/>
        <v>0.001570098161</v>
      </c>
      <c r="I101" s="336"/>
      <c r="J101" s="336"/>
      <c r="K101" s="348"/>
      <c r="L101" s="312"/>
      <c r="M101" s="312"/>
      <c r="N101" s="340">
        <v>45527.0</v>
      </c>
      <c r="O101" s="341">
        <v>29.124</v>
      </c>
      <c r="P101" s="341">
        <v>29.124</v>
      </c>
      <c r="Q101" s="341">
        <v>29.124</v>
      </c>
      <c r="R101" s="341">
        <v>29.124</v>
      </c>
      <c r="S101" s="335" t="s">
        <v>238</v>
      </c>
      <c r="T101" s="336">
        <f t="shared" si="2"/>
        <v>-0.00329082979</v>
      </c>
      <c r="U101" s="336"/>
      <c r="V101" s="336"/>
      <c r="W101" s="348"/>
      <c r="X101" s="312"/>
      <c r="Y101" s="312"/>
      <c r="Z101" s="363">
        <v>45527.0</v>
      </c>
      <c r="AA101" s="341">
        <v>2021.512</v>
      </c>
      <c r="AB101" s="341">
        <v>2021.512</v>
      </c>
      <c r="AC101" s="341">
        <v>2021.512</v>
      </c>
      <c r="AD101" s="341">
        <v>2021.512</v>
      </c>
      <c r="AE101" s="335" t="s">
        <v>238</v>
      </c>
      <c r="AF101" s="336">
        <f t="shared" si="3"/>
        <v>-0.00124334499</v>
      </c>
      <c r="AG101" s="336"/>
      <c r="AH101" s="336"/>
      <c r="AI101" s="348"/>
      <c r="AJ101" s="312"/>
      <c r="AK101" s="312"/>
      <c r="AL101" s="353">
        <v>45527.0</v>
      </c>
      <c r="AM101" s="343">
        <v>21.166</v>
      </c>
      <c r="AN101" s="343">
        <v>21.166</v>
      </c>
      <c r="AO101" s="343">
        <v>21.166</v>
      </c>
      <c r="AP101" s="343">
        <v>21.166</v>
      </c>
      <c r="AQ101" s="335" t="s">
        <v>238</v>
      </c>
      <c r="AR101" s="336">
        <f t="shared" si="4"/>
        <v>0.00004724669865</v>
      </c>
      <c r="AS101" s="336"/>
      <c r="AT101" s="336"/>
      <c r="AU101" s="348"/>
      <c r="AV101" s="312"/>
      <c r="AW101" s="312"/>
      <c r="AX101" s="312"/>
      <c r="AY101" s="312"/>
      <c r="AZ101" s="312"/>
      <c r="BA101" s="312"/>
      <c r="BB101" s="312"/>
      <c r="BC101" s="312"/>
      <c r="BD101" s="316"/>
      <c r="BE101" s="316"/>
      <c r="BF101" s="316"/>
      <c r="BG101" s="316"/>
      <c r="BH101" s="316"/>
      <c r="BI101" s="316"/>
      <c r="BJ101" s="316"/>
      <c r="BK101" s="316"/>
      <c r="BL101" s="316"/>
      <c r="BM101" s="316"/>
      <c r="BN101" s="316"/>
      <c r="BO101" s="316"/>
      <c r="BP101" s="316"/>
      <c r="BQ101" s="316"/>
      <c r="BR101" s="316"/>
      <c r="BS101" s="316"/>
      <c r="BT101" s="316"/>
      <c r="BU101" s="316"/>
      <c r="BV101" s="316"/>
      <c r="BW101" s="316"/>
      <c r="BX101" s="316"/>
      <c r="BY101" s="316"/>
      <c r="BZ101" s="316"/>
      <c r="CA101" s="316"/>
      <c r="CB101" s="316"/>
      <c r="CC101" s="316"/>
      <c r="CD101" s="316"/>
    </row>
    <row r="102" ht="15.75" customHeight="1">
      <c r="A102" s="308"/>
      <c r="B102" s="362">
        <v>45530.0</v>
      </c>
      <c r="C102" s="335">
        <v>85.762</v>
      </c>
      <c r="D102" s="335">
        <v>85.762</v>
      </c>
      <c r="E102" s="335">
        <v>85.762</v>
      </c>
      <c r="F102" s="335">
        <v>85.762</v>
      </c>
      <c r="G102" s="335" t="s">
        <v>238</v>
      </c>
      <c r="H102" s="336">
        <f t="shared" si="1"/>
        <v>0.0040894118</v>
      </c>
      <c r="I102" s="336"/>
      <c r="J102" s="336"/>
      <c r="K102" s="348"/>
      <c r="L102" s="312"/>
      <c r="M102" s="312"/>
      <c r="N102" s="363">
        <v>45530.0</v>
      </c>
      <c r="O102" s="341">
        <v>29.404</v>
      </c>
      <c r="P102" s="341">
        <v>29.404</v>
      </c>
      <c r="Q102" s="341">
        <v>29.404</v>
      </c>
      <c r="R102" s="341">
        <v>29.404</v>
      </c>
      <c r="S102" s="335" t="s">
        <v>238</v>
      </c>
      <c r="T102" s="336">
        <f t="shared" si="2"/>
        <v>0.009568142979</v>
      </c>
      <c r="U102" s="336"/>
      <c r="V102" s="336"/>
      <c r="W102" s="348"/>
      <c r="X102" s="312"/>
      <c r="Y102" s="312"/>
      <c r="Z102" s="363">
        <v>45530.0</v>
      </c>
      <c r="AA102" s="341">
        <v>2034.056</v>
      </c>
      <c r="AB102" s="341">
        <v>2034.056</v>
      </c>
      <c r="AC102" s="341">
        <v>2034.056</v>
      </c>
      <c r="AD102" s="341">
        <v>2034.056</v>
      </c>
      <c r="AE102" s="335" t="s">
        <v>238</v>
      </c>
      <c r="AF102" s="336">
        <f t="shared" si="3"/>
        <v>0.006186082937</v>
      </c>
      <c r="AG102" s="336"/>
      <c r="AH102" s="336"/>
      <c r="AI102" s="348"/>
      <c r="AJ102" s="312"/>
      <c r="AK102" s="312"/>
      <c r="AL102" s="353">
        <v>45530.0</v>
      </c>
      <c r="AM102" s="343">
        <v>21.168</v>
      </c>
      <c r="AN102" s="343">
        <v>21.168</v>
      </c>
      <c r="AO102" s="343">
        <v>21.168</v>
      </c>
      <c r="AP102" s="343">
        <v>21.168</v>
      </c>
      <c r="AQ102" s="335" t="s">
        <v>238</v>
      </c>
      <c r="AR102" s="336">
        <f t="shared" si="4"/>
        <v>0.00009448670107</v>
      </c>
      <c r="AS102" s="336"/>
      <c r="AT102" s="336"/>
      <c r="AU102" s="348"/>
      <c r="AV102" s="312"/>
      <c r="AW102" s="312"/>
      <c r="AX102" s="312"/>
      <c r="AY102" s="312"/>
      <c r="AZ102" s="312"/>
      <c r="BA102" s="312"/>
      <c r="BB102" s="312"/>
      <c r="BC102" s="312"/>
      <c r="BD102" s="316"/>
      <c r="BE102" s="316"/>
      <c r="BF102" s="316"/>
      <c r="BG102" s="316"/>
      <c r="BH102" s="316"/>
      <c r="BI102" s="316"/>
      <c r="BJ102" s="316"/>
      <c r="BK102" s="316"/>
      <c r="BL102" s="316"/>
      <c r="BM102" s="316"/>
      <c r="BN102" s="316"/>
      <c r="BO102" s="316"/>
      <c r="BP102" s="316"/>
      <c r="BQ102" s="316"/>
      <c r="BR102" s="316"/>
      <c r="BS102" s="316"/>
      <c r="BT102" s="316"/>
      <c r="BU102" s="316"/>
      <c r="BV102" s="316"/>
      <c r="BW102" s="316"/>
      <c r="BX102" s="316"/>
      <c r="BY102" s="316"/>
      <c r="BZ102" s="316"/>
      <c r="CA102" s="316"/>
      <c r="CB102" s="316"/>
      <c r="CC102" s="316"/>
      <c r="CD102" s="316"/>
    </row>
    <row r="103" ht="15.75" customHeight="1">
      <c r="A103" s="308"/>
      <c r="B103" s="362">
        <v>45531.0</v>
      </c>
      <c r="C103" s="335">
        <v>85.712</v>
      </c>
      <c r="D103" s="335">
        <v>85.712</v>
      </c>
      <c r="E103" s="335">
        <v>85.712</v>
      </c>
      <c r="F103" s="335">
        <v>85.712</v>
      </c>
      <c r="G103" s="335" t="s">
        <v>238</v>
      </c>
      <c r="H103" s="336">
        <f t="shared" si="1"/>
        <v>-0.0005831788075</v>
      </c>
      <c r="I103" s="336"/>
      <c r="J103" s="336"/>
      <c r="K103" s="348"/>
      <c r="L103" s="312"/>
      <c r="M103" s="312"/>
      <c r="N103" s="363">
        <v>45531.0</v>
      </c>
      <c r="O103" s="341">
        <v>29.268</v>
      </c>
      <c r="P103" s="341">
        <v>29.268</v>
      </c>
      <c r="Q103" s="341">
        <v>29.268</v>
      </c>
      <c r="R103" s="341">
        <v>29.268</v>
      </c>
      <c r="S103" s="335" t="s">
        <v>238</v>
      </c>
      <c r="T103" s="336">
        <f t="shared" si="2"/>
        <v>-0.00463595049</v>
      </c>
      <c r="U103" s="336"/>
      <c r="V103" s="336"/>
      <c r="W103" s="348"/>
      <c r="X103" s="312"/>
      <c r="Y103" s="312"/>
      <c r="Z103" s="363">
        <v>45531.0</v>
      </c>
      <c r="AA103" s="341">
        <v>2040.485</v>
      </c>
      <c r="AB103" s="341">
        <v>2040.485</v>
      </c>
      <c r="AC103" s="341">
        <v>2040.485</v>
      </c>
      <c r="AD103" s="341">
        <v>2040.485</v>
      </c>
      <c r="AE103" s="335" t="s">
        <v>238</v>
      </c>
      <c r="AF103" s="336">
        <f t="shared" si="3"/>
        <v>0.003155695493</v>
      </c>
      <c r="AG103" s="336"/>
      <c r="AH103" s="336"/>
      <c r="AI103" s="348"/>
      <c r="AJ103" s="312"/>
      <c r="AK103" s="312"/>
      <c r="AL103" s="353">
        <v>45531.0</v>
      </c>
      <c r="AM103" s="343">
        <v>21.175</v>
      </c>
      <c r="AN103" s="343">
        <v>21.175</v>
      </c>
      <c r="AO103" s="343">
        <v>21.175</v>
      </c>
      <c r="AP103" s="343">
        <v>21.175</v>
      </c>
      <c r="AQ103" s="335" t="s">
        <v>238</v>
      </c>
      <c r="AR103" s="336">
        <f t="shared" si="4"/>
        <v>0.0003306331655</v>
      </c>
      <c r="AS103" s="336"/>
      <c r="AT103" s="336"/>
      <c r="AU103" s="348"/>
      <c r="AV103" s="312"/>
      <c r="AW103" s="312"/>
      <c r="AX103" s="312"/>
      <c r="AY103" s="312"/>
      <c r="AZ103" s="312"/>
      <c r="BA103" s="312"/>
      <c r="BB103" s="312"/>
      <c r="BC103" s="312"/>
      <c r="BD103" s="316"/>
      <c r="BE103" s="316"/>
      <c r="BF103" s="316"/>
      <c r="BG103" s="316"/>
      <c r="BH103" s="316"/>
      <c r="BI103" s="316"/>
      <c r="BJ103" s="316"/>
      <c r="BK103" s="316"/>
      <c r="BL103" s="316"/>
      <c r="BM103" s="316"/>
      <c r="BN103" s="316"/>
      <c r="BO103" s="316"/>
      <c r="BP103" s="316"/>
      <c r="BQ103" s="316"/>
      <c r="BR103" s="316"/>
      <c r="BS103" s="316"/>
      <c r="BT103" s="316"/>
      <c r="BU103" s="316"/>
      <c r="BV103" s="316"/>
      <c r="BW103" s="316"/>
      <c r="BX103" s="316"/>
      <c r="BY103" s="316"/>
      <c r="BZ103" s="316"/>
      <c r="CA103" s="316"/>
      <c r="CB103" s="316"/>
      <c r="CC103" s="316"/>
      <c r="CD103" s="316"/>
    </row>
    <row r="104" ht="15.75" customHeight="1">
      <c r="A104" s="308"/>
      <c r="B104" s="362">
        <v>45532.0</v>
      </c>
      <c r="C104" s="335">
        <v>85.525</v>
      </c>
      <c r="D104" s="335">
        <v>85.525</v>
      </c>
      <c r="E104" s="335">
        <v>85.525</v>
      </c>
      <c r="F104" s="335">
        <v>85.525</v>
      </c>
      <c r="G104" s="335" t="s">
        <v>238</v>
      </c>
      <c r="H104" s="336">
        <f t="shared" si="1"/>
        <v>-0.002184108275</v>
      </c>
      <c r="I104" s="336"/>
      <c r="J104" s="336"/>
      <c r="K104" s="348"/>
      <c r="L104" s="312"/>
      <c r="M104" s="312"/>
      <c r="N104" s="363">
        <v>45532.0</v>
      </c>
      <c r="O104" s="341">
        <v>29.268</v>
      </c>
      <c r="P104" s="341">
        <v>29.268</v>
      </c>
      <c r="Q104" s="341">
        <v>29.268</v>
      </c>
      <c r="R104" s="341">
        <v>29.268</v>
      </c>
      <c r="S104" s="335" t="s">
        <v>238</v>
      </c>
      <c r="T104" s="336">
        <f t="shared" si="2"/>
        <v>0</v>
      </c>
      <c r="U104" s="336"/>
      <c r="V104" s="336"/>
      <c r="W104" s="348"/>
      <c r="X104" s="312"/>
      <c r="Y104" s="312"/>
      <c r="Z104" s="363">
        <v>45532.0</v>
      </c>
      <c r="AA104" s="341">
        <v>2042.57</v>
      </c>
      <c r="AB104" s="341">
        <v>2042.57</v>
      </c>
      <c r="AC104" s="341">
        <v>2042.57</v>
      </c>
      <c r="AD104" s="341">
        <v>2042.57</v>
      </c>
      <c r="AE104" s="335" t="s">
        <v>238</v>
      </c>
      <c r="AF104" s="336">
        <f t="shared" si="3"/>
        <v>0.001021294193</v>
      </c>
      <c r="AG104" s="336"/>
      <c r="AH104" s="336"/>
      <c r="AI104" s="348"/>
      <c r="AJ104" s="312"/>
      <c r="AK104" s="312"/>
      <c r="AL104" s="353">
        <v>45532.0</v>
      </c>
      <c r="AM104" s="343">
        <v>21.183</v>
      </c>
      <c r="AN104" s="343">
        <v>21.183</v>
      </c>
      <c r="AO104" s="343">
        <v>21.183</v>
      </c>
      <c r="AP104" s="343">
        <v>21.183</v>
      </c>
      <c r="AQ104" s="335" t="s">
        <v>238</v>
      </c>
      <c r="AR104" s="336">
        <f t="shared" si="4"/>
        <v>0.0003777326642</v>
      </c>
      <c r="AS104" s="336"/>
      <c r="AT104" s="336"/>
      <c r="AU104" s="348"/>
      <c r="AV104" s="312"/>
      <c r="AW104" s="312"/>
      <c r="AX104" s="312"/>
      <c r="AY104" s="312"/>
      <c r="AZ104" s="312"/>
      <c r="BA104" s="312"/>
      <c r="BB104" s="312"/>
      <c r="BC104" s="312"/>
      <c r="BD104" s="316"/>
      <c r="BE104" s="316"/>
      <c r="BF104" s="316"/>
      <c r="BG104" s="316"/>
      <c r="BH104" s="316"/>
      <c r="BI104" s="316"/>
      <c r="BJ104" s="316"/>
      <c r="BK104" s="316"/>
      <c r="BL104" s="316"/>
      <c r="BM104" s="316"/>
      <c r="BN104" s="316"/>
      <c r="BO104" s="316"/>
      <c r="BP104" s="316"/>
      <c r="BQ104" s="316"/>
      <c r="BR104" s="316"/>
      <c r="BS104" s="316"/>
      <c r="BT104" s="316"/>
      <c r="BU104" s="316"/>
      <c r="BV104" s="316"/>
      <c r="BW104" s="316"/>
      <c r="BX104" s="316"/>
      <c r="BY104" s="316"/>
      <c r="BZ104" s="316"/>
      <c r="CA104" s="316"/>
      <c r="CB104" s="316"/>
      <c r="CC104" s="316"/>
      <c r="CD104" s="316"/>
    </row>
    <row r="105" ht="15.75" customHeight="1">
      <c r="A105" s="308"/>
      <c r="B105" s="362">
        <v>45533.0</v>
      </c>
      <c r="C105" s="335">
        <v>85.624</v>
      </c>
      <c r="D105" s="335">
        <v>85.624</v>
      </c>
      <c r="E105" s="335">
        <v>85.624</v>
      </c>
      <c r="F105" s="335">
        <v>85.624</v>
      </c>
      <c r="G105" s="335" t="s">
        <v>238</v>
      </c>
      <c r="H105" s="336">
        <f t="shared" si="1"/>
        <v>0.001156886818</v>
      </c>
      <c r="I105" s="336"/>
      <c r="J105" s="336"/>
      <c r="K105" s="348"/>
      <c r="L105" s="312"/>
      <c r="M105" s="312"/>
      <c r="N105" s="363">
        <v>45533.0</v>
      </c>
      <c r="O105" s="341">
        <v>29.278</v>
      </c>
      <c r="P105" s="341">
        <v>29.278</v>
      </c>
      <c r="Q105" s="341">
        <v>29.278</v>
      </c>
      <c r="R105" s="341">
        <v>29.278</v>
      </c>
      <c r="S105" s="335" t="s">
        <v>238</v>
      </c>
      <c r="T105" s="336">
        <f t="shared" si="2"/>
        <v>0.0003416117274</v>
      </c>
      <c r="U105" s="336"/>
      <c r="V105" s="336"/>
      <c r="W105" s="348"/>
      <c r="X105" s="312"/>
      <c r="Y105" s="312"/>
      <c r="Z105" s="363">
        <v>45533.0</v>
      </c>
      <c r="AA105" s="341">
        <v>2044.71</v>
      </c>
      <c r="AB105" s="341">
        <v>2044.71</v>
      </c>
      <c r="AC105" s="341">
        <v>2044.71</v>
      </c>
      <c r="AD105" s="341">
        <v>2044.71</v>
      </c>
      <c r="AE105" s="335" t="s">
        <v>238</v>
      </c>
      <c r="AF105" s="336">
        <f t="shared" si="3"/>
        <v>0.001047151257</v>
      </c>
      <c r="AG105" s="336"/>
      <c r="AH105" s="336"/>
      <c r="AI105" s="348"/>
      <c r="AJ105" s="312"/>
      <c r="AK105" s="312"/>
      <c r="AL105" s="353">
        <v>45533.0</v>
      </c>
      <c r="AM105" s="343">
        <v>21.192</v>
      </c>
      <c r="AN105" s="343">
        <v>21.192</v>
      </c>
      <c r="AO105" s="343">
        <v>21.192</v>
      </c>
      <c r="AP105" s="343">
        <v>21.192</v>
      </c>
      <c r="AQ105" s="335" t="s">
        <v>238</v>
      </c>
      <c r="AR105" s="336">
        <f t="shared" si="4"/>
        <v>0.0004247787674</v>
      </c>
      <c r="AS105" s="336"/>
      <c r="AT105" s="336"/>
      <c r="AU105" s="348"/>
      <c r="AV105" s="312"/>
      <c r="AW105" s="312"/>
      <c r="AX105" s="312"/>
      <c r="AY105" s="312"/>
      <c r="AZ105" s="312"/>
      <c r="BA105" s="312"/>
      <c r="BB105" s="312"/>
      <c r="BC105" s="312"/>
      <c r="BD105" s="316"/>
      <c r="BE105" s="316"/>
      <c r="BF105" s="316"/>
      <c r="BG105" s="316"/>
      <c r="BH105" s="316"/>
      <c r="BI105" s="316"/>
      <c r="BJ105" s="316"/>
      <c r="BK105" s="316"/>
      <c r="BL105" s="316"/>
      <c r="BM105" s="316"/>
      <c r="BN105" s="316"/>
      <c r="BO105" s="316"/>
      <c r="BP105" s="316"/>
      <c r="BQ105" s="316"/>
      <c r="BR105" s="316"/>
      <c r="BS105" s="316"/>
      <c r="BT105" s="316"/>
      <c r="BU105" s="316"/>
      <c r="BV105" s="316"/>
      <c r="BW105" s="316"/>
      <c r="BX105" s="316"/>
      <c r="BY105" s="316"/>
      <c r="BZ105" s="316"/>
      <c r="CA105" s="316"/>
      <c r="CB105" s="316"/>
      <c r="CC105" s="316"/>
      <c r="CD105" s="316"/>
    </row>
    <row r="106" ht="15.75" customHeight="1">
      <c r="A106" s="308"/>
      <c r="B106" s="362">
        <v>45534.0</v>
      </c>
      <c r="C106" s="335">
        <v>85.887</v>
      </c>
      <c r="D106" s="335">
        <v>85.887</v>
      </c>
      <c r="E106" s="335">
        <v>85.887</v>
      </c>
      <c r="F106" s="335">
        <v>85.887</v>
      </c>
      <c r="G106" s="335" t="s">
        <v>238</v>
      </c>
      <c r="H106" s="336">
        <f t="shared" si="1"/>
        <v>0.003066861089</v>
      </c>
      <c r="I106" s="336"/>
      <c r="J106" s="336"/>
      <c r="K106" s="348"/>
      <c r="L106" s="312"/>
      <c r="M106" s="312"/>
      <c r="N106" s="363">
        <v>45534.0</v>
      </c>
      <c r="O106" s="341">
        <v>29.321</v>
      </c>
      <c r="P106" s="341">
        <v>29.321</v>
      </c>
      <c r="Q106" s="341">
        <v>29.321</v>
      </c>
      <c r="R106" s="341">
        <v>29.321</v>
      </c>
      <c r="S106" s="335" t="s">
        <v>238</v>
      </c>
      <c r="T106" s="336">
        <f t="shared" si="2"/>
        <v>0.0014676021</v>
      </c>
      <c r="U106" s="336"/>
      <c r="V106" s="336"/>
      <c r="W106" s="348"/>
      <c r="X106" s="312"/>
      <c r="Y106" s="312"/>
      <c r="Z106" s="363">
        <v>45534.0</v>
      </c>
      <c r="AA106" s="341">
        <v>2059.756</v>
      </c>
      <c r="AB106" s="341">
        <v>2059.756</v>
      </c>
      <c r="AC106" s="341">
        <v>2059.756</v>
      </c>
      <c r="AD106" s="341">
        <v>2059.756</v>
      </c>
      <c r="AE106" s="335" t="s">
        <v>238</v>
      </c>
      <c r="AF106" s="336">
        <f t="shared" si="3"/>
        <v>0.007331559036</v>
      </c>
      <c r="AG106" s="336"/>
      <c r="AH106" s="336"/>
      <c r="AI106" s="348"/>
      <c r="AJ106" s="312"/>
      <c r="AK106" s="312"/>
      <c r="AL106" s="353">
        <v>45534.0</v>
      </c>
      <c r="AM106" s="343">
        <v>21.206</v>
      </c>
      <c r="AN106" s="343">
        <v>21.206</v>
      </c>
      <c r="AO106" s="343">
        <v>21.206</v>
      </c>
      <c r="AP106" s="343">
        <v>21.206</v>
      </c>
      <c r="AQ106" s="335" t="s">
        <v>238</v>
      </c>
      <c r="AR106" s="336">
        <f t="shared" si="4"/>
        <v>0.0006604085338</v>
      </c>
      <c r="AS106" s="336"/>
      <c r="AT106" s="336"/>
      <c r="AU106" s="348"/>
      <c r="AV106" s="312"/>
      <c r="AW106" s="312"/>
      <c r="AX106" s="312"/>
      <c r="AY106" s="312"/>
      <c r="AZ106" s="312"/>
      <c r="BA106" s="312"/>
      <c r="BB106" s="312"/>
      <c r="BC106" s="312"/>
      <c r="BD106" s="316"/>
      <c r="BE106" s="316"/>
      <c r="BF106" s="316"/>
      <c r="BG106" s="316"/>
      <c r="BH106" s="316"/>
      <c r="BI106" s="316"/>
      <c r="BJ106" s="316"/>
      <c r="BK106" s="316"/>
      <c r="BL106" s="316"/>
      <c r="BM106" s="316"/>
      <c r="BN106" s="316"/>
      <c r="BO106" s="316"/>
      <c r="BP106" s="316"/>
      <c r="BQ106" s="316"/>
      <c r="BR106" s="316"/>
      <c r="BS106" s="316"/>
      <c r="BT106" s="316"/>
      <c r="BU106" s="316"/>
      <c r="BV106" s="316"/>
      <c r="BW106" s="316"/>
      <c r="BX106" s="316"/>
      <c r="BY106" s="316"/>
      <c r="BZ106" s="316"/>
      <c r="CA106" s="316"/>
      <c r="CB106" s="316"/>
      <c r="CC106" s="316"/>
      <c r="CD106" s="316"/>
    </row>
    <row r="107" ht="15.75" customHeight="1">
      <c r="A107" s="308"/>
      <c r="B107" s="362">
        <v>45537.0</v>
      </c>
      <c r="C107" s="335">
        <v>86.387</v>
      </c>
      <c r="D107" s="335">
        <v>86.387</v>
      </c>
      <c r="E107" s="335">
        <v>86.387</v>
      </c>
      <c r="F107" s="335">
        <v>86.387</v>
      </c>
      <c r="G107" s="335" t="s">
        <v>238</v>
      </c>
      <c r="H107" s="336">
        <f t="shared" si="1"/>
        <v>0.005804722755</v>
      </c>
      <c r="I107" s="336"/>
      <c r="J107" s="336"/>
      <c r="K107" s="348"/>
      <c r="L107" s="312"/>
      <c r="M107" s="312"/>
      <c r="N107" s="363">
        <v>45537.0</v>
      </c>
      <c r="O107" s="341">
        <v>29.123</v>
      </c>
      <c r="P107" s="341">
        <v>29.123</v>
      </c>
      <c r="Q107" s="341">
        <v>29.123</v>
      </c>
      <c r="R107" s="341">
        <v>29.123</v>
      </c>
      <c r="S107" s="335" t="s">
        <v>238</v>
      </c>
      <c r="T107" s="336">
        <f t="shared" si="2"/>
        <v>-0.006775742849</v>
      </c>
      <c r="U107" s="336"/>
      <c r="V107" s="336"/>
      <c r="W107" s="348"/>
      <c r="X107" s="312"/>
      <c r="Y107" s="312"/>
      <c r="Z107" s="363">
        <v>45537.0</v>
      </c>
      <c r="AA107" s="341">
        <v>2063.83</v>
      </c>
      <c r="AB107" s="341">
        <v>2063.83</v>
      </c>
      <c r="AC107" s="341">
        <v>2063.83</v>
      </c>
      <c r="AD107" s="341">
        <v>2063.83</v>
      </c>
      <c r="AE107" s="335" t="s">
        <v>238</v>
      </c>
      <c r="AF107" s="336">
        <f t="shared" si="3"/>
        <v>0.001975950702</v>
      </c>
      <c r="AG107" s="336"/>
      <c r="AH107" s="336"/>
      <c r="AI107" s="348"/>
      <c r="AJ107" s="312"/>
      <c r="AK107" s="312"/>
      <c r="AL107" s="342">
        <v>45537.0</v>
      </c>
      <c r="AM107" s="343">
        <v>21.213</v>
      </c>
      <c r="AN107" s="343">
        <v>21.213</v>
      </c>
      <c r="AO107" s="343">
        <v>21.213</v>
      </c>
      <c r="AP107" s="343">
        <v>21.213</v>
      </c>
      <c r="AQ107" s="335" t="s">
        <v>238</v>
      </c>
      <c r="AR107" s="336">
        <f t="shared" si="4"/>
        <v>0.0003300407866</v>
      </c>
      <c r="AS107" s="336"/>
      <c r="AT107" s="336"/>
      <c r="AU107" s="348"/>
      <c r="AV107" s="312"/>
      <c r="AW107" s="312"/>
      <c r="AX107" s="312"/>
      <c r="AY107" s="312"/>
      <c r="AZ107" s="312"/>
      <c r="BA107" s="312"/>
      <c r="BB107" s="312"/>
      <c r="BC107" s="312"/>
      <c r="BD107" s="316"/>
      <c r="BE107" s="316"/>
      <c r="BF107" s="316"/>
      <c r="BG107" s="316"/>
      <c r="BH107" s="316"/>
      <c r="BI107" s="316"/>
      <c r="BJ107" s="316"/>
      <c r="BK107" s="316"/>
      <c r="BL107" s="316"/>
      <c r="BM107" s="316"/>
      <c r="BN107" s="316"/>
      <c r="BO107" s="316"/>
      <c r="BP107" s="316"/>
      <c r="BQ107" s="316"/>
      <c r="BR107" s="316"/>
      <c r="BS107" s="316"/>
      <c r="BT107" s="316"/>
      <c r="BU107" s="316"/>
      <c r="BV107" s="316"/>
      <c r="BW107" s="316"/>
      <c r="BX107" s="316"/>
      <c r="BY107" s="316"/>
      <c r="BZ107" s="316"/>
      <c r="CA107" s="316"/>
      <c r="CB107" s="316"/>
      <c r="CC107" s="316"/>
      <c r="CD107" s="316"/>
    </row>
    <row r="108" ht="15.75" customHeight="1">
      <c r="A108" s="308"/>
      <c r="B108" s="362">
        <v>45538.0</v>
      </c>
      <c r="C108" s="335">
        <v>86.414</v>
      </c>
      <c r="D108" s="335">
        <v>86.414</v>
      </c>
      <c r="E108" s="335">
        <v>86.414</v>
      </c>
      <c r="F108" s="335">
        <v>86.414</v>
      </c>
      <c r="G108" s="335" t="s">
        <v>238</v>
      </c>
      <c r="H108" s="336">
        <f t="shared" si="1"/>
        <v>0.0003124981941</v>
      </c>
      <c r="I108" s="336"/>
      <c r="J108" s="336"/>
      <c r="K108" s="348"/>
      <c r="L108" s="312"/>
      <c r="M108" s="312"/>
      <c r="N108" s="363">
        <v>45538.0</v>
      </c>
      <c r="O108" s="341">
        <v>29.176</v>
      </c>
      <c r="P108" s="341">
        <v>29.176</v>
      </c>
      <c r="Q108" s="341">
        <v>29.176</v>
      </c>
      <c r="R108" s="341">
        <v>29.176</v>
      </c>
      <c r="S108" s="335" t="s">
        <v>238</v>
      </c>
      <c r="T108" s="336">
        <f t="shared" si="2"/>
        <v>0.001818213506</v>
      </c>
      <c r="U108" s="336"/>
      <c r="V108" s="336"/>
      <c r="W108" s="348"/>
      <c r="X108" s="312"/>
      <c r="Y108" s="312"/>
      <c r="Z108" s="363">
        <v>45538.0</v>
      </c>
      <c r="AA108" s="341">
        <v>2068.741</v>
      </c>
      <c r="AB108" s="341">
        <v>2068.741</v>
      </c>
      <c r="AC108" s="341">
        <v>2068.741</v>
      </c>
      <c r="AD108" s="341">
        <v>2068.741</v>
      </c>
      <c r="AE108" s="335" t="s">
        <v>238</v>
      </c>
      <c r="AF108" s="336">
        <f t="shared" si="3"/>
        <v>0.002376729794</v>
      </c>
      <c r="AG108" s="336"/>
      <c r="AH108" s="336"/>
      <c r="AI108" s="348"/>
      <c r="AJ108" s="312"/>
      <c r="AK108" s="312"/>
      <c r="AL108" s="342">
        <v>45538.0</v>
      </c>
      <c r="AM108" s="343">
        <v>21.225</v>
      </c>
      <c r="AN108" s="343">
        <v>21.225</v>
      </c>
      <c r="AO108" s="343">
        <v>21.225</v>
      </c>
      <c r="AP108" s="343">
        <v>21.225</v>
      </c>
      <c r="AQ108" s="335" t="s">
        <v>238</v>
      </c>
      <c r="AR108" s="336">
        <f t="shared" si="4"/>
        <v>0.0005655309072</v>
      </c>
      <c r="AS108" s="336"/>
      <c r="AT108" s="336"/>
      <c r="AU108" s="348"/>
      <c r="AV108" s="312"/>
      <c r="AW108" s="312"/>
      <c r="AX108" s="312"/>
      <c r="AY108" s="312"/>
      <c r="AZ108" s="312"/>
      <c r="BA108" s="312"/>
      <c r="BB108" s="312"/>
      <c r="BC108" s="312"/>
      <c r="BD108" s="316"/>
      <c r="BE108" s="316"/>
      <c r="BF108" s="316"/>
      <c r="BG108" s="316"/>
      <c r="BH108" s="316"/>
      <c r="BI108" s="316"/>
      <c r="BJ108" s="316"/>
      <c r="BK108" s="316"/>
      <c r="BL108" s="316"/>
      <c r="BM108" s="316"/>
      <c r="BN108" s="316"/>
      <c r="BO108" s="316"/>
      <c r="BP108" s="316"/>
      <c r="BQ108" s="316"/>
      <c r="BR108" s="316"/>
      <c r="BS108" s="316"/>
      <c r="BT108" s="316"/>
      <c r="BU108" s="316"/>
      <c r="BV108" s="316"/>
      <c r="BW108" s="316"/>
      <c r="BX108" s="316"/>
      <c r="BY108" s="316"/>
      <c r="BZ108" s="316"/>
      <c r="CA108" s="316"/>
      <c r="CB108" s="316"/>
      <c r="CC108" s="316"/>
      <c r="CD108" s="316"/>
    </row>
    <row r="109" ht="15.75" customHeight="1">
      <c r="A109" s="308"/>
      <c r="B109" s="362">
        <v>45539.0</v>
      </c>
      <c r="C109" s="335">
        <v>86.208</v>
      </c>
      <c r="D109" s="335">
        <v>86.208</v>
      </c>
      <c r="E109" s="335">
        <v>86.208</v>
      </c>
      <c r="F109" s="335">
        <v>86.208</v>
      </c>
      <c r="G109" s="335" t="s">
        <v>238</v>
      </c>
      <c r="H109" s="336">
        <f t="shared" si="1"/>
        <v>-0.002386718933</v>
      </c>
      <c r="I109" s="336"/>
      <c r="J109" s="336"/>
      <c r="K109" s="348"/>
      <c r="L109" s="312"/>
      <c r="M109" s="312"/>
      <c r="N109" s="363">
        <v>45539.0</v>
      </c>
      <c r="O109" s="341">
        <v>28.92</v>
      </c>
      <c r="P109" s="341">
        <v>28.92</v>
      </c>
      <c r="Q109" s="341">
        <v>28.92</v>
      </c>
      <c r="R109" s="341">
        <v>28.92</v>
      </c>
      <c r="S109" s="335" t="s">
        <v>238</v>
      </c>
      <c r="T109" s="336">
        <f t="shared" si="2"/>
        <v>-0.008813056216</v>
      </c>
      <c r="U109" s="336"/>
      <c r="V109" s="336"/>
      <c r="W109" s="348"/>
      <c r="X109" s="312"/>
      <c r="Y109" s="312"/>
      <c r="Z109" s="363">
        <v>45539.0</v>
      </c>
      <c r="AA109" s="341">
        <v>2069.385</v>
      </c>
      <c r="AB109" s="341">
        <v>2069.385</v>
      </c>
      <c r="AC109" s="341">
        <v>2069.385</v>
      </c>
      <c r="AD109" s="341">
        <v>2069.385</v>
      </c>
      <c r="AE109" s="335" t="s">
        <v>238</v>
      </c>
      <c r="AF109" s="336">
        <f t="shared" si="3"/>
        <v>0.000311252004</v>
      </c>
      <c r="AG109" s="336"/>
      <c r="AH109" s="336"/>
      <c r="AI109" s="348"/>
      <c r="AJ109" s="312"/>
      <c r="AK109" s="312"/>
      <c r="AL109" s="342">
        <v>45539.0</v>
      </c>
      <c r="AM109" s="343">
        <v>21.249</v>
      </c>
      <c r="AN109" s="343">
        <v>21.249</v>
      </c>
      <c r="AO109" s="343">
        <v>21.249</v>
      </c>
      <c r="AP109" s="343">
        <v>21.249</v>
      </c>
      <c r="AQ109" s="335" t="s">
        <v>238</v>
      </c>
      <c r="AR109" s="336">
        <f t="shared" si="4"/>
        <v>0.001130103242</v>
      </c>
      <c r="AS109" s="336"/>
      <c r="AT109" s="336"/>
      <c r="AU109" s="348"/>
      <c r="AV109" s="312"/>
      <c r="AW109" s="312"/>
      <c r="AX109" s="312"/>
      <c r="AY109" s="312"/>
      <c r="AZ109" s="312"/>
      <c r="BA109" s="312"/>
      <c r="BB109" s="312"/>
      <c r="BC109" s="312"/>
      <c r="BD109" s="316"/>
      <c r="BE109" s="316"/>
      <c r="BF109" s="316"/>
      <c r="BG109" s="316"/>
      <c r="BH109" s="316"/>
      <c r="BI109" s="316"/>
      <c r="BJ109" s="316"/>
      <c r="BK109" s="316"/>
      <c r="BL109" s="316"/>
      <c r="BM109" s="316"/>
      <c r="BN109" s="316"/>
      <c r="BO109" s="316"/>
      <c r="BP109" s="316"/>
      <c r="BQ109" s="316"/>
      <c r="BR109" s="316"/>
      <c r="BS109" s="316"/>
      <c r="BT109" s="316"/>
      <c r="BU109" s="316"/>
      <c r="BV109" s="316"/>
      <c r="BW109" s="316"/>
      <c r="BX109" s="316"/>
      <c r="BY109" s="316"/>
      <c r="BZ109" s="316"/>
      <c r="CA109" s="316"/>
      <c r="CB109" s="316"/>
      <c r="CC109" s="316"/>
      <c r="CD109" s="316"/>
    </row>
    <row r="110" ht="15.75" customHeight="1">
      <c r="A110" s="308"/>
      <c r="B110" s="334">
        <v>45540.0</v>
      </c>
      <c r="C110" s="335">
        <v>86.232</v>
      </c>
      <c r="D110" s="335">
        <v>86.232</v>
      </c>
      <c r="E110" s="335">
        <v>86.232</v>
      </c>
      <c r="F110" s="335">
        <v>86.232</v>
      </c>
      <c r="G110" s="335" t="s">
        <v>238</v>
      </c>
      <c r="H110" s="336">
        <f t="shared" si="1"/>
        <v>0.0002783576914</v>
      </c>
      <c r="I110" s="336"/>
      <c r="J110" s="336"/>
      <c r="K110" s="348"/>
      <c r="L110" s="312"/>
      <c r="M110" s="312"/>
      <c r="N110" s="363">
        <v>45540.0</v>
      </c>
      <c r="O110" s="341">
        <v>29.267</v>
      </c>
      <c r="P110" s="341">
        <v>29.267</v>
      </c>
      <c r="Q110" s="341">
        <v>29.267</v>
      </c>
      <c r="R110" s="341">
        <v>29.267</v>
      </c>
      <c r="S110" s="335" t="s">
        <v>238</v>
      </c>
      <c r="T110" s="336">
        <f t="shared" si="2"/>
        <v>0.01192720414</v>
      </c>
      <c r="U110" s="336"/>
      <c r="V110" s="336"/>
      <c r="W110" s="348"/>
      <c r="X110" s="312"/>
      <c r="Y110" s="312"/>
      <c r="Z110" s="340">
        <v>45540.0</v>
      </c>
      <c r="AA110" s="341">
        <v>2067.343</v>
      </c>
      <c r="AB110" s="341">
        <v>2067.343</v>
      </c>
      <c r="AC110" s="341">
        <v>2067.343</v>
      </c>
      <c r="AD110" s="341">
        <v>2067.343</v>
      </c>
      <c r="AE110" s="335" t="s">
        <v>238</v>
      </c>
      <c r="AF110" s="336">
        <f t="shared" si="3"/>
        <v>-0.0009872537744</v>
      </c>
      <c r="AG110" s="336"/>
      <c r="AH110" s="336"/>
      <c r="AI110" s="348"/>
      <c r="AJ110" s="312"/>
      <c r="AK110" s="312"/>
      <c r="AL110" s="342">
        <v>45540.0</v>
      </c>
      <c r="AM110" s="343">
        <v>21.249</v>
      </c>
      <c r="AN110" s="343">
        <v>21.249</v>
      </c>
      <c r="AO110" s="343">
        <v>21.249</v>
      </c>
      <c r="AP110" s="343">
        <v>21.249</v>
      </c>
      <c r="AQ110" s="335" t="s">
        <v>238</v>
      </c>
      <c r="AR110" s="336">
        <f t="shared" si="4"/>
        <v>0</v>
      </c>
      <c r="AS110" s="336"/>
      <c r="AT110" s="336"/>
      <c r="AU110" s="348"/>
      <c r="AV110" s="312"/>
      <c r="AW110" s="312"/>
      <c r="AX110" s="312"/>
      <c r="AY110" s="312"/>
      <c r="AZ110" s="312"/>
      <c r="BA110" s="312"/>
      <c r="BB110" s="312"/>
      <c r="BC110" s="312"/>
      <c r="BD110" s="316"/>
      <c r="BE110" s="316"/>
      <c r="BF110" s="316"/>
      <c r="BG110" s="316"/>
      <c r="BH110" s="316"/>
      <c r="BI110" s="316"/>
      <c r="BJ110" s="316"/>
      <c r="BK110" s="316"/>
      <c r="BL110" s="316"/>
      <c r="BM110" s="316"/>
      <c r="BN110" s="316"/>
      <c r="BO110" s="316"/>
      <c r="BP110" s="316"/>
      <c r="BQ110" s="316"/>
      <c r="BR110" s="316"/>
      <c r="BS110" s="316"/>
      <c r="BT110" s="316"/>
      <c r="BU110" s="316"/>
      <c r="BV110" s="316"/>
      <c r="BW110" s="316"/>
      <c r="BX110" s="316"/>
      <c r="BY110" s="316"/>
      <c r="BZ110" s="316"/>
      <c r="CA110" s="316"/>
      <c r="CB110" s="316"/>
      <c r="CC110" s="316"/>
      <c r="CD110" s="316"/>
    </row>
    <row r="111" ht="15.75" customHeight="1">
      <c r="A111" s="308"/>
      <c r="B111" s="334">
        <v>45541.0</v>
      </c>
      <c r="C111" s="335">
        <v>85.139</v>
      </c>
      <c r="D111" s="335">
        <v>85.139</v>
      </c>
      <c r="E111" s="335">
        <v>85.139</v>
      </c>
      <c r="F111" s="335">
        <v>85.139</v>
      </c>
      <c r="G111" s="335" t="s">
        <v>238</v>
      </c>
      <c r="H111" s="336">
        <f t="shared" si="1"/>
        <v>-0.01275612351</v>
      </c>
      <c r="I111" s="336"/>
      <c r="J111" s="336"/>
      <c r="K111" s="348"/>
      <c r="L111" s="312"/>
      <c r="M111" s="312"/>
      <c r="N111" s="363">
        <v>45541.0</v>
      </c>
      <c r="O111" s="341">
        <v>29.32</v>
      </c>
      <c r="P111" s="341">
        <v>29.32</v>
      </c>
      <c r="Q111" s="341">
        <v>29.32</v>
      </c>
      <c r="R111" s="341">
        <v>29.32</v>
      </c>
      <c r="S111" s="335" t="s">
        <v>238</v>
      </c>
      <c r="T111" s="336">
        <f t="shared" si="2"/>
        <v>0.001809275589</v>
      </c>
      <c r="U111" s="336"/>
      <c r="V111" s="336"/>
      <c r="W111" s="348"/>
      <c r="X111" s="312"/>
      <c r="Y111" s="312"/>
      <c r="Z111" s="340">
        <v>45541.0</v>
      </c>
      <c r="AA111" s="341">
        <v>2047.724</v>
      </c>
      <c r="AB111" s="341">
        <v>2047.724</v>
      </c>
      <c r="AC111" s="341">
        <v>2047.724</v>
      </c>
      <c r="AD111" s="341">
        <v>2047.724</v>
      </c>
      <c r="AE111" s="335" t="s">
        <v>238</v>
      </c>
      <c r="AF111" s="336">
        <f t="shared" si="3"/>
        <v>-0.00953527544</v>
      </c>
      <c r="AG111" s="336"/>
      <c r="AH111" s="336"/>
      <c r="AI111" s="348"/>
      <c r="AJ111" s="312"/>
      <c r="AK111" s="312"/>
      <c r="AL111" s="342">
        <v>45541.0</v>
      </c>
      <c r="AM111" s="343">
        <v>21.258</v>
      </c>
      <c r="AN111" s="343">
        <v>21.258</v>
      </c>
      <c r="AO111" s="343">
        <v>21.258</v>
      </c>
      <c r="AP111" s="343">
        <v>21.258</v>
      </c>
      <c r="AQ111" s="335" t="s">
        <v>238</v>
      </c>
      <c r="AR111" s="336">
        <f t="shared" si="4"/>
        <v>0.0004234596718</v>
      </c>
      <c r="AS111" s="336"/>
      <c r="AT111" s="336"/>
      <c r="AU111" s="348"/>
      <c r="AV111" s="312"/>
      <c r="AW111" s="312"/>
      <c r="AX111" s="312"/>
      <c r="AY111" s="312"/>
      <c r="AZ111" s="312"/>
      <c r="BA111" s="312"/>
      <c r="BB111" s="312"/>
      <c r="BC111" s="312"/>
      <c r="BD111" s="316"/>
      <c r="BE111" s="316"/>
      <c r="BF111" s="316"/>
      <c r="BG111" s="316"/>
      <c r="BH111" s="316"/>
      <c r="BI111" s="316"/>
      <c r="BJ111" s="316"/>
      <c r="BK111" s="316"/>
      <c r="BL111" s="316"/>
      <c r="BM111" s="316"/>
      <c r="BN111" s="316"/>
      <c r="BO111" s="316"/>
      <c r="BP111" s="316"/>
      <c r="BQ111" s="316"/>
      <c r="BR111" s="316"/>
      <c r="BS111" s="316"/>
      <c r="BT111" s="316"/>
      <c r="BU111" s="316"/>
      <c r="BV111" s="316"/>
      <c r="BW111" s="316"/>
      <c r="BX111" s="316"/>
      <c r="BY111" s="316"/>
      <c r="BZ111" s="316"/>
      <c r="CA111" s="316"/>
      <c r="CB111" s="316"/>
      <c r="CC111" s="316"/>
      <c r="CD111" s="316"/>
    </row>
    <row r="112" ht="15.75" customHeight="1">
      <c r="A112" s="308"/>
      <c r="B112" s="334">
        <v>45544.0</v>
      </c>
      <c r="C112" s="335">
        <v>85.053</v>
      </c>
      <c r="D112" s="335">
        <v>85.053</v>
      </c>
      <c r="E112" s="335">
        <v>85.053</v>
      </c>
      <c r="F112" s="335">
        <v>85.053</v>
      </c>
      <c r="G112" s="335" t="s">
        <v>238</v>
      </c>
      <c r="H112" s="336">
        <f t="shared" si="1"/>
        <v>-0.001010623382</v>
      </c>
      <c r="I112" s="336"/>
      <c r="J112" s="336"/>
      <c r="K112" s="348"/>
      <c r="L112" s="312"/>
      <c r="M112" s="312"/>
      <c r="N112" s="363">
        <v>45544.0</v>
      </c>
      <c r="O112" s="341">
        <v>29.079</v>
      </c>
      <c r="P112" s="341">
        <v>29.079</v>
      </c>
      <c r="Q112" s="341">
        <v>29.079</v>
      </c>
      <c r="R112" s="341">
        <v>29.079</v>
      </c>
      <c r="S112" s="335" t="s">
        <v>238</v>
      </c>
      <c r="T112" s="336">
        <f t="shared" si="2"/>
        <v>-0.00825361284</v>
      </c>
      <c r="U112" s="336"/>
      <c r="V112" s="336"/>
      <c r="W112" s="348"/>
      <c r="X112" s="312"/>
      <c r="Y112" s="312"/>
      <c r="Z112" s="340">
        <v>45544.0</v>
      </c>
      <c r="AA112" s="341">
        <v>2051.472</v>
      </c>
      <c r="AB112" s="341">
        <v>2051.472</v>
      </c>
      <c r="AC112" s="341">
        <v>2051.472</v>
      </c>
      <c r="AD112" s="341">
        <v>2051.472</v>
      </c>
      <c r="AE112" s="335" t="s">
        <v>238</v>
      </c>
      <c r="AF112" s="336">
        <f t="shared" si="3"/>
        <v>0.001828651787</v>
      </c>
      <c r="AG112" s="336"/>
      <c r="AH112" s="336"/>
      <c r="AI112" s="348"/>
      <c r="AJ112" s="312"/>
      <c r="AK112" s="312"/>
      <c r="AL112" s="342">
        <v>45544.0</v>
      </c>
      <c r="AM112" s="343">
        <v>21.282</v>
      </c>
      <c r="AN112" s="343">
        <v>21.282</v>
      </c>
      <c r="AO112" s="343">
        <v>21.282</v>
      </c>
      <c r="AP112" s="343">
        <v>21.282</v>
      </c>
      <c r="AQ112" s="335" t="s">
        <v>238</v>
      </c>
      <c r="AR112" s="336">
        <f t="shared" si="4"/>
        <v>0.001128349908</v>
      </c>
      <c r="AS112" s="336"/>
      <c r="AT112" s="336"/>
      <c r="AU112" s="348"/>
      <c r="AV112" s="312"/>
      <c r="AW112" s="312"/>
      <c r="AX112" s="312"/>
      <c r="AY112" s="312"/>
      <c r="AZ112" s="312"/>
      <c r="BA112" s="312"/>
      <c r="BB112" s="312"/>
      <c r="BC112" s="312"/>
      <c r="BD112" s="316"/>
      <c r="BE112" s="316"/>
      <c r="BF112" s="316"/>
      <c r="BG112" s="316"/>
      <c r="BH112" s="316"/>
      <c r="BI112" s="316"/>
      <c r="BJ112" s="316"/>
      <c r="BK112" s="316"/>
      <c r="BL112" s="316"/>
      <c r="BM112" s="316"/>
      <c r="BN112" s="316"/>
      <c r="BO112" s="316"/>
      <c r="BP112" s="316"/>
      <c r="BQ112" s="316"/>
      <c r="BR112" s="316"/>
      <c r="BS112" s="316"/>
      <c r="BT112" s="316"/>
      <c r="BU112" s="316"/>
      <c r="BV112" s="316"/>
      <c r="BW112" s="316"/>
      <c r="BX112" s="316"/>
      <c r="BY112" s="316"/>
      <c r="BZ112" s="316"/>
      <c r="CA112" s="316"/>
      <c r="CB112" s="316"/>
      <c r="CC112" s="316"/>
      <c r="CD112" s="316"/>
    </row>
    <row r="113" ht="15.75" customHeight="1">
      <c r="A113" s="308"/>
      <c r="B113" s="334">
        <v>45545.0</v>
      </c>
      <c r="C113" s="335">
        <v>85.65</v>
      </c>
      <c r="D113" s="335">
        <v>85.65</v>
      </c>
      <c r="E113" s="335">
        <v>85.65</v>
      </c>
      <c r="F113" s="335">
        <v>85.65</v>
      </c>
      <c r="G113" s="335" t="s">
        <v>238</v>
      </c>
      <c r="H113" s="336">
        <f t="shared" si="1"/>
        <v>0.006994633182</v>
      </c>
      <c r="I113" s="336"/>
      <c r="J113" s="336"/>
      <c r="K113" s="348"/>
      <c r="L113" s="312"/>
      <c r="M113" s="312"/>
      <c r="N113" s="363">
        <v>45545.0</v>
      </c>
      <c r="O113" s="341">
        <v>29.175</v>
      </c>
      <c r="P113" s="341">
        <v>29.175</v>
      </c>
      <c r="Q113" s="341">
        <v>29.175</v>
      </c>
      <c r="R113" s="341">
        <v>29.175</v>
      </c>
      <c r="S113" s="335" t="s">
        <v>238</v>
      </c>
      <c r="T113" s="336">
        <f t="shared" si="2"/>
        <v>0.003295913994</v>
      </c>
      <c r="U113" s="336"/>
      <c r="V113" s="336"/>
      <c r="W113" s="348"/>
      <c r="X113" s="312"/>
      <c r="Y113" s="312"/>
      <c r="Z113" s="340">
        <v>45545.0</v>
      </c>
      <c r="AA113" s="341">
        <v>2066.794</v>
      </c>
      <c r="AB113" s="341">
        <v>2066.794</v>
      </c>
      <c r="AC113" s="341">
        <v>2066.794</v>
      </c>
      <c r="AD113" s="341">
        <v>2066.794</v>
      </c>
      <c r="AE113" s="335" t="s">
        <v>238</v>
      </c>
      <c r="AF113" s="336">
        <f t="shared" si="3"/>
        <v>0.007441030131</v>
      </c>
      <c r="AG113" s="336"/>
      <c r="AH113" s="336"/>
      <c r="AI113" s="348"/>
      <c r="AJ113" s="312"/>
      <c r="AK113" s="312"/>
      <c r="AL113" s="353">
        <v>45545.0</v>
      </c>
      <c r="AM113" s="343">
        <v>21.292</v>
      </c>
      <c r="AN113" s="343">
        <v>21.292</v>
      </c>
      <c r="AO113" s="343">
        <v>21.292</v>
      </c>
      <c r="AP113" s="343">
        <v>21.292</v>
      </c>
      <c r="AQ113" s="335" t="s">
        <v>238</v>
      </c>
      <c r="AR113" s="336">
        <f t="shared" si="4"/>
        <v>0.000469770291</v>
      </c>
      <c r="AS113" s="336"/>
      <c r="AT113" s="336"/>
      <c r="AU113" s="348"/>
      <c r="AV113" s="312"/>
      <c r="AW113" s="312"/>
      <c r="AX113" s="312"/>
      <c r="AY113" s="312"/>
      <c r="AZ113" s="312"/>
      <c r="BA113" s="312"/>
      <c r="BB113" s="312"/>
      <c r="BC113" s="312"/>
      <c r="BD113" s="316"/>
      <c r="BE113" s="316"/>
      <c r="BF113" s="316"/>
      <c r="BG113" s="316"/>
      <c r="BH113" s="316"/>
      <c r="BI113" s="316"/>
      <c r="BJ113" s="316"/>
      <c r="BK113" s="316"/>
      <c r="BL113" s="316"/>
      <c r="BM113" s="316"/>
      <c r="BN113" s="316"/>
      <c r="BO113" s="316"/>
      <c r="BP113" s="316"/>
      <c r="BQ113" s="316"/>
      <c r="BR113" s="316"/>
      <c r="BS113" s="316"/>
      <c r="BT113" s="316"/>
      <c r="BU113" s="316"/>
      <c r="BV113" s="316"/>
      <c r="BW113" s="316"/>
      <c r="BX113" s="316"/>
      <c r="BY113" s="316"/>
      <c r="BZ113" s="316"/>
      <c r="CA113" s="316"/>
      <c r="CB113" s="316"/>
      <c r="CC113" s="316"/>
      <c r="CD113" s="316"/>
    </row>
    <row r="114" ht="15.75" customHeight="1">
      <c r="A114" s="308"/>
      <c r="B114" s="334">
        <v>45546.0</v>
      </c>
      <c r="C114" s="335">
        <v>85.703</v>
      </c>
      <c r="D114" s="335">
        <v>85.703</v>
      </c>
      <c r="E114" s="335">
        <v>85.703</v>
      </c>
      <c r="F114" s="335">
        <v>85.703</v>
      </c>
      <c r="G114" s="335" t="s">
        <v>238</v>
      </c>
      <c r="H114" s="336">
        <f t="shared" si="1"/>
        <v>0.0006186060552</v>
      </c>
      <c r="I114" s="336"/>
      <c r="J114" s="336"/>
      <c r="K114" s="348"/>
      <c r="L114" s="312"/>
      <c r="M114" s="312"/>
      <c r="N114" s="363">
        <v>45546.0</v>
      </c>
      <c r="O114" s="341">
        <v>29.344</v>
      </c>
      <c r="P114" s="341">
        <v>29.344</v>
      </c>
      <c r="Q114" s="341">
        <v>29.344</v>
      </c>
      <c r="R114" s="341">
        <v>29.344</v>
      </c>
      <c r="S114" s="335" t="s">
        <v>238</v>
      </c>
      <c r="T114" s="336">
        <f t="shared" si="2"/>
        <v>0.005775917901</v>
      </c>
      <c r="U114" s="336"/>
      <c r="V114" s="336"/>
      <c r="W114" s="348"/>
      <c r="X114" s="312"/>
      <c r="Y114" s="312"/>
      <c r="Z114" s="340">
        <v>45546.0</v>
      </c>
      <c r="AA114" s="341">
        <v>2061.885</v>
      </c>
      <c r="AB114" s="341">
        <v>2061.885</v>
      </c>
      <c r="AC114" s="341">
        <v>2061.885</v>
      </c>
      <c r="AD114" s="341">
        <v>2061.885</v>
      </c>
      <c r="AE114" s="335" t="s">
        <v>238</v>
      </c>
      <c r="AF114" s="336">
        <f t="shared" si="3"/>
        <v>-0.002378001445</v>
      </c>
      <c r="AG114" s="336"/>
      <c r="AH114" s="336"/>
      <c r="AI114" s="348"/>
      <c r="AJ114" s="312"/>
      <c r="AK114" s="312"/>
      <c r="AL114" s="353">
        <v>45546.0</v>
      </c>
      <c r="AM114" s="343">
        <v>21.312</v>
      </c>
      <c r="AN114" s="343">
        <v>21.312</v>
      </c>
      <c r="AO114" s="343">
        <v>21.312</v>
      </c>
      <c r="AP114" s="343">
        <v>21.312</v>
      </c>
      <c r="AQ114" s="335" t="s">
        <v>238</v>
      </c>
      <c r="AR114" s="336">
        <f t="shared" si="4"/>
        <v>0.0009388790475</v>
      </c>
      <c r="AS114" s="336"/>
      <c r="AT114" s="336"/>
      <c r="AU114" s="348"/>
      <c r="AV114" s="312"/>
      <c r="AW114" s="312"/>
      <c r="AX114" s="312"/>
      <c r="AY114" s="312"/>
      <c r="AZ114" s="312"/>
      <c r="BA114" s="312"/>
      <c r="BB114" s="312"/>
      <c r="BC114" s="312"/>
      <c r="BD114" s="316"/>
      <c r="BE114" s="316"/>
      <c r="BF114" s="316"/>
      <c r="BG114" s="316"/>
      <c r="BH114" s="316"/>
      <c r="BI114" s="316"/>
      <c r="BJ114" s="316"/>
      <c r="BK114" s="316"/>
      <c r="BL114" s="316"/>
      <c r="BM114" s="316"/>
      <c r="BN114" s="316"/>
      <c r="BO114" s="316"/>
      <c r="BP114" s="316"/>
      <c r="BQ114" s="316"/>
      <c r="BR114" s="316"/>
      <c r="BS114" s="316"/>
      <c r="BT114" s="316"/>
      <c r="BU114" s="316"/>
      <c r="BV114" s="316"/>
      <c r="BW114" s="316"/>
      <c r="BX114" s="316"/>
      <c r="BY114" s="316"/>
      <c r="BZ114" s="316"/>
      <c r="CA114" s="316"/>
      <c r="CB114" s="316"/>
      <c r="CC114" s="316"/>
      <c r="CD114" s="316"/>
    </row>
    <row r="115" ht="15.75" customHeight="1">
      <c r="A115" s="308"/>
      <c r="B115" s="334">
        <v>45547.0</v>
      </c>
      <c r="C115" s="335">
        <v>86.698</v>
      </c>
      <c r="D115" s="335">
        <v>86.698</v>
      </c>
      <c r="E115" s="335">
        <v>86.698</v>
      </c>
      <c r="F115" s="335">
        <v>86.698</v>
      </c>
      <c r="G115" s="335" t="s">
        <v>238</v>
      </c>
      <c r="H115" s="336">
        <f t="shared" si="1"/>
        <v>0.01154298464</v>
      </c>
      <c r="I115" s="336"/>
      <c r="J115" s="336"/>
      <c r="K115" s="348"/>
      <c r="L115" s="312"/>
      <c r="M115" s="312"/>
      <c r="N115" s="363">
        <v>45547.0</v>
      </c>
      <c r="O115" s="341">
        <v>29.295</v>
      </c>
      <c r="P115" s="341">
        <v>29.295</v>
      </c>
      <c r="Q115" s="341">
        <v>29.295</v>
      </c>
      <c r="R115" s="341">
        <v>29.295</v>
      </c>
      <c r="S115" s="335" t="s">
        <v>238</v>
      </c>
      <c r="T115" s="336">
        <f t="shared" si="2"/>
        <v>-0.001671243077</v>
      </c>
      <c r="U115" s="336"/>
      <c r="V115" s="336"/>
      <c r="W115" s="348"/>
      <c r="X115" s="312"/>
      <c r="Y115" s="312"/>
      <c r="Z115" s="340">
        <v>45547.0</v>
      </c>
      <c r="AA115" s="341">
        <v>2091.319</v>
      </c>
      <c r="AB115" s="341">
        <v>2091.319</v>
      </c>
      <c r="AC115" s="341">
        <v>2091.319</v>
      </c>
      <c r="AD115" s="341">
        <v>2091.319</v>
      </c>
      <c r="AE115" s="335" t="s">
        <v>238</v>
      </c>
      <c r="AF115" s="336">
        <f t="shared" si="3"/>
        <v>0.01417435445</v>
      </c>
      <c r="AG115" s="336"/>
      <c r="AH115" s="336"/>
      <c r="AI115" s="348"/>
      <c r="AJ115" s="312"/>
      <c r="AK115" s="312"/>
      <c r="AL115" s="353">
        <v>45547.0</v>
      </c>
      <c r="AM115" s="343">
        <v>21.327</v>
      </c>
      <c r="AN115" s="343">
        <v>21.327</v>
      </c>
      <c r="AO115" s="343">
        <v>21.327</v>
      </c>
      <c r="AP115" s="343">
        <v>21.327</v>
      </c>
      <c r="AQ115" s="335" t="s">
        <v>238</v>
      </c>
      <c r="AR115" s="336">
        <f t="shared" si="4"/>
        <v>0.0007035812575</v>
      </c>
      <c r="AS115" s="336"/>
      <c r="AT115" s="336"/>
      <c r="AU115" s="348"/>
      <c r="AV115" s="312"/>
      <c r="AW115" s="312"/>
      <c r="AX115" s="312"/>
      <c r="AY115" s="312"/>
      <c r="AZ115" s="312"/>
      <c r="BA115" s="312"/>
      <c r="BB115" s="312"/>
      <c r="BC115" s="312"/>
      <c r="BD115" s="316"/>
      <c r="BE115" s="316"/>
      <c r="BF115" s="316"/>
      <c r="BG115" s="316"/>
      <c r="BH115" s="316"/>
      <c r="BI115" s="316"/>
      <c r="BJ115" s="316"/>
      <c r="BK115" s="316"/>
      <c r="BL115" s="316"/>
      <c r="BM115" s="316"/>
      <c r="BN115" s="316"/>
      <c r="BO115" s="316"/>
      <c r="BP115" s="316"/>
      <c r="BQ115" s="316"/>
      <c r="BR115" s="316"/>
      <c r="BS115" s="316"/>
      <c r="BT115" s="316"/>
      <c r="BU115" s="316"/>
      <c r="BV115" s="316"/>
      <c r="BW115" s="316"/>
      <c r="BX115" s="316"/>
      <c r="BY115" s="316"/>
      <c r="BZ115" s="316"/>
      <c r="CA115" s="316"/>
      <c r="CB115" s="316"/>
      <c r="CC115" s="316"/>
      <c r="CD115" s="316"/>
    </row>
    <row r="116" ht="15.75" customHeight="1">
      <c r="A116" s="308"/>
      <c r="B116" s="362">
        <v>45548.0</v>
      </c>
      <c r="C116" s="335">
        <v>86.689</v>
      </c>
      <c r="D116" s="335">
        <v>86.689</v>
      </c>
      <c r="E116" s="335">
        <v>86.689</v>
      </c>
      <c r="F116" s="335">
        <v>86.689</v>
      </c>
      <c r="G116" s="335" t="s">
        <v>238</v>
      </c>
      <c r="H116" s="336">
        <f t="shared" si="1"/>
        <v>-0.0001038140115</v>
      </c>
      <c r="I116" s="336"/>
      <c r="J116" s="336"/>
      <c r="K116" s="348"/>
      <c r="L116" s="312"/>
      <c r="M116" s="312"/>
      <c r="N116" s="363">
        <v>45548.0</v>
      </c>
      <c r="O116" s="341">
        <v>29.793</v>
      </c>
      <c r="P116" s="341">
        <v>29.793</v>
      </c>
      <c r="Q116" s="341">
        <v>29.793</v>
      </c>
      <c r="R116" s="341">
        <v>29.793</v>
      </c>
      <c r="S116" s="335" t="s">
        <v>238</v>
      </c>
      <c r="T116" s="336">
        <f t="shared" si="2"/>
        <v>0.01685661359</v>
      </c>
      <c r="U116" s="336"/>
      <c r="V116" s="336"/>
      <c r="W116" s="348"/>
      <c r="X116" s="312"/>
      <c r="Y116" s="312"/>
      <c r="Z116" s="363">
        <v>45548.0</v>
      </c>
      <c r="AA116" s="341">
        <v>2088.326</v>
      </c>
      <c r="AB116" s="341">
        <v>2088.326</v>
      </c>
      <c r="AC116" s="341">
        <v>2088.326</v>
      </c>
      <c r="AD116" s="341">
        <v>2088.326</v>
      </c>
      <c r="AE116" s="335" t="s">
        <v>238</v>
      </c>
      <c r="AF116" s="336">
        <f t="shared" si="3"/>
        <v>-0.001432179293</v>
      </c>
      <c r="AG116" s="336"/>
      <c r="AH116" s="336"/>
      <c r="AI116" s="348"/>
      <c r="AJ116" s="312"/>
      <c r="AK116" s="312"/>
      <c r="AL116" s="353">
        <v>45548.0</v>
      </c>
      <c r="AM116" s="343">
        <v>21.33</v>
      </c>
      <c r="AN116" s="343">
        <v>21.33</v>
      </c>
      <c r="AO116" s="343">
        <v>21.33</v>
      </c>
      <c r="AP116" s="343">
        <v>21.33</v>
      </c>
      <c r="AQ116" s="335" t="s">
        <v>238</v>
      </c>
      <c r="AR116" s="336">
        <f t="shared" si="4"/>
        <v>0.0001406568678</v>
      </c>
      <c r="AS116" s="336"/>
      <c r="AT116" s="336"/>
      <c r="AU116" s="348"/>
      <c r="AV116" s="312"/>
      <c r="AW116" s="312"/>
      <c r="AX116" s="312"/>
      <c r="AY116" s="312"/>
      <c r="AZ116" s="312"/>
      <c r="BA116" s="312"/>
      <c r="BB116" s="312"/>
      <c r="BC116" s="312"/>
      <c r="BD116" s="316"/>
      <c r="BE116" s="316"/>
      <c r="BF116" s="316"/>
      <c r="BG116" s="316"/>
      <c r="BH116" s="316"/>
      <c r="BI116" s="316"/>
      <c r="BJ116" s="316"/>
      <c r="BK116" s="316"/>
      <c r="BL116" s="316"/>
      <c r="BM116" s="316"/>
      <c r="BN116" s="316"/>
      <c r="BO116" s="316"/>
      <c r="BP116" s="316"/>
      <c r="BQ116" s="316"/>
      <c r="BR116" s="316"/>
      <c r="BS116" s="316"/>
      <c r="BT116" s="316"/>
      <c r="BU116" s="316"/>
      <c r="BV116" s="316"/>
      <c r="BW116" s="316"/>
      <c r="BX116" s="316"/>
      <c r="BY116" s="316"/>
      <c r="BZ116" s="316"/>
      <c r="CA116" s="316"/>
      <c r="CB116" s="316"/>
      <c r="CC116" s="316"/>
      <c r="CD116" s="316"/>
    </row>
    <row r="117" ht="15.75" customHeight="1">
      <c r="A117" s="308"/>
      <c r="B117" s="362">
        <v>45551.0</v>
      </c>
      <c r="C117" s="335">
        <v>87.037</v>
      </c>
      <c r="D117" s="335">
        <v>87.037</v>
      </c>
      <c r="E117" s="335">
        <v>87.037</v>
      </c>
      <c r="F117" s="335">
        <v>87.037</v>
      </c>
      <c r="G117" s="335" t="s">
        <v>238</v>
      </c>
      <c r="H117" s="336">
        <f t="shared" si="1"/>
        <v>0.004006314144</v>
      </c>
      <c r="I117" s="336"/>
      <c r="J117" s="336"/>
      <c r="K117" s="348"/>
      <c r="L117" s="312"/>
      <c r="M117" s="312"/>
      <c r="N117" s="340">
        <v>45551.0</v>
      </c>
      <c r="O117" s="341">
        <v>29.991</v>
      </c>
      <c r="P117" s="341">
        <v>29.991</v>
      </c>
      <c r="Q117" s="341">
        <v>29.991</v>
      </c>
      <c r="R117" s="341">
        <v>29.991</v>
      </c>
      <c r="S117" s="335" t="s">
        <v>238</v>
      </c>
      <c r="T117" s="336">
        <f t="shared" si="2"/>
        <v>0.006623870064</v>
      </c>
      <c r="U117" s="336"/>
      <c r="V117" s="336"/>
      <c r="W117" s="348"/>
      <c r="X117" s="312"/>
      <c r="Y117" s="312"/>
      <c r="Z117" s="363">
        <v>45551.0</v>
      </c>
      <c r="AA117" s="341">
        <v>2090.836</v>
      </c>
      <c r="AB117" s="341">
        <v>2090.836</v>
      </c>
      <c r="AC117" s="341">
        <v>2090.836</v>
      </c>
      <c r="AD117" s="341">
        <v>2090.836</v>
      </c>
      <c r="AE117" s="335" t="s">
        <v>238</v>
      </c>
      <c r="AF117" s="336">
        <f t="shared" si="3"/>
        <v>0.001201197897</v>
      </c>
      <c r="AG117" s="336"/>
      <c r="AH117" s="336"/>
      <c r="AI117" s="348"/>
      <c r="AJ117" s="312"/>
      <c r="AK117" s="312"/>
      <c r="AL117" s="353">
        <v>45551.0</v>
      </c>
      <c r="AM117" s="343">
        <v>21.351</v>
      </c>
      <c r="AN117" s="343">
        <v>21.351</v>
      </c>
      <c r="AO117" s="343">
        <v>21.351</v>
      </c>
      <c r="AP117" s="343">
        <v>21.351</v>
      </c>
      <c r="AQ117" s="335" t="s">
        <v>238</v>
      </c>
      <c r="AR117" s="336">
        <f t="shared" si="4"/>
        <v>0.000984044502</v>
      </c>
      <c r="AS117" s="336"/>
      <c r="AT117" s="336"/>
      <c r="AU117" s="348"/>
      <c r="AV117" s="312"/>
      <c r="AW117" s="312"/>
      <c r="AX117" s="312"/>
      <c r="AY117" s="312"/>
      <c r="AZ117" s="312"/>
      <c r="BA117" s="312"/>
      <c r="BB117" s="312"/>
      <c r="BC117" s="312"/>
      <c r="BD117" s="316"/>
      <c r="BE117" s="316"/>
      <c r="BF117" s="316"/>
      <c r="BG117" s="316"/>
      <c r="BH117" s="316"/>
      <c r="BI117" s="316"/>
      <c r="BJ117" s="316"/>
      <c r="BK117" s="316"/>
      <c r="BL117" s="316"/>
      <c r="BM117" s="316"/>
      <c r="BN117" s="316"/>
      <c r="BO117" s="316"/>
      <c r="BP117" s="316"/>
      <c r="BQ117" s="316"/>
      <c r="BR117" s="316"/>
      <c r="BS117" s="316"/>
      <c r="BT117" s="316"/>
      <c r="BU117" s="316"/>
      <c r="BV117" s="316"/>
      <c r="BW117" s="316"/>
      <c r="BX117" s="316"/>
      <c r="BY117" s="316"/>
      <c r="BZ117" s="316"/>
      <c r="CA117" s="316"/>
      <c r="CB117" s="316"/>
      <c r="CC117" s="316"/>
      <c r="CD117" s="316"/>
    </row>
    <row r="118" ht="15.75" customHeight="1">
      <c r="A118" s="308"/>
      <c r="B118" s="362">
        <v>45552.0</v>
      </c>
      <c r="C118" s="335">
        <v>87.082</v>
      </c>
      <c r="D118" s="335">
        <v>87.082</v>
      </c>
      <c r="E118" s="335">
        <v>87.082</v>
      </c>
      <c r="F118" s="335">
        <v>87.082</v>
      </c>
      <c r="G118" s="335" t="s">
        <v>238</v>
      </c>
      <c r="H118" s="336">
        <f t="shared" si="1"/>
        <v>0.000516887887</v>
      </c>
      <c r="I118" s="336"/>
      <c r="J118" s="336"/>
      <c r="K118" s="348"/>
      <c r="L118" s="312"/>
      <c r="M118" s="312"/>
      <c r="N118" s="340">
        <v>45552.0</v>
      </c>
      <c r="O118" s="341">
        <v>29.855</v>
      </c>
      <c r="P118" s="341">
        <v>29.855</v>
      </c>
      <c r="Q118" s="341">
        <v>29.855</v>
      </c>
      <c r="R118" s="341">
        <v>29.855</v>
      </c>
      <c r="S118" s="335" t="s">
        <v>238</v>
      </c>
      <c r="T118" s="336">
        <f t="shared" si="2"/>
        <v>-0.004545006654</v>
      </c>
      <c r="U118" s="336"/>
      <c r="V118" s="336"/>
      <c r="W118" s="348"/>
      <c r="X118" s="312"/>
      <c r="Y118" s="312"/>
      <c r="Z118" s="363">
        <v>45552.0</v>
      </c>
      <c r="AA118" s="341">
        <v>2096.246</v>
      </c>
      <c r="AB118" s="341">
        <v>2096.246</v>
      </c>
      <c r="AC118" s="341">
        <v>2096.246</v>
      </c>
      <c r="AD118" s="341">
        <v>2096.246</v>
      </c>
      <c r="AE118" s="335" t="s">
        <v>238</v>
      </c>
      <c r="AF118" s="336">
        <f t="shared" si="3"/>
        <v>0.002584139986</v>
      </c>
      <c r="AG118" s="336"/>
      <c r="AH118" s="336"/>
      <c r="AI118" s="348"/>
      <c r="AJ118" s="312"/>
      <c r="AK118" s="312"/>
      <c r="AL118" s="353">
        <v>45552.0</v>
      </c>
      <c r="AM118" s="343">
        <v>21.351</v>
      </c>
      <c r="AN118" s="343">
        <v>21.351</v>
      </c>
      <c r="AO118" s="343">
        <v>21.351</v>
      </c>
      <c r="AP118" s="343">
        <v>21.351</v>
      </c>
      <c r="AQ118" s="335" t="s">
        <v>238</v>
      </c>
      <c r="AR118" s="336">
        <f t="shared" si="4"/>
        <v>0</v>
      </c>
      <c r="AS118" s="336"/>
      <c r="AT118" s="336"/>
      <c r="AU118" s="348"/>
      <c r="AV118" s="312"/>
      <c r="AW118" s="312"/>
      <c r="AX118" s="312"/>
      <c r="AY118" s="312"/>
      <c r="AZ118" s="312"/>
      <c r="BA118" s="312"/>
      <c r="BB118" s="312"/>
      <c r="BC118" s="312"/>
      <c r="BD118" s="316"/>
      <c r="BE118" s="316"/>
      <c r="BF118" s="316"/>
      <c r="BG118" s="316"/>
      <c r="BH118" s="316"/>
      <c r="BI118" s="316"/>
      <c r="BJ118" s="316"/>
      <c r="BK118" s="316"/>
      <c r="BL118" s="316"/>
      <c r="BM118" s="316"/>
      <c r="BN118" s="316"/>
      <c r="BO118" s="316"/>
      <c r="BP118" s="316"/>
      <c r="BQ118" s="316"/>
      <c r="BR118" s="316"/>
      <c r="BS118" s="316"/>
      <c r="BT118" s="316"/>
      <c r="BU118" s="316"/>
      <c r="BV118" s="316"/>
      <c r="BW118" s="316"/>
      <c r="BX118" s="316"/>
      <c r="BY118" s="316"/>
      <c r="BZ118" s="316"/>
      <c r="CA118" s="316"/>
      <c r="CB118" s="316"/>
      <c r="CC118" s="316"/>
      <c r="CD118" s="316"/>
    </row>
    <row r="119" ht="15.75" customHeight="1">
      <c r="A119" s="308"/>
      <c r="B119" s="362">
        <v>45554.0</v>
      </c>
      <c r="C119" s="335">
        <v>87.533</v>
      </c>
      <c r="D119" s="335">
        <v>87.533</v>
      </c>
      <c r="E119" s="335">
        <v>87.533</v>
      </c>
      <c r="F119" s="335">
        <v>87.533</v>
      </c>
      <c r="G119" s="335" t="s">
        <v>238</v>
      </c>
      <c r="H119" s="336">
        <f t="shared" si="1"/>
        <v>0.005165661631</v>
      </c>
      <c r="I119" s="336"/>
      <c r="J119" s="336"/>
      <c r="K119" s="348"/>
      <c r="L119" s="312"/>
      <c r="M119" s="312"/>
      <c r="N119" s="340">
        <v>45554.0</v>
      </c>
      <c r="O119" s="341">
        <v>30.058</v>
      </c>
      <c r="P119" s="341">
        <v>30.058</v>
      </c>
      <c r="Q119" s="341">
        <v>30.058</v>
      </c>
      <c r="R119" s="341">
        <v>30.058</v>
      </c>
      <c r="S119" s="335" t="s">
        <v>238</v>
      </c>
      <c r="T119" s="336">
        <f t="shared" si="2"/>
        <v>0.006776518513</v>
      </c>
      <c r="U119" s="336"/>
      <c r="V119" s="336"/>
      <c r="W119" s="348"/>
      <c r="X119" s="312"/>
      <c r="Y119" s="312"/>
      <c r="Z119" s="363">
        <v>45554.0</v>
      </c>
      <c r="AA119" s="341">
        <v>2094.55</v>
      </c>
      <c r="AB119" s="341">
        <v>2094.55</v>
      </c>
      <c r="AC119" s="341">
        <v>2094.55</v>
      </c>
      <c r="AD119" s="341">
        <v>2094.55</v>
      </c>
      <c r="AE119" s="335" t="s">
        <v>238</v>
      </c>
      <c r="AF119" s="336">
        <f t="shared" si="3"/>
        <v>-0.0008093928183</v>
      </c>
      <c r="AG119" s="336"/>
      <c r="AH119" s="336"/>
      <c r="AI119" s="348"/>
      <c r="AJ119" s="312"/>
      <c r="AK119" s="312"/>
      <c r="AL119" s="353">
        <v>45554.0</v>
      </c>
      <c r="AM119" s="343">
        <v>21.37</v>
      </c>
      <c r="AN119" s="343">
        <v>21.37</v>
      </c>
      <c r="AO119" s="343">
        <v>21.37</v>
      </c>
      <c r="AP119" s="343">
        <v>21.37</v>
      </c>
      <c r="AQ119" s="335" t="s">
        <v>238</v>
      </c>
      <c r="AR119" s="336">
        <f t="shared" si="4"/>
        <v>0.0008894923458</v>
      </c>
      <c r="AS119" s="336"/>
      <c r="AT119" s="336"/>
      <c r="AU119" s="348"/>
      <c r="AV119" s="312"/>
      <c r="AW119" s="312"/>
      <c r="AX119" s="312"/>
      <c r="AY119" s="312"/>
      <c r="AZ119" s="312"/>
      <c r="BA119" s="312"/>
      <c r="BB119" s="312"/>
      <c r="BC119" s="312"/>
      <c r="BD119" s="316"/>
      <c r="BE119" s="316"/>
      <c r="BF119" s="316"/>
      <c r="BG119" s="316"/>
      <c r="BH119" s="316"/>
      <c r="BI119" s="316"/>
      <c r="BJ119" s="316"/>
      <c r="BK119" s="316"/>
      <c r="BL119" s="316"/>
      <c r="BM119" s="316"/>
      <c r="BN119" s="316"/>
      <c r="BO119" s="316"/>
      <c r="BP119" s="316"/>
      <c r="BQ119" s="316"/>
      <c r="BR119" s="316"/>
      <c r="BS119" s="316"/>
      <c r="BT119" s="316"/>
      <c r="BU119" s="316"/>
      <c r="BV119" s="316"/>
      <c r="BW119" s="316"/>
      <c r="BX119" s="316"/>
      <c r="BY119" s="316"/>
      <c r="BZ119" s="316"/>
      <c r="CA119" s="316"/>
      <c r="CB119" s="316"/>
      <c r="CC119" s="316"/>
      <c r="CD119" s="316"/>
    </row>
    <row r="120" ht="15.75" customHeight="1">
      <c r="A120" s="308"/>
      <c r="B120" s="362">
        <v>45555.0</v>
      </c>
      <c r="C120" s="335">
        <v>88.712</v>
      </c>
      <c r="D120" s="335">
        <v>88.712</v>
      </c>
      <c r="E120" s="335">
        <v>88.712</v>
      </c>
      <c r="F120" s="335">
        <v>88.712</v>
      </c>
      <c r="G120" s="335" t="s">
        <v>238</v>
      </c>
      <c r="H120" s="336">
        <f t="shared" si="1"/>
        <v>0.01337930253</v>
      </c>
      <c r="I120" s="336"/>
      <c r="J120" s="336"/>
      <c r="K120" s="348"/>
      <c r="L120" s="312"/>
      <c r="M120" s="312"/>
      <c r="N120" s="340">
        <v>45555.0</v>
      </c>
      <c r="O120" s="341">
        <v>30.174</v>
      </c>
      <c r="P120" s="341">
        <v>30.174</v>
      </c>
      <c r="Q120" s="341">
        <v>30.174</v>
      </c>
      <c r="R120" s="341">
        <v>30.174</v>
      </c>
      <c r="S120" s="335" t="s">
        <v>238</v>
      </c>
      <c r="T120" s="336">
        <f t="shared" si="2"/>
        <v>0.003851777906</v>
      </c>
      <c r="U120" s="336"/>
      <c r="V120" s="336"/>
      <c r="W120" s="348"/>
      <c r="X120" s="312"/>
      <c r="Y120" s="312"/>
      <c r="Z120" s="363">
        <v>45555.0</v>
      </c>
      <c r="AA120" s="341">
        <v>2121.14</v>
      </c>
      <c r="AB120" s="341">
        <v>2121.14</v>
      </c>
      <c r="AC120" s="341">
        <v>2121.14</v>
      </c>
      <c r="AD120" s="341">
        <v>2121.14</v>
      </c>
      <c r="AE120" s="335" t="s">
        <v>238</v>
      </c>
      <c r="AF120" s="336">
        <f t="shared" si="3"/>
        <v>0.01261494684</v>
      </c>
      <c r="AG120" s="336"/>
      <c r="AH120" s="336"/>
      <c r="AI120" s="348"/>
      <c r="AJ120" s="312"/>
      <c r="AK120" s="312"/>
      <c r="AL120" s="353">
        <v>45555.0</v>
      </c>
      <c r="AM120" s="343">
        <v>21.372</v>
      </c>
      <c r="AN120" s="343">
        <v>21.372</v>
      </c>
      <c r="AO120" s="343">
        <v>21.372</v>
      </c>
      <c r="AP120" s="343">
        <v>21.372</v>
      </c>
      <c r="AQ120" s="335" t="s">
        <v>238</v>
      </c>
      <c r="AR120" s="336">
        <f t="shared" si="4"/>
        <v>0.00009358476447</v>
      </c>
      <c r="AS120" s="336"/>
      <c r="AT120" s="336"/>
      <c r="AU120" s="348"/>
      <c r="AV120" s="312"/>
      <c r="AW120" s="312"/>
      <c r="AX120" s="312"/>
      <c r="AY120" s="312"/>
      <c r="AZ120" s="312"/>
      <c r="BA120" s="312"/>
      <c r="BB120" s="312"/>
      <c r="BC120" s="312"/>
      <c r="BD120" s="316"/>
      <c r="BE120" s="316"/>
      <c r="BF120" s="316"/>
      <c r="BG120" s="316"/>
      <c r="BH120" s="316"/>
      <c r="BI120" s="316"/>
      <c r="BJ120" s="316"/>
      <c r="BK120" s="316"/>
      <c r="BL120" s="316"/>
      <c r="BM120" s="316"/>
      <c r="BN120" s="316"/>
      <c r="BO120" s="316"/>
      <c r="BP120" s="316"/>
      <c r="BQ120" s="316"/>
      <c r="BR120" s="316"/>
      <c r="BS120" s="316"/>
      <c r="BT120" s="316"/>
      <c r="BU120" s="316"/>
      <c r="BV120" s="316"/>
      <c r="BW120" s="316"/>
      <c r="BX120" s="316"/>
      <c r="BY120" s="316"/>
      <c r="BZ120" s="316"/>
      <c r="CA120" s="316"/>
      <c r="CB120" s="316"/>
      <c r="CC120" s="316"/>
      <c r="CD120" s="316"/>
    </row>
    <row r="121" ht="15.75" customHeight="1">
      <c r="A121" s="308"/>
      <c r="B121" s="362">
        <v>45558.0</v>
      </c>
      <c r="C121" s="335">
        <v>88.969</v>
      </c>
      <c r="D121" s="335">
        <v>88.969</v>
      </c>
      <c r="E121" s="335">
        <v>88.969</v>
      </c>
      <c r="F121" s="335">
        <v>88.969</v>
      </c>
      <c r="G121" s="335" t="s">
        <v>238</v>
      </c>
      <c r="H121" s="336">
        <f t="shared" si="1"/>
        <v>0.002892826799</v>
      </c>
      <c r="I121" s="336"/>
      <c r="J121" s="336"/>
      <c r="K121" s="348"/>
      <c r="L121" s="312"/>
      <c r="M121" s="312"/>
      <c r="N121" s="340">
        <v>45558.0</v>
      </c>
      <c r="O121" s="341">
        <v>30.357</v>
      </c>
      <c r="P121" s="341">
        <v>30.357</v>
      </c>
      <c r="Q121" s="341">
        <v>30.357</v>
      </c>
      <c r="R121" s="341">
        <v>30.357</v>
      </c>
      <c r="S121" s="335" t="s">
        <v>238</v>
      </c>
      <c r="T121" s="336">
        <f t="shared" si="2"/>
        <v>0.006046506998</v>
      </c>
      <c r="U121" s="336"/>
      <c r="V121" s="336"/>
      <c r="W121" s="348"/>
      <c r="X121" s="312"/>
      <c r="Y121" s="312"/>
      <c r="Z121" s="363">
        <v>45558.0</v>
      </c>
      <c r="AA121" s="341">
        <v>2136.253</v>
      </c>
      <c r="AB121" s="341">
        <v>2136.253</v>
      </c>
      <c r="AC121" s="341">
        <v>2136.253</v>
      </c>
      <c r="AD121" s="341">
        <v>2136.253</v>
      </c>
      <c r="AE121" s="335" t="s">
        <v>238</v>
      </c>
      <c r="AF121" s="336">
        <f t="shared" si="3"/>
        <v>0.007099679772</v>
      </c>
      <c r="AG121" s="336"/>
      <c r="AH121" s="336"/>
      <c r="AI121" s="348"/>
      <c r="AJ121" s="312"/>
      <c r="AK121" s="312"/>
      <c r="AL121" s="353">
        <v>45558.0</v>
      </c>
      <c r="AM121" s="343">
        <v>21.39</v>
      </c>
      <c r="AN121" s="343">
        <v>21.39</v>
      </c>
      <c r="AO121" s="343">
        <v>21.39</v>
      </c>
      <c r="AP121" s="343">
        <v>21.39</v>
      </c>
      <c r="AQ121" s="335" t="s">
        <v>238</v>
      </c>
      <c r="AR121" s="336">
        <f t="shared" si="4"/>
        <v>0.0008418689988</v>
      </c>
      <c r="AS121" s="336"/>
      <c r="AT121" s="336"/>
      <c r="AU121" s="348"/>
      <c r="AV121" s="312"/>
      <c r="AW121" s="312"/>
      <c r="AX121" s="312"/>
      <c r="AY121" s="312"/>
      <c r="AZ121" s="312"/>
      <c r="BA121" s="312"/>
      <c r="BB121" s="312"/>
      <c r="BC121" s="312"/>
      <c r="BD121" s="316"/>
      <c r="BE121" s="316"/>
      <c r="BF121" s="316"/>
      <c r="BG121" s="316"/>
      <c r="BH121" s="316"/>
      <c r="BI121" s="316"/>
      <c r="BJ121" s="316"/>
      <c r="BK121" s="316"/>
      <c r="BL121" s="316"/>
      <c r="BM121" s="316"/>
      <c r="BN121" s="316"/>
      <c r="BO121" s="316"/>
      <c r="BP121" s="316"/>
      <c r="BQ121" s="316"/>
      <c r="BR121" s="316"/>
      <c r="BS121" s="316"/>
      <c r="BT121" s="316"/>
      <c r="BU121" s="316"/>
      <c r="BV121" s="316"/>
      <c r="BW121" s="316"/>
      <c r="BX121" s="316"/>
      <c r="BY121" s="316"/>
      <c r="BZ121" s="316"/>
      <c r="CA121" s="316"/>
      <c r="CB121" s="316"/>
      <c r="CC121" s="316"/>
      <c r="CD121" s="316"/>
    </row>
    <row r="122" ht="15.75" customHeight="1">
      <c r="A122" s="308"/>
      <c r="B122" s="362">
        <v>45559.0</v>
      </c>
      <c r="C122" s="335">
        <v>88.902</v>
      </c>
      <c r="D122" s="335">
        <v>88.902</v>
      </c>
      <c r="E122" s="335">
        <v>88.902</v>
      </c>
      <c r="F122" s="335">
        <v>88.902</v>
      </c>
      <c r="G122" s="335" t="s">
        <v>238</v>
      </c>
      <c r="H122" s="336">
        <f t="shared" si="1"/>
        <v>-0.0007533549951</v>
      </c>
      <c r="I122" s="336"/>
      <c r="J122" s="336"/>
      <c r="K122" s="348"/>
      <c r="L122" s="312"/>
      <c r="M122" s="312"/>
      <c r="N122" s="340">
        <v>45559.0</v>
      </c>
      <c r="O122" s="341">
        <v>30.444</v>
      </c>
      <c r="P122" s="341">
        <v>30.444</v>
      </c>
      <c r="Q122" s="341">
        <v>30.444</v>
      </c>
      <c r="R122" s="341">
        <v>30.444</v>
      </c>
      <c r="S122" s="335" t="s">
        <v>238</v>
      </c>
      <c r="T122" s="336">
        <f t="shared" si="2"/>
        <v>0.002861796989</v>
      </c>
      <c r="U122" s="336"/>
      <c r="V122" s="336"/>
      <c r="W122" s="348"/>
      <c r="X122" s="312"/>
      <c r="Y122" s="312"/>
      <c r="Z122" s="363">
        <v>45559.0</v>
      </c>
      <c r="AA122" s="341">
        <v>2134.62</v>
      </c>
      <c r="AB122" s="341">
        <v>2134.62</v>
      </c>
      <c r="AC122" s="341">
        <v>2134.62</v>
      </c>
      <c r="AD122" s="341">
        <v>2134.62</v>
      </c>
      <c r="AE122" s="335" t="s">
        <v>238</v>
      </c>
      <c r="AF122" s="336">
        <f t="shared" si="3"/>
        <v>-0.000764714886</v>
      </c>
      <c r="AG122" s="336"/>
      <c r="AH122" s="336"/>
      <c r="AI122" s="348"/>
      <c r="AJ122" s="312"/>
      <c r="AK122" s="312"/>
      <c r="AL122" s="353">
        <v>45559.0</v>
      </c>
      <c r="AM122" s="343">
        <v>21.412</v>
      </c>
      <c r="AN122" s="343">
        <v>21.412</v>
      </c>
      <c r="AO122" s="343">
        <v>21.412</v>
      </c>
      <c r="AP122" s="343">
        <v>21.412</v>
      </c>
      <c r="AQ122" s="335" t="s">
        <v>238</v>
      </c>
      <c r="AR122" s="336">
        <f t="shared" si="4"/>
        <v>0.001027989437</v>
      </c>
      <c r="AS122" s="336"/>
      <c r="AT122" s="336"/>
      <c r="AU122" s="348"/>
      <c r="AV122" s="312"/>
      <c r="AW122" s="312"/>
      <c r="AX122" s="312"/>
      <c r="AY122" s="312"/>
      <c r="AZ122" s="312"/>
      <c r="BA122" s="312"/>
      <c r="BB122" s="312"/>
      <c r="BC122" s="312"/>
      <c r="BD122" s="316"/>
      <c r="BE122" s="316"/>
      <c r="BF122" s="316"/>
      <c r="BG122" s="316"/>
      <c r="BH122" s="316"/>
      <c r="BI122" s="316"/>
      <c r="BJ122" s="316"/>
      <c r="BK122" s="316"/>
      <c r="BL122" s="316"/>
      <c r="BM122" s="316"/>
      <c r="BN122" s="316"/>
      <c r="BO122" s="316"/>
      <c r="BP122" s="316"/>
      <c r="BQ122" s="316"/>
      <c r="BR122" s="316"/>
      <c r="BS122" s="316"/>
      <c r="BT122" s="316"/>
      <c r="BU122" s="316"/>
      <c r="BV122" s="316"/>
      <c r="BW122" s="316"/>
      <c r="BX122" s="316"/>
      <c r="BY122" s="316"/>
      <c r="BZ122" s="316"/>
      <c r="CA122" s="316"/>
      <c r="CB122" s="316"/>
      <c r="CC122" s="316"/>
      <c r="CD122" s="316"/>
    </row>
    <row r="123" ht="15.75" customHeight="1">
      <c r="A123" s="308"/>
      <c r="B123" s="362">
        <v>45560.0</v>
      </c>
      <c r="C123" s="335">
        <v>89.188</v>
      </c>
      <c r="D123" s="335">
        <v>89.188</v>
      </c>
      <c r="E123" s="335">
        <v>89.188</v>
      </c>
      <c r="F123" s="335">
        <v>89.188</v>
      </c>
      <c r="G123" s="335" t="s">
        <v>238</v>
      </c>
      <c r="H123" s="336">
        <f t="shared" si="1"/>
        <v>0.003211861933</v>
      </c>
      <c r="I123" s="336"/>
      <c r="J123" s="336"/>
      <c r="K123" s="348"/>
      <c r="L123" s="312"/>
      <c r="M123" s="312"/>
      <c r="N123" s="363">
        <v>45560.0</v>
      </c>
      <c r="O123" s="341">
        <v>30.767</v>
      </c>
      <c r="P123" s="341">
        <v>30.767</v>
      </c>
      <c r="Q123" s="341">
        <v>30.767</v>
      </c>
      <c r="R123" s="341">
        <v>30.767</v>
      </c>
      <c r="S123" s="335" t="s">
        <v>238</v>
      </c>
      <c r="T123" s="336">
        <f t="shared" si="2"/>
        <v>0.01055375661</v>
      </c>
      <c r="U123" s="336"/>
      <c r="V123" s="336"/>
      <c r="W123" s="348"/>
      <c r="X123" s="312"/>
      <c r="Y123" s="312"/>
      <c r="Z123" s="363">
        <v>45560.0</v>
      </c>
      <c r="AA123" s="341">
        <v>2143.465</v>
      </c>
      <c r="AB123" s="341">
        <v>2143.465</v>
      </c>
      <c r="AC123" s="341">
        <v>2143.465</v>
      </c>
      <c r="AD123" s="341">
        <v>2143.465</v>
      </c>
      <c r="AE123" s="335" t="s">
        <v>238</v>
      </c>
      <c r="AF123" s="336">
        <f t="shared" si="3"/>
        <v>0.004135033597</v>
      </c>
      <c r="AG123" s="336"/>
      <c r="AH123" s="336"/>
      <c r="AI123" s="348"/>
      <c r="AJ123" s="312"/>
      <c r="AK123" s="312"/>
      <c r="AL123" s="353">
        <v>45560.0</v>
      </c>
      <c r="AM123" s="343">
        <v>21.423</v>
      </c>
      <c r="AN123" s="343">
        <v>21.423</v>
      </c>
      <c r="AO123" s="343">
        <v>21.423</v>
      </c>
      <c r="AP123" s="343">
        <v>21.423</v>
      </c>
      <c r="AQ123" s="335" t="s">
        <v>238</v>
      </c>
      <c r="AR123" s="336">
        <f t="shared" si="4"/>
        <v>0.0005135987039</v>
      </c>
      <c r="AS123" s="336"/>
      <c r="AT123" s="336"/>
      <c r="AU123" s="348"/>
      <c r="AV123" s="312"/>
      <c r="AW123" s="312"/>
      <c r="AX123" s="312"/>
      <c r="AY123" s="312"/>
      <c r="AZ123" s="312"/>
      <c r="BA123" s="312"/>
      <c r="BB123" s="312"/>
      <c r="BC123" s="312"/>
      <c r="BD123" s="316"/>
      <c r="BE123" s="316"/>
      <c r="BF123" s="316"/>
      <c r="BG123" s="316"/>
      <c r="BH123" s="316"/>
      <c r="BI123" s="316"/>
      <c r="BJ123" s="316"/>
      <c r="BK123" s="316"/>
      <c r="BL123" s="316"/>
      <c r="BM123" s="316"/>
      <c r="BN123" s="316"/>
      <c r="BO123" s="316"/>
      <c r="BP123" s="316"/>
      <c r="BQ123" s="316"/>
      <c r="BR123" s="316"/>
      <c r="BS123" s="316"/>
      <c r="BT123" s="316"/>
      <c r="BU123" s="316"/>
      <c r="BV123" s="316"/>
      <c r="BW123" s="316"/>
      <c r="BX123" s="316"/>
      <c r="BY123" s="316"/>
      <c r="BZ123" s="316"/>
      <c r="CA123" s="316"/>
      <c r="CB123" s="316"/>
      <c r="CC123" s="316"/>
      <c r="CD123" s="316"/>
    </row>
    <row r="124" ht="15.75" customHeight="1">
      <c r="A124" s="308"/>
      <c r="B124" s="362">
        <v>45561.0</v>
      </c>
      <c r="C124" s="335">
        <v>89.599</v>
      </c>
      <c r="D124" s="335">
        <v>89.599</v>
      </c>
      <c r="E124" s="335">
        <v>89.599</v>
      </c>
      <c r="F124" s="335">
        <v>89.599</v>
      </c>
      <c r="G124" s="335" t="s">
        <v>238</v>
      </c>
      <c r="H124" s="336">
        <f t="shared" si="1"/>
        <v>0.004597657816</v>
      </c>
      <c r="I124" s="336"/>
      <c r="J124" s="336"/>
      <c r="K124" s="348"/>
      <c r="L124" s="312"/>
      <c r="M124" s="312"/>
      <c r="N124" s="363">
        <v>45561.0</v>
      </c>
      <c r="O124" s="341">
        <v>30.82</v>
      </c>
      <c r="P124" s="341">
        <v>30.82</v>
      </c>
      <c r="Q124" s="341">
        <v>30.82</v>
      </c>
      <c r="R124" s="341">
        <v>30.82</v>
      </c>
      <c r="S124" s="335" t="s">
        <v>238</v>
      </c>
      <c r="T124" s="336">
        <f t="shared" si="2"/>
        <v>0.001721142874</v>
      </c>
      <c r="U124" s="336"/>
      <c r="V124" s="336"/>
      <c r="W124" s="348"/>
      <c r="X124" s="312"/>
      <c r="Y124" s="312"/>
      <c r="Z124" s="363">
        <v>45561.0</v>
      </c>
      <c r="AA124" s="341">
        <v>2154.06</v>
      </c>
      <c r="AB124" s="341">
        <v>2154.06</v>
      </c>
      <c r="AC124" s="341">
        <v>2154.06</v>
      </c>
      <c r="AD124" s="341">
        <v>2154.06</v>
      </c>
      <c r="AE124" s="335" t="s">
        <v>238</v>
      </c>
      <c r="AF124" s="336">
        <f t="shared" si="3"/>
        <v>0.004930755012</v>
      </c>
      <c r="AG124" s="336"/>
      <c r="AH124" s="336"/>
      <c r="AI124" s="348"/>
      <c r="AJ124" s="312"/>
      <c r="AK124" s="312"/>
      <c r="AL124" s="353">
        <v>45561.0</v>
      </c>
      <c r="AM124" s="343">
        <v>21.464</v>
      </c>
      <c r="AN124" s="343">
        <v>21.464</v>
      </c>
      <c r="AO124" s="343">
        <v>21.464</v>
      </c>
      <c r="AP124" s="343">
        <v>21.464</v>
      </c>
      <c r="AQ124" s="335" t="s">
        <v>238</v>
      </c>
      <c r="AR124" s="336">
        <f t="shared" si="4"/>
        <v>0.001912001888</v>
      </c>
      <c r="AS124" s="336"/>
      <c r="AT124" s="336"/>
      <c r="AU124" s="348"/>
      <c r="AV124" s="312"/>
      <c r="AW124" s="312"/>
      <c r="AX124" s="312"/>
      <c r="AY124" s="312"/>
      <c r="AZ124" s="312"/>
      <c r="BA124" s="312"/>
      <c r="BB124" s="312"/>
      <c r="BC124" s="312"/>
      <c r="BD124" s="316"/>
      <c r="BE124" s="316"/>
      <c r="BF124" s="316"/>
      <c r="BG124" s="316"/>
      <c r="BH124" s="316"/>
      <c r="BI124" s="316"/>
      <c r="BJ124" s="316"/>
      <c r="BK124" s="316"/>
      <c r="BL124" s="316"/>
      <c r="BM124" s="316"/>
      <c r="BN124" s="316"/>
      <c r="BO124" s="316"/>
      <c r="BP124" s="316"/>
      <c r="BQ124" s="316"/>
      <c r="BR124" s="316"/>
      <c r="BS124" s="316"/>
      <c r="BT124" s="316"/>
      <c r="BU124" s="316"/>
      <c r="BV124" s="316"/>
      <c r="BW124" s="316"/>
      <c r="BX124" s="316"/>
      <c r="BY124" s="316"/>
      <c r="BZ124" s="316"/>
      <c r="CA124" s="316"/>
      <c r="CB124" s="316"/>
      <c r="CC124" s="316"/>
      <c r="CD124" s="316"/>
    </row>
    <row r="125" ht="15.75" customHeight="1">
      <c r="A125" s="308"/>
      <c r="B125" s="362">
        <v>45562.0</v>
      </c>
      <c r="C125" s="335">
        <v>89.151</v>
      </c>
      <c r="D125" s="335">
        <v>89.151</v>
      </c>
      <c r="E125" s="335">
        <v>89.151</v>
      </c>
      <c r="F125" s="335">
        <v>89.151</v>
      </c>
      <c r="G125" s="335" t="s">
        <v>238</v>
      </c>
      <c r="H125" s="336">
        <f t="shared" si="1"/>
        <v>-0.005012597908</v>
      </c>
      <c r="I125" s="336"/>
      <c r="J125" s="336"/>
      <c r="K125" s="348"/>
      <c r="L125" s="312"/>
      <c r="M125" s="312"/>
      <c r="N125" s="363">
        <v>45562.0</v>
      </c>
      <c r="O125" s="341">
        <v>30.68</v>
      </c>
      <c r="P125" s="341">
        <v>30.68</v>
      </c>
      <c r="Q125" s="341">
        <v>30.68</v>
      </c>
      <c r="R125" s="341">
        <v>30.68</v>
      </c>
      <c r="S125" s="335" t="s">
        <v>238</v>
      </c>
      <c r="T125" s="336">
        <f t="shared" si="2"/>
        <v>-0.004552853393</v>
      </c>
      <c r="U125" s="336"/>
      <c r="V125" s="336"/>
      <c r="W125" s="348"/>
      <c r="X125" s="312"/>
      <c r="Y125" s="312"/>
      <c r="Z125" s="363">
        <v>45562.0</v>
      </c>
      <c r="AA125" s="341">
        <v>2147.796</v>
      </c>
      <c r="AB125" s="341">
        <v>2147.796</v>
      </c>
      <c r="AC125" s="341">
        <v>2147.796</v>
      </c>
      <c r="AD125" s="341">
        <v>2147.796</v>
      </c>
      <c r="AE125" s="335" t="s">
        <v>238</v>
      </c>
      <c r="AF125" s="336">
        <f t="shared" si="3"/>
        <v>-0.00291223343</v>
      </c>
      <c r="AG125" s="336"/>
      <c r="AH125" s="336"/>
      <c r="AI125" s="348"/>
      <c r="AJ125" s="312"/>
      <c r="AK125" s="312"/>
      <c r="AL125" s="353">
        <v>45562.0</v>
      </c>
      <c r="AM125" s="343">
        <v>21.437</v>
      </c>
      <c r="AN125" s="343">
        <v>21.437</v>
      </c>
      <c r="AO125" s="343">
        <v>21.437</v>
      </c>
      <c r="AP125" s="343">
        <v>21.437</v>
      </c>
      <c r="AQ125" s="335" t="s">
        <v>238</v>
      </c>
      <c r="AR125" s="336">
        <f t="shared" si="4"/>
        <v>-0.001258712084</v>
      </c>
      <c r="AS125" s="336"/>
      <c r="AT125" s="336"/>
      <c r="AU125" s="348"/>
      <c r="AV125" s="312"/>
      <c r="AW125" s="312"/>
      <c r="AX125" s="312"/>
      <c r="AY125" s="312"/>
      <c r="AZ125" s="312"/>
      <c r="BA125" s="312"/>
      <c r="BB125" s="312"/>
      <c r="BC125" s="312"/>
      <c r="BD125" s="316"/>
      <c r="BE125" s="316"/>
      <c r="BF125" s="316"/>
      <c r="BG125" s="316"/>
      <c r="BH125" s="316"/>
      <c r="BI125" s="316"/>
      <c r="BJ125" s="316"/>
      <c r="BK125" s="316"/>
      <c r="BL125" s="316"/>
      <c r="BM125" s="316"/>
      <c r="BN125" s="316"/>
      <c r="BO125" s="316"/>
      <c r="BP125" s="316"/>
      <c r="BQ125" s="316"/>
      <c r="BR125" s="316"/>
      <c r="BS125" s="316"/>
      <c r="BT125" s="316"/>
      <c r="BU125" s="316"/>
      <c r="BV125" s="316"/>
      <c r="BW125" s="316"/>
      <c r="BX125" s="316"/>
      <c r="BY125" s="316"/>
      <c r="BZ125" s="316"/>
      <c r="CA125" s="316"/>
      <c r="CB125" s="316"/>
      <c r="CC125" s="316"/>
      <c r="CD125" s="316"/>
    </row>
    <row r="126" ht="15.75" customHeight="1">
      <c r="A126" s="308"/>
      <c r="B126" s="362">
        <v>45565.0</v>
      </c>
      <c r="C126" s="335">
        <v>88.617</v>
      </c>
      <c r="D126" s="335">
        <v>88.617</v>
      </c>
      <c r="E126" s="335">
        <v>88.617</v>
      </c>
      <c r="F126" s="335">
        <v>88.617</v>
      </c>
      <c r="G126" s="335" t="s">
        <v>238</v>
      </c>
      <c r="H126" s="336">
        <f t="shared" si="1"/>
        <v>-0.006007848501</v>
      </c>
      <c r="I126" s="336"/>
      <c r="J126" s="336"/>
      <c r="K126" s="348"/>
      <c r="L126" s="312"/>
      <c r="M126" s="312"/>
      <c r="N126" s="363">
        <v>45565.0</v>
      </c>
      <c r="O126" s="341">
        <v>30.713</v>
      </c>
      <c r="P126" s="341">
        <v>30.713</v>
      </c>
      <c r="Q126" s="341">
        <v>30.713</v>
      </c>
      <c r="R126" s="341">
        <v>30.713</v>
      </c>
      <c r="S126" s="335" t="s">
        <v>238</v>
      </c>
      <c r="T126" s="336">
        <f t="shared" si="2"/>
        <v>0.001075041232</v>
      </c>
      <c r="U126" s="336"/>
      <c r="V126" s="336"/>
      <c r="W126" s="348"/>
      <c r="X126" s="312"/>
      <c r="Y126" s="312"/>
      <c r="Z126" s="363">
        <v>45565.0</v>
      </c>
      <c r="AA126" s="341">
        <v>2121.387</v>
      </c>
      <c r="AB126" s="341">
        <v>2121.387</v>
      </c>
      <c r="AC126" s="341">
        <v>2121.387</v>
      </c>
      <c r="AD126" s="341">
        <v>2121.387</v>
      </c>
      <c r="AE126" s="335" t="s">
        <v>238</v>
      </c>
      <c r="AF126" s="336">
        <f t="shared" si="3"/>
        <v>-0.01237208003</v>
      </c>
      <c r="AG126" s="336"/>
      <c r="AH126" s="336"/>
      <c r="AI126" s="348"/>
      <c r="AJ126" s="312"/>
      <c r="AK126" s="312"/>
      <c r="AL126" s="353">
        <v>45565.0</v>
      </c>
      <c r="AM126" s="343">
        <v>21.477</v>
      </c>
      <c r="AN126" s="343">
        <v>21.477</v>
      </c>
      <c r="AO126" s="343">
        <v>21.477</v>
      </c>
      <c r="AP126" s="343">
        <v>21.477</v>
      </c>
      <c r="AQ126" s="335" t="s">
        <v>238</v>
      </c>
      <c r="AR126" s="336">
        <f t="shared" si="4"/>
        <v>0.001864194043</v>
      </c>
      <c r="AS126" s="336"/>
      <c r="AT126" s="336"/>
      <c r="AU126" s="348"/>
      <c r="AV126" s="312"/>
      <c r="AW126" s="312"/>
      <c r="AX126" s="312"/>
      <c r="AY126" s="312"/>
      <c r="AZ126" s="312"/>
      <c r="BA126" s="312"/>
      <c r="BB126" s="312"/>
      <c r="BC126" s="312"/>
      <c r="BD126" s="316"/>
      <c r="BE126" s="316"/>
      <c r="BF126" s="316"/>
      <c r="BG126" s="316"/>
      <c r="BH126" s="316"/>
      <c r="BI126" s="316"/>
      <c r="BJ126" s="316"/>
      <c r="BK126" s="316"/>
      <c r="BL126" s="316"/>
      <c r="BM126" s="316"/>
      <c r="BN126" s="316"/>
      <c r="BO126" s="316"/>
      <c r="BP126" s="316"/>
      <c r="BQ126" s="316"/>
      <c r="BR126" s="316"/>
      <c r="BS126" s="316"/>
      <c r="BT126" s="316"/>
      <c r="BU126" s="316"/>
      <c r="BV126" s="316"/>
      <c r="BW126" s="316"/>
      <c r="BX126" s="316"/>
      <c r="BY126" s="316"/>
      <c r="BZ126" s="316"/>
      <c r="CA126" s="316"/>
      <c r="CB126" s="316"/>
      <c r="CC126" s="316"/>
      <c r="CD126" s="316"/>
    </row>
    <row r="127" ht="15.75" customHeight="1">
      <c r="A127" s="308"/>
      <c r="B127" s="362">
        <v>45566.0</v>
      </c>
      <c r="C127" s="335">
        <v>88.646</v>
      </c>
      <c r="D127" s="335">
        <v>88.646</v>
      </c>
      <c r="E127" s="335">
        <v>88.646</v>
      </c>
      <c r="F127" s="335">
        <v>88.646</v>
      </c>
      <c r="G127" s="335" t="s">
        <v>238</v>
      </c>
      <c r="H127" s="336">
        <f t="shared" si="1"/>
        <v>0.000327197444</v>
      </c>
      <c r="I127" s="336"/>
      <c r="J127" s="336"/>
      <c r="K127" s="348"/>
      <c r="L127" s="312"/>
      <c r="M127" s="312"/>
      <c r="N127" s="363">
        <v>45566.0</v>
      </c>
      <c r="O127" s="341">
        <v>30.732</v>
      </c>
      <c r="P127" s="341">
        <v>30.732</v>
      </c>
      <c r="Q127" s="341">
        <v>30.732</v>
      </c>
      <c r="R127" s="341">
        <v>30.732</v>
      </c>
      <c r="S127" s="335" t="s">
        <v>238</v>
      </c>
      <c r="T127" s="336">
        <f t="shared" si="2"/>
        <v>0.0006184392743</v>
      </c>
      <c r="U127" s="336"/>
      <c r="V127" s="336"/>
      <c r="W127" s="348"/>
      <c r="X127" s="312"/>
      <c r="Y127" s="312"/>
      <c r="Z127" s="363">
        <v>45566.0</v>
      </c>
      <c r="AA127" s="341">
        <v>2123.991</v>
      </c>
      <c r="AB127" s="341">
        <v>2123.991</v>
      </c>
      <c r="AC127" s="341">
        <v>2123.991</v>
      </c>
      <c r="AD127" s="341">
        <v>2123.991</v>
      </c>
      <c r="AE127" s="335" t="s">
        <v>238</v>
      </c>
      <c r="AF127" s="336">
        <f t="shared" si="3"/>
        <v>0.001226746041</v>
      </c>
      <c r="AG127" s="336"/>
      <c r="AH127" s="336"/>
      <c r="AI127" s="348"/>
      <c r="AJ127" s="312"/>
      <c r="AK127" s="312"/>
      <c r="AL127" s="342">
        <v>45566.0</v>
      </c>
      <c r="AM127" s="343">
        <v>21.473</v>
      </c>
      <c r="AN127" s="343">
        <v>21.473</v>
      </c>
      <c r="AO127" s="343">
        <v>21.473</v>
      </c>
      <c r="AP127" s="343">
        <v>21.473</v>
      </c>
      <c r="AQ127" s="335" t="s">
        <v>238</v>
      </c>
      <c r="AR127" s="336">
        <f t="shared" si="4"/>
        <v>-0.0001862630972</v>
      </c>
      <c r="AS127" s="336"/>
      <c r="AT127" s="336"/>
      <c r="AU127" s="348"/>
      <c r="AV127" s="312"/>
      <c r="AW127" s="312"/>
      <c r="AX127" s="312"/>
      <c r="AY127" s="312"/>
      <c r="AZ127" s="312"/>
      <c r="BA127" s="312"/>
      <c r="BB127" s="312"/>
      <c r="BC127" s="312"/>
      <c r="BD127" s="316"/>
      <c r="BE127" s="316"/>
      <c r="BF127" s="316"/>
      <c r="BG127" s="316"/>
      <c r="BH127" s="316"/>
      <c r="BI127" s="316"/>
      <c r="BJ127" s="316"/>
      <c r="BK127" s="316"/>
      <c r="BL127" s="316"/>
      <c r="BM127" s="316"/>
      <c r="BN127" s="316"/>
      <c r="BO127" s="316"/>
      <c r="BP127" s="316"/>
      <c r="BQ127" s="316"/>
      <c r="BR127" s="316"/>
      <c r="BS127" s="316"/>
      <c r="BT127" s="316"/>
      <c r="BU127" s="316"/>
      <c r="BV127" s="316"/>
      <c r="BW127" s="316"/>
      <c r="BX127" s="316"/>
      <c r="BY127" s="316"/>
      <c r="BZ127" s="316"/>
      <c r="CA127" s="316"/>
      <c r="CB127" s="316"/>
      <c r="CC127" s="316"/>
      <c r="CD127" s="316"/>
    </row>
    <row r="128" ht="15.75" customHeight="1">
      <c r="A128" s="308"/>
      <c r="B128" s="362">
        <v>45568.0</v>
      </c>
      <c r="C128" s="335">
        <v>87.467</v>
      </c>
      <c r="D128" s="335">
        <v>87.467</v>
      </c>
      <c r="E128" s="335">
        <v>87.467</v>
      </c>
      <c r="F128" s="335">
        <v>87.467</v>
      </c>
      <c r="G128" s="335" t="s">
        <v>238</v>
      </c>
      <c r="H128" s="336">
        <f t="shared" si="1"/>
        <v>-0.01338933087</v>
      </c>
      <c r="I128" s="336"/>
      <c r="J128" s="336"/>
      <c r="K128" s="348"/>
      <c r="L128" s="312"/>
      <c r="M128" s="312"/>
      <c r="N128" s="363">
        <v>45568.0</v>
      </c>
      <c r="O128" s="341">
        <v>30.78</v>
      </c>
      <c r="P128" s="341">
        <v>30.78</v>
      </c>
      <c r="Q128" s="341">
        <v>30.78</v>
      </c>
      <c r="R128" s="341">
        <v>30.78</v>
      </c>
      <c r="S128" s="335" t="s">
        <v>238</v>
      </c>
      <c r="T128" s="336">
        <f t="shared" si="2"/>
        <v>0.001560671405</v>
      </c>
      <c r="U128" s="336"/>
      <c r="V128" s="336"/>
      <c r="W128" s="348"/>
      <c r="X128" s="312"/>
      <c r="Y128" s="312"/>
      <c r="Z128" s="363">
        <v>45568.0</v>
      </c>
      <c r="AA128" s="341">
        <v>2083.512</v>
      </c>
      <c r="AB128" s="341">
        <v>2083.512</v>
      </c>
      <c r="AC128" s="341">
        <v>2083.512</v>
      </c>
      <c r="AD128" s="341">
        <v>2083.512</v>
      </c>
      <c r="AE128" s="335" t="s">
        <v>238</v>
      </c>
      <c r="AF128" s="336">
        <f t="shared" si="3"/>
        <v>-0.01924193468</v>
      </c>
      <c r="AG128" s="336"/>
      <c r="AH128" s="336"/>
      <c r="AI128" s="348"/>
      <c r="AJ128" s="312"/>
      <c r="AK128" s="312"/>
      <c r="AL128" s="342">
        <v>45568.0</v>
      </c>
      <c r="AM128" s="343">
        <v>21.469</v>
      </c>
      <c r="AN128" s="343">
        <v>21.469</v>
      </c>
      <c r="AO128" s="343">
        <v>21.469</v>
      </c>
      <c r="AP128" s="343">
        <v>21.469</v>
      </c>
      <c r="AQ128" s="335" t="s">
        <v>238</v>
      </c>
      <c r="AR128" s="336">
        <f t="shared" si="4"/>
        <v>-0.0001862977976</v>
      </c>
      <c r="AS128" s="336"/>
      <c r="AT128" s="336"/>
      <c r="AU128" s="348"/>
      <c r="AV128" s="312"/>
      <c r="AW128" s="312"/>
      <c r="AX128" s="312"/>
      <c r="AY128" s="312"/>
      <c r="AZ128" s="312"/>
      <c r="BA128" s="312"/>
      <c r="BB128" s="312"/>
      <c r="BC128" s="312"/>
      <c r="BD128" s="316"/>
      <c r="BE128" s="316"/>
      <c r="BF128" s="316"/>
      <c r="BG128" s="316"/>
      <c r="BH128" s="316"/>
      <c r="BI128" s="316"/>
      <c r="BJ128" s="316"/>
      <c r="BK128" s="316"/>
      <c r="BL128" s="316"/>
      <c r="BM128" s="316"/>
      <c r="BN128" s="316"/>
      <c r="BO128" s="316"/>
      <c r="BP128" s="316"/>
      <c r="BQ128" s="316"/>
      <c r="BR128" s="316"/>
      <c r="BS128" s="316"/>
      <c r="BT128" s="316"/>
      <c r="BU128" s="316"/>
      <c r="BV128" s="316"/>
      <c r="BW128" s="316"/>
      <c r="BX128" s="316"/>
      <c r="BY128" s="316"/>
      <c r="BZ128" s="316"/>
      <c r="CA128" s="316"/>
      <c r="CB128" s="316"/>
      <c r="CC128" s="316"/>
      <c r="CD128" s="316"/>
    </row>
    <row r="129" ht="15.75" customHeight="1">
      <c r="A129" s="308"/>
      <c r="B129" s="362">
        <v>45569.0</v>
      </c>
      <c r="C129" s="335">
        <v>87.023</v>
      </c>
      <c r="D129" s="335">
        <v>87.023</v>
      </c>
      <c r="E129" s="335">
        <v>87.023</v>
      </c>
      <c r="F129" s="335">
        <v>87.023</v>
      </c>
      <c r="G129" s="335" t="s">
        <v>238</v>
      </c>
      <c r="H129" s="336">
        <f t="shared" si="1"/>
        <v>-0.005089127839</v>
      </c>
      <c r="I129" s="336"/>
      <c r="J129" s="336"/>
      <c r="K129" s="348"/>
      <c r="L129" s="312"/>
      <c r="M129" s="312"/>
      <c r="N129" s="363">
        <v>45569.0</v>
      </c>
      <c r="O129" s="341">
        <v>30.925</v>
      </c>
      <c r="P129" s="341">
        <v>30.925</v>
      </c>
      <c r="Q129" s="341">
        <v>30.925</v>
      </c>
      <c r="R129" s="341">
        <v>30.925</v>
      </c>
      <c r="S129" s="335" t="s">
        <v>238</v>
      </c>
      <c r="T129" s="336">
        <f t="shared" si="2"/>
        <v>0.004699789868</v>
      </c>
      <c r="U129" s="336"/>
      <c r="V129" s="336"/>
      <c r="W129" s="348"/>
      <c r="X129" s="312"/>
      <c r="Y129" s="312"/>
      <c r="Z129" s="363">
        <v>45569.0</v>
      </c>
      <c r="AA129" s="341">
        <v>2071.483</v>
      </c>
      <c r="AB129" s="341">
        <v>2071.483</v>
      </c>
      <c r="AC129" s="341">
        <v>2071.483</v>
      </c>
      <c r="AD129" s="341">
        <v>2071.483</v>
      </c>
      <c r="AE129" s="335" t="s">
        <v>238</v>
      </c>
      <c r="AF129" s="336">
        <f t="shared" si="3"/>
        <v>-0.005790155515</v>
      </c>
      <c r="AG129" s="336"/>
      <c r="AH129" s="336"/>
      <c r="AI129" s="348"/>
      <c r="AJ129" s="312"/>
      <c r="AK129" s="312"/>
      <c r="AL129" s="342">
        <v>45569.0</v>
      </c>
      <c r="AM129" s="343">
        <v>21.459</v>
      </c>
      <c r="AN129" s="343">
        <v>21.459</v>
      </c>
      <c r="AO129" s="343">
        <v>21.459</v>
      </c>
      <c r="AP129" s="343">
        <v>21.459</v>
      </c>
      <c r="AQ129" s="335" t="s">
        <v>238</v>
      </c>
      <c r="AR129" s="336">
        <f t="shared" si="4"/>
        <v>-0.0004658963931</v>
      </c>
      <c r="AS129" s="336"/>
      <c r="AT129" s="336"/>
      <c r="AU129" s="348"/>
      <c r="AV129" s="312"/>
      <c r="AW129" s="312"/>
      <c r="AX129" s="312"/>
      <c r="AY129" s="312"/>
      <c r="AZ129" s="312"/>
      <c r="BA129" s="312"/>
      <c r="BB129" s="312"/>
      <c r="BC129" s="312"/>
      <c r="BD129" s="316"/>
      <c r="BE129" s="316"/>
      <c r="BF129" s="316"/>
      <c r="BG129" s="316"/>
      <c r="BH129" s="316"/>
      <c r="BI129" s="316"/>
      <c r="BJ129" s="316"/>
      <c r="BK129" s="316"/>
      <c r="BL129" s="316"/>
      <c r="BM129" s="316"/>
      <c r="BN129" s="316"/>
      <c r="BO129" s="316"/>
      <c r="BP129" s="316"/>
      <c r="BQ129" s="316"/>
      <c r="BR129" s="316"/>
      <c r="BS129" s="316"/>
      <c r="BT129" s="316"/>
      <c r="BU129" s="316"/>
      <c r="BV129" s="316"/>
      <c r="BW129" s="316"/>
      <c r="BX129" s="316"/>
      <c r="BY129" s="316"/>
      <c r="BZ129" s="316"/>
      <c r="CA129" s="316"/>
      <c r="CB129" s="316"/>
      <c r="CC129" s="316"/>
      <c r="CD129" s="316"/>
    </row>
    <row r="130" ht="15.75" customHeight="1">
      <c r="A130" s="308"/>
      <c r="B130" s="362">
        <v>45572.0</v>
      </c>
      <c r="C130" s="335">
        <v>85.976</v>
      </c>
      <c r="D130" s="335">
        <v>85.976</v>
      </c>
      <c r="E130" s="335">
        <v>85.976</v>
      </c>
      <c r="F130" s="335">
        <v>85.976</v>
      </c>
      <c r="G130" s="335" t="s">
        <v>238</v>
      </c>
      <c r="H130" s="336">
        <f t="shared" si="1"/>
        <v>-0.01210426399</v>
      </c>
      <c r="I130" s="336"/>
      <c r="J130" s="336"/>
      <c r="K130" s="348"/>
      <c r="L130" s="312"/>
      <c r="M130" s="312"/>
      <c r="N130" s="363">
        <v>45572.0</v>
      </c>
      <c r="O130" s="341">
        <v>30.838</v>
      </c>
      <c r="P130" s="341">
        <v>30.838</v>
      </c>
      <c r="Q130" s="341">
        <v>30.838</v>
      </c>
      <c r="R130" s="341">
        <v>30.838</v>
      </c>
      <c r="S130" s="335" t="s">
        <v>238</v>
      </c>
      <c r="T130" s="336">
        <f t="shared" si="2"/>
        <v>-0.002817222529</v>
      </c>
      <c r="U130" s="336"/>
      <c r="V130" s="336"/>
      <c r="W130" s="348"/>
      <c r="X130" s="312"/>
      <c r="Y130" s="312"/>
      <c r="Z130" s="363">
        <v>45572.0</v>
      </c>
      <c r="AA130" s="341">
        <v>2051.088</v>
      </c>
      <c r="AB130" s="341">
        <v>2051.088</v>
      </c>
      <c r="AC130" s="341">
        <v>2051.088</v>
      </c>
      <c r="AD130" s="341">
        <v>2051.088</v>
      </c>
      <c r="AE130" s="335" t="s">
        <v>238</v>
      </c>
      <c r="AF130" s="336">
        <f t="shared" si="3"/>
        <v>-0.009894391819</v>
      </c>
      <c r="AG130" s="336"/>
      <c r="AH130" s="336"/>
      <c r="AI130" s="348"/>
      <c r="AJ130" s="312"/>
      <c r="AK130" s="312"/>
      <c r="AL130" s="342">
        <v>45572.0</v>
      </c>
      <c r="AM130" s="343">
        <v>21.472</v>
      </c>
      <c r="AN130" s="343">
        <v>21.472</v>
      </c>
      <c r="AO130" s="343">
        <v>21.472</v>
      </c>
      <c r="AP130" s="343">
        <v>21.472</v>
      </c>
      <c r="AQ130" s="335" t="s">
        <v>238</v>
      </c>
      <c r="AR130" s="336">
        <f t="shared" si="4"/>
        <v>0.0006056229949</v>
      </c>
      <c r="AS130" s="336"/>
      <c r="AT130" s="336"/>
      <c r="AU130" s="348"/>
      <c r="AV130" s="312"/>
      <c r="AW130" s="312"/>
      <c r="AX130" s="312"/>
      <c r="AY130" s="312"/>
      <c r="AZ130" s="312"/>
      <c r="BA130" s="312"/>
      <c r="BB130" s="312"/>
      <c r="BC130" s="312"/>
      <c r="BD130" s="316"/>
      <c r="BE130" s="316"/>
      <c r="BF130" s="316"/>
      <c r="BG130" s="316"/>
      <c r="BH130" s="316"/>
      <c r="BI130" s="316"/>
      <c r="BJ130" s="316"/>
      <c r="BK130" s="316"/>
      <c r="BL130" s="316"/>
      <c r="BM130" s="316"/>
      <c r="BN130" s="316"/>
      <c r="BO130" s="316"/>
      <c r="BP130" s="316"/>
      <c r="BQ130" s="316"/>
      <c r="BR130" s="316"/>
      <c r="BS130" s="316"/>
      <c r="BT130" s="316"/>
      <c r="BU130" s="316"/>
      <c r="BV130" s="316"/>
      <c r="BW130" s="316"/>
      <c r="BX130" s="316"/>
      <c r="BY130" s="316"/>
      <c r="BZ130" s="316"/>
      <c r="CA130" s="316"/>
      <c r="CB130" s="316"/>
      <c r="CC130" s="316"/>
      <c r="CD130" s="316"/>
    </row>
    <row r="131" ht="15.75" customHeight="1">
      <c r="A131" s="308"/>
      <c r="B131" s="334">
        <v>45573.0</v>
      </c>
      <c r="C131" s="335">
        <v>86.682</v>
      </c>
      <c r="D131" s="335">
        <v>86.682</v>
      </c>
      <c r="E131" s="335">
        <v>86.682</v>
      </c>
      <c r="F131" s="335">
        <v>86.682</v>
      </c>
      <c r="G131" s="335" t="s">
        <v>238</v>
      </c>
      <c r="H131" s="336">
        <f t="shared" si="1"/>
        <v>0.008178062236</v>
      </c>
      <c r="I131" s="336"/>
      <c r="J131" s="336"/>
      <c r="K131" s="348"/>
      <c r="L131" s="312"/>
      <c r="M131" s="312"/>
      <c r="N131" s="363">
        <v>45573.0</v>
      </c>
      <c r="O131" s="341">
        <v>30.664</v>
      </c>
      <c r="P131" s="341">
        <v>30.664</v>
      </c>
      <c r="Q131" s="341">
        <v>30.664</v>
      </c>
      <c r="R131" s="341">
        <v>30.664</v>
      </c>
      <c r="S131" s="335" t="s">
        <v>238</v>
      </c>
      <c r="T131" s="336">
        <f t="shared" si="2"/>
        <v>-0.005658367671</v>
      </c>
      <c r="U131" s="336"/>
      <c r="V131" s="336"/>
      <c r="W131" s="348"/>
      <c r="X131" s="312"/>
      <c r="Y131" s="312"/>
      <c r="Z131" s="340">
        <v>45573.0</v>
      </c>
      <c r="AA131" s="341">
        <v>2066.043</v>
      </c>
      <c r="AB131" s="341">
        <v>2066.043</v>
      </c>
      <c r="AC131" s="341">
        <v>2066.043</v>
      </c>
      <c r="AD131" s="341">
        <v>2066.043</v>
      </c>
      <c r="AE131" s="335" t="s">
        <v>238</v>
      </c>
      <c r="AF131" s="336">
        <f t="shared" si="3"/>
        <v>0.007264799577</v>
      </c>
      <c r="AG131" s="336"/>
      <c r="AH131" s="336"/>
      <c r="AI131" s="348"/>
      <c r="AJ131" s="312"/>
      <c r="AK131" s="312"/>
      <c r="AL131" s="342">
        <v>45573.0</v>
      </c>
      <c r="AM131" s="343">
        <v>21.485</v>
      </c>
      <c r="AN131" s="343">
        <v>21.485</v>
      </c>
      <c r="AO131" s="343">
        <v>21.485</v>
      </c>
      <c r="AP131" s="343">
        <v>21.485</v>
      </c>
      <c r="AQ131" s="335" t="s">
        <v>238</v>
      </c>
      <c r="AR131" s="336">
        <f t="shared" si="4"/>
        <v>0.0006052564377</v>
      </c>
      <c r="AS131" s="336"/>
      <c r="AT131" s="336"/>
      <c r="AU131" s="348"/>
      <c r="AV131" s="312"/>
      <c r="AW131" s="312"/>
      <c r="AX131" s="312"/>
      <c r="AY131" s="312"/>
      <c r="AZ131" s="312"/>
      <c r="BA131" s="312"/>
      <c r="BB131" s="312"/>
      <c r="BC131" s="312"/>
      <c r="BD131" s="316"/>
      <c r="BE131" s="316"/>
      <c r="BF131" s="316"/>
      <c r="BG131" s="316"/>
      <c r="BH131" s="316"/>
      <c r="BI131" s="316"/>
      <c r="BJ131" s="316"/>
      <c r="BK131" s="316"/>
      <c r="BL131" s="316"/>
      <c r="BM131" s="316"/>
      <c r="BN131" s="316"/>
      <c r="BO131" s="316"/>
      <c r="BP131" s="316"/>
      <c r="BQ131" s="316"/>
      <c r="BR131" s="316"/>
      <c r="BS131" s="316"/>
      <c r="BT131" s="316"/>
      <c r="BU131" s="316"/>
      <c r="BV131" s="316"/>
      <c r="BW131" s="316"/>
      <c r="BX131" s="316"/>
      <c r="BY131" s="316"/>
      <c r="BZ131" s="316"/>
      <c r="CA131" s="316"/>
      <c r="CB131" s="316"/>
      <c r="CC131" s="316"/>
      <c r="CD131" s="316"/>
    </row>
    <row r="132" ht="15.75" customHeight="1">
      <c r="A132" s="308"/>
      <c r="B132" s="334">
        <v>45574.0</v>
      </c>
      <c r="C132" s="335">
        <v>86.959</v>
      </c>
      <c r="D132" s="335">
        <v>86.959</v>
      </c>
      <c r="E132" s="335">
        <v>86.959</v>
      </c>
      <c r="F132" s="335">
        <v>86.959</v>
      </c>
      <c r="G132" s="335" t="s">
        <v>238</v>
      </c>
      <c r="H132" s="336">
        <f t="shared" si="1"/>
        <v>0.003190493432</v>
      </c>
      <c r="I132" s="336"/>
      <c r="J132" s="336"/>
      <c r="K132" s="348"/>
      <c r="L132" s="312"/>
      <c r="M132" s="312"/>
      <c r="N132" s="363">
        <v>45574.0</v>
      </c>
      <c r="O132" s="341">
        <v>30.456</v>
      </c>
      <c r="P132" s="341">
        <v>30.456</v>
      </c>
      <c r="Q132" s="341">
        <v>30.456</v>
      </c>
      <c r="R132" s="341">
        <v>30.456</v>
      </c>
      <c r="S132" s="335" t="s">
        <v>238</v>
      </c>
      <c r="T132" s="336">
        <f t="shared" si="2"/>
        <v>-0.006806308998</v>
      </c>
      <c r="U132" s="336"/>
      <c r="V132" s="336"/>
      <c r="W132" s="348"/>
      <c r="X132" s="312"/>
      <c r="Y132" s="312"/>
      <c r="Z132" s="340">
        <v>45574.0</v>
      </c>
      <c r="AA132" s="341">
        <v>2080.393</v>
      </c>
      <c r="AB132" s="341">
        <v>2080.393</v>
      </c>
      <c r="AC132" s="341">
        <v>2080.393</v>
      </c>
      <c r="AD132" s="341">
        <v>2080.393</v>
      </c>
      <c r="AE132" s="335" t="s">
        <v>238</v>
      </c>
      <c r="AF132" s="336">
        <f t="shared" si="3"/>
        <v>0.006921634527</v>
      </c>
      <c r="AG132" s="336"/>
      <c r="AH132" s="336"/>
      <c r="AI132" s="348"/>
      <c r="AJ132" s="312"/>
      <c r="AK132" s="312"/>
      <c r="AL132" s="342">
        <v>45574.0</v>
      </c>
      <c r="AM132" s="343">
        <v>21.511</v>
      </c>
      <c r="AN132" s="343">
        <v>21.511</v>
      </c>
      <c r="AO132" s="343">
        <v>21.511</v>
      </c>
      <c r="AP132" s="343">
        <v>21.511</v>
      </c>
      <c r="AQ132" s="335" t="s">
        <v>238</v>
      </c>
      <c r="AR132" s="336">
        <f t="shared" si="4"/>
        <v>0.001209414977</v>
      </c>
      <c r="AS132" s="336"/>
      <c r="AT132" s="336"/>
      <c r="AU132" s="348"/>
      <c r="AV132" s="312"/>
      <c r="AW132" s="312"/>
      <c r="AX132" s="312"/>
      <c r="AY132" s="312"/>
      <c r="AZ132" s="312"/>
      <c r="BA132" s="312"/>
      <c r="BB132" s="312"/>
      <c r="BC132" s="312"/>
      <c r="BD132" s="316"/>
      <c r="BE132" s="316"/>
      <c r="BF132" s="316"/>
      <c r="BG132" s="316"/>
      <c r="BH132" s="316"/>
      <c r="BI132" s="316"/>
      <c r="BJ132" s="316"/>
      <c r="BK132" s="316"/>
      <c r="BL132" s="316"/>
      <c r="BM132" s="316"/>
      <c r="BN132" s="316"/>
      <c r="BO132" s="316"/>
      <c r="BP132" s="316"/>
      <c r="BQ132" s="316"/>
      <c r="BR132" s="316"/>
      <c r="BS132" s="316"/>
      <c r="BT132" s="316"/>
      <c r="BU132" s="316"/>
      <c r="BV132" s="316"/>
      <c r="BW132" s="316"/>
      <c r="BX132" s="316"/>
      <c r="BY132" s="316"/>
      <c r="BZ132" s="316"/>
      <c r="CA132" s="316"/>
      <c r="CB132" s="316"/>
      <c r="CC132" s="316"/>
      <c r="CD132" s="316"/>
    </row>
    <row r="133" ht="15.75" customHeight="1">
      <c r="A133" s="308"/>
      <c r="B133" s="334">
        <v>45575.0</v>
      </c>
      <c r="C133" s="335">
        <v>87.429</v>
      </c>
      <c r="D133" s="335">
        <v>87.429</v>
      </c>
      <c r="E133" s="335">
        <v>87.429</v>
      </c>
      <c r="F133" s="335">
        <v>87.429</v>
      </c>
      <c r="G133" s="335" t="s">
        <v>238</v>
      </c>
      <c r="H133" s="336">
        <f t="shared" si="1"/>
        <v>0.005390292199</v>
      </c>
      <c r="I133" s="336"/>
      <c r="J133" s="336"/>
      <c r="K133" s="348"/>
      <c r="L133" s="312"/>
      <c r="M133" s="312"/>
      <c r="N133" s="363">
        <v>45575.0</v>
      </c>
      <c r="O133" s="341">
        <v>30.451</v>
      </c>
      <c r="P133" s="341">
        <v>30.451</v>
      </c>
      <c r="Q133" s="341">
        <v>30.451</v>
      </c>
      <c r="R133" s="341">
        <v>30.451</v>
      </c>
      <c r="S133" s="335" t="s">
        <v>238</v>
      </c>
      <c r="T133" s="336">
        <f t="shared" si="2"/>
        <v>-0.000164184741</v>
      </c>
      <c r="U133" s="336"/>
      <c r="V133" s="336"/>
      <c r="W133" s="348"/>
      <c r="X133" s="312"/>
      <c r="Y133" s="312"/>
      <c r="Z133" s="340">
        <v>45575.0</v>
      </c>
      <c r="AA133" s="341">
        <v>2083.105</v>
      </c>
      <c r="AB133" s="341">
        <v>2083.105</v>
      </c>
      <c r="AC133" s="341">
        <v>2083.105</v>
      </c>
      <c r="AD133" s="341">
        <v>2083.105</v>
      </c>
      <c r="AE133" s="335" t="s">
        <v>238</v>
      </c>
      <c r="AF133" s="336">
        <f t="shared" si="3"/>
        <v>0.0013027509</v>
      </c>
      <c r="AG133" s="336"/>
      <c r="AH133" s="336"/>
      <c r="AI133" s="348"/>
      <c r="AJ133" s="312"/>
      <c r="AK133" s="312"/>
      <c r="AL133" s="353">
        <v>45575.0</v>
      </c>
      <c r="AM133" s="343">
        <v>21.514</v>
      </c>
      <c r="AN133" s="343">
        <v>21.514</v>
      </c>
      <c r="AO133" s="343">
        <v>21.514</v>
      </c>
      <c r="AP133" s="343">
        <v>21.514</v>
      </c>
      <c r="AQ133" s="335" t="s">
        <v>238</v>
      </c>
      <c r="AR133" s="336">
        <f t="shared" si="4"/>
        <v>0.0001394538062</v>
      </c>
      <c r="AS133" s="336"/>
      <c r="AT133" s="336"/>
      <c r="AU133" s="348"/>
      <c r="AV133" s="312"/>
      <c r="AW133" s="312"/>
      <c r="AX133" s="312"/>
      <c r="AY133" s="312"/>
      <c r="AZ133" s="312"/>
      <c r="BA133" s="312"/>
      <c r="BB133" s="312"/>
      <c r="BC133" s="312"/>
      <c r="BD133" s="316"/>
      <c r="BE133" s="316"/>
      <c r="BF133" s="316"/>
      <c r="BG133" s="316"/>
      <c r="BH133" s="316"/>
      <c r="BI133" s="316"/>
      <c r="BJ133" s="316"/>
      <c r="BK133" s="316"/>
      <c r="BL133" s="316"/>
      <c r="BM133" s="316"/>
      <c r="BN133" s="316"/>
      <c r="BO133" s="316"/>
      <c r="BP133" s="316"/>
      <c r="BQ133" s="316"/>
      <c r="BR133" s="316"/>
      <c r="BS133" s="316"/>
      <c r="BT133" s="316"/>
      <c r="BU133" s="316"/>
      <c r="BV133" s="316"/>
      <c r="BW133" s="316"/>
      <c r="BX133" s="316"/>
      <c r="BY133" s="316"/>
      <c r="BZ133" s="316"/>
      <c r="CA133" s="316"/>
      <c r="CB133" s="316"/>
      <c r="CC133" s="316"/>
      <c r="CD133" s="316"/>
    </row>
    <row r="134" ht="15.75" customHeight="1">
      <c r="A134" s="308"/>
      <c r="B134" s="334">
        <v>45576.0</v>
      </c>
      <c r="C134" s="335">
        <v>87.538</v>
      </c>
      <c r="D134" s="335">
        <v>87.538</v>
      </c>
      <c r="E134" s="335">
        <v>87.538</v>
      </c>
      <c r="F134" s="335">
        <v>87.538</v>
      </c>
      <c r="G134" s="335" t="s">
        <v>238</v>
      </c>
      <c r="H134" s="336">
        <f t="shared" si="1"/>
        <v>0.001245949397</v>
      </c>
      <c r="I134" s="336"/>
      <c r="J134" s="336"/>
      <c r="K134" s="348"/>
      <c r="L134" s="312"/>
      <c r="M134" s="312"/>
      <c r="N134" s="363">
        <v>45576.0</v>
      </c>
      <c r="O134" s="341">
        <v>30.708</v>
      </c>
      <c r="P134" s="341">
        <v>30.708</v>
      </c>
      <c r="Q134" s="341">
        <v>30.708</v>
      </c>
      <c r="R134" s="341">
        <v>30.708</v>
      </c>
      <c r="S134" s="335" t="s">
        <v>238</v>
      </c>
      <c r="T134" s="336">
        <f t="shared" si="2"/>
        <v>0.008404372626</v>
      </c>
      <c r="U134" s="336"/>
      <c r="V134" s="336"/>
      <c r="W134" s="348"/>
      <c r="X134" s="312"/>
      <c r="Y134" s="312"/>
      <c r="Z134" s="340">
        <v>45576.0</v>
      </c>
      <c r="AA134" s="341">
        <v>2078.892</v>
      </c>
      <c r="AB134" s="341">
        <v>2078.892</v>
      </c>
      <c r="AC134" s="341">
        <v>2078.892</v>
      </c>
      <c r="AD134" s="341">
        <v>2078.892</v>
      </c>
      <c r="AE134" s="335" t="s">
        <v>238</v>
      </c>
      <c r="AF134" s="336">
        <f t="shared" si="3"/>
        <v>-0.002024509599</v>
      </c>
      <c r="AG134" s="336"/>
      <c r="AH134" s="336"/>
      <c r="AI134" s="348"/>
      <c r="AJ134" s="312"/>
      <c r="AK134" s="312"/>
      <c r="AL134" s="353">
        <v>45576.0</v>
      </c>
      <c r="AM134" s="343">
        <v>21.514</v>
      </c>
      <c r="AN134" s="343">
        <v>21.514</v>
      </c>
      <c r="AO134" s="343">
        <v>21.514</v>
      </c>
      <c r="AP134" s="343">
        <v>21.514</v>
      </c>
      <c r="AQ134" s="335" t="s">
        <v>238</v>
      </c>
      <c r="AR134" s="336">
        <f t="shared" si="4"/>
        <v>0</v>
      </c>
      <c r="AS134" s="336"/>
      <c r="AT134" s="336"/>
      <c r="AU134" s="348"/>
      <c r="AV134" s="312"/>
      <c r="AW134" s="312"/>
      <c r="AX134" s="312"/>
      <c r="AY134" s="312"/>
      <c r="AZ134" s="312"/>
      <c r="BA134" s="312"/>
      <c r="BB134" s="312"/>
      <c r="BC134" s="312"/>
      <c r="BD134" s="316"/>
      <c r="BE134" s="316"/>
      <c r="BF134" s="316"/>
      <c r="BG134" s="316"/>
      <c r="BH134" s="316"/>
      <c r="BI134" s="316"/>
      <c r="BJ134" s="316"/>
      <c r="BK134" s="316"/>
      <c r="BL134" s="316"/>
      <c r="BM134" s="316"/>
      <c r="BN134" s="316"/>
      <c r="BO134" s="316"/>
      <c r="BP134" s="316"/>
      <c r="BQ134" s="316"/>
      <c r="BR134" s="316"/>
      <c r="BS134" s="316"/>
      <c r="BT134" s="316"/>
      <c r="BU134" s="316"/>
      <c r="BV134" s="316"/>
      <c r="BW134" s="316"/>
      <c r="BX134" s="316"/>
      <c r="BY134" s="316"/>
      <c r="BZ134" s="316"/>
      <c r="CA134" s="316"/>
      <c r="CB134" s="316"/>
      <c r="CC134" s="316"/>
      <c r="CD134" s="316"/>
    </row>
    <row r="135" ht="15.75" customHeight="1">
      <c r="A135" s="308"/>
      <c r="B135" s="334">
        <v>45579.0</v>
      </c>
      <c r="C135" s="335">
        <v>87.873</v>
      </c>
      <c r="D135" s="335">
        <v>87.873</v>
      </c>
      <c r="E135" s="335">
        <v>87.873</v>
      </c>
      <c r="F135" s="335">
        <v>87.873</v>
      </c>
      <c r="G135" s="335" t="s">
        <v>238</v>
      </c>
      <c r="H135" s="336">
        <f t="shared" si="1"/>
        <v>0.003819605467</v>
      </c>
      <c r="I135" s="336"/>
      <c r="J135" s="336"/>
      <c r="K135" s="348"/>
      <c r="L135" s="312"/>
      <c r="M135" s="312"/>
      <c r="N135" s="363">
        <v>45579.0</v>
      </c>
      <c r="O135" s="341">
        <v>30.92</v>
      </c>
      <c r="P135" s="341">
        <v>30.92</v>
      </c>
      <c r="Q135" s="341">
        <v>30.92</v>
      </c>
      <c r="R135" s="341">
        <v>30.92</v>
      </c>
      <c r="S135" s="335" t="s">
        <v>238</v>
      </c>
      <c r="T135" s="336">
        <f t="shared" si="2"/>
        <v>0.006880016754</v>
      </c>
      <c r="U135" s="336"/>
      <c r="V135" s="336"/>
      <c r="W135" s="348"/>
      <c r="X135" s="312"/>
      <c r="Y135" s="312"/>
      <c r="Z135" s="340">
        <v>45579.0</v>
      </c>
      <c r="AA135" s="341">
        <v>2087.56</v>
      </c>
      <c r="AB135" s="341">
        <v>2087.56</v>
      </c>
      <c r="AC135" s="341">
        <v>2087.56</v>
      </c>
      <c r="AD135" s="341">
        <v>2087.56</v>
      </c>
      <c r="AE135" s="335" t="s">
        <v>238</v>
      </c>
      <c r="AF135" s="336">
        <f t="shared" si="3"/>
        <v>0.00416086037</v>
      </c>
      <c r="AG135" s="336"/>
      <c r="AH135" s="336"/>
      <c r="AI135" s="348"/>
      <c r="AJ135" s="312"/>
      <c r="AK135" s="312"/>
      <c r="AL135" s="353">
        <v>45579.0</v>
      </c>
      <c r="AM135" s="343">
        <v>22.085</v>
      </c>
      <c r="AN135" s="343">
        <v>22.085</v>
      </c>
      <c r="AO135" s="343">
        <v>22.085</v>
      </c>
      <c r="AP135" s="343">
        <v>22.085</v>
      </c>
      <c r="AQ135" s="335" t="s">
        <v>238</v>
      </c>
      <c r="AR135" s="336">
        <f t="shared" si="4"/>
        <v>0.02619475904</v>
      </c>
      <c r="AS135" s="336"/>
      <c r="AT135" s="336"/>
      <c r="AU135" s="348"/>
      <c r="AV135" s="312"/>
      <c r="AW135" s="312"/>
      <c r="AX135" s="312"/>
      <c r="AY135" s="312"/>
      <c r="AZ135" s="312"/>
      <c r="BA135" s="312"/>
      <c r="BB135" s="312"/>
      <c r="BC135" s="312"/>
      <c r="BD135" s="316"/>
      <c r="BE135" s="316"/>
      <c r="BF135" s="316"/>
      <c r="BG135" s="316"/>
      <c r="BH135" s="316"/>
      <c r="BI135" s="316"/>
      <c r="BJ135" s="316"/>
      <c r="BK135" s="316"/>
      <c r="BL135" s="316"/>
      <c r="BM135" s="316"/>
      <c r="BN135" s="316"/>
      <c r="BO135" s="316"/>
      <c r="BP135" s="316"/>
      <c r="BQ135" s="316"/>
      <c r="BR135" s="316"/>
      <c r="BS135" s="316"/>
      <c r="BT135" s="316"/>
      <c r="BU135" s="316"/>
      <c r="BV135" s="316"/>
      <c r="BW135" s="316"/>
      <c r="BX135" s="316"/>
      <c r="BY135" s="316"/>
      <c r="BZ135" s="316"/>
      <c r="CA135" s="316"/>
      <c r="CB135" s="316"/>
      <c r="CC135" s="316"/>
      <c r="CD135" s="316"/>
    </row>
    <row r="136" ht="15.75" customHeight="1">
      <c r="A136" s="308"/>
      <c r="B136" s="334">
        <v>45580.0</v>
      </c>
      <c r="C136" s="335">
        <v>88.092</v>
      </c>
      <c r="D136" s="335">
        <v>88.092</v>
      </c>
      <c r="E136" s="335">
        <v>88.092</v>
      </c>
      <c r="F136" s="335">
        <v>88.092</v>
      </c>
      <c r="G136" s="335" t="s">
        <v>238</v>
      </c>
      <c r="H136" s="336">
        <f t="shared" si="1"/>
        <v>0.002489132647</v>
      </c>
      <c r="I136" s="336"/>
      <c r="J136" s="336"/>
      <c r="K136" s="348"/>
      <c r="L136" s="312"/>
      <c r="M136" s="312"/>
      <c r="N136" s="363">
        <v>45580.0</v>
      </c>
      <c r="O136" s="341">
        <v>30.862</v>
      </c>
      <c r="P136" s="341">
        <v>30.862</v>
      </c>
      <c r="Q136" s="341">
        <v>30.862</v>
      </c>
      <c r="R136" s="341">
        <v>30.862</v>
      </c>
      <c r="S136" s="335" t="s">
        <v>238</v>
      </c>
      <c r="T136" s="336">
        <f t="shared" si="2"/>
        <v>-0.00187757007</v>
      </c>
      <c r="U136" s="336"/>
      <c r="V136" s="336"/>
      <c r="W136" s="348"/>
      <c r="X136" s="312"/>
      <c r="Y136" s="312"/>
      <c r="Z136" s="340">
        <v>45580.0</v>
      </c>
      <c r="AA136" s="341">
        <v>2090.434</v>
      </c>
      <c r="AB136" s="341">
        <v>2090.434</v>
      </c>
      <c r="AC136" s="341">
        <v>2090.434</v>
      </c>
      <c r="AD136" s="341">
        <v>2090.434</v>
      </c>
      <c r="AE136" s="335" t="s">
        <v>238</v>
      </c>
      <c r="AF136" s="336">
        <f t="shared" si="3"/>
        <v>0.001375780077</v>
      </c>
      <c r="AG136" s="336"/>
      <c r="AH136" s="336"/>
      <c r="AI136" s="348"/>
      <c r="AJ136" s="312"/>
      <c r="AK136" s="312"/>
      <c r="AL136" s="353">
        <v>45580.0</v>
      </c>
      <c r="AM136" s="343">
        <v>22.094</v>
      </c>
      <c r="AN136" s="343">
        <v>22.094</v>
      </c>
      <c r="AO136" s="343">
        <v>22.094</v>
      </c>
      <c r="AP136" s="343">
        <v>22.094</v>
      </c>
      <c r="AQ136" s="335" t="s">
        <v>238</v>
      </c>
      <c r="AR136" s="336">
        <f t="shared" si="4"/>
        <v>0.0004074334016</v>
      </c>
      <c r="AS136" s="336"/>
      <c r="AT136" s="336"/>
      <c r="AU136" s="348"/>
      <c r="AV136" s="312"/>
      <c r="AW136" s="312"/>
      <c r="AX136" s="312"/>
      <c r="AY136" s="312"/>
      <c r="AZ136" s="312"/>
      <c r="BA136" s="312"/>
      <c r="BB136" s="312"/>
      <c r="BC136" s="312"/>
      <c r="BD136" s="316"/>
      <c r="BE136" s="316"/>
      <c r="BF136" s="316"/>
      <c r="BG136" s="316"/>
      <c r="BH136" s="316"/>
      <c r="BI136" s="316"/>
      <c r="BJ136" s="316"/>
      <c r="BK136" s="316"/>
      <c r="BL136" s="316"/>
      <c r="BM136" s="316"/>
      <c r="BN136" s="316"/>
      <c r="BO136" s="316"/>
      <c r="BP136" s="316"/>
      <c r="BQ136" s="316"/>
      <c r="BR136" s="316"/>
      <c r="BS136" s="316"/>
      <c r="BT136" s="316"/>
      <c r="BU136" s="316"/>
      <c r="BV136" s="316"/>
      <c r="BW136" s="316"/>
      <c r="BX136" s="316"/>
      <c r="BY136" s="316"/>
      <c r="BZ136" s="316"/>
      <c r="CA136" s="316"/>
      <c r="CB136" s="316"/>
      <c r="CC136" s="316"/>
      <c r="CD136" s="316"/>
    </row>
    <row r="137" ht="15.75" customHeight="1">
      <c r="A137" s="308"/>
      <c r="B137" s="362">
        <v>45581.0</v>
      </c>
      <c r="C137" s="335">
        <v>87.758</v>
      </c>
      <c r="D137" s="335">
        <v>87.758</v>
      </c>
      <c r="E137" s="335">
        <v>87.758</v>
      </c>
      <c r="F137" s="335">
        <v>87.758</v>
      </c>
      <c r="G137" s="335" t="s">
        <v>238</v>
      </c>
      <c r="H137" s="336">
        <f t="shared" si="1"/>
        <v>-0.003798696635</v>
      </c>
      <c r="I137" s="336"/>
      <c r="J137" s="336"/>
      <c r="K137" s="348"/>
      <c r="L137" s="312"/>
      <c r="M137" s="312"/>
      <c r="N137" s="363">
        <v>45581.0</v>
      </c>
      <c r="O137" s="341">
        <v>31.142</v>
      </c>
      <c r="P137" s="341">
        <v>31.142</v>
      </c>
      <c r="Q137" s="341">
        <v>31.142</v>
      </c>
      <c r="R137" s="341">
        <v>31.142</v>
      </c>
      <c r="S137" s="335" t="s">
        <v>238</v>
      </c>
      <c r="T137" s="336">
        <f t="shared" si="2"/>
        <v>0.00903173677</v>
      </c>
      <c r="U137" s="336"/>
      <c r="V137" s="336"/>
      <c r="W137" s="348"/>
      <c r="X137" s="312"/>
      <c r="Y137" s="312"/>
      <c r="Z137" s="363">
        <v>45581.0</v>
      </c>
      <c r="AA137" s="341">
        <v>2085.233</v>
      </c>
      <c r="AB137" s="341">
        <v>2085.233</v>
      </c>
      <c r="AC137" s="341">
        <v>2085.233</v>
      </c>
      <c r="AD137" s="341">
        <v>2085.233</v>
      </c>
      <c r="AE137" s="335" t="s">
        <v>238</v>
      </c>
      <c r="AF137" s="336">
        <f t="shared" si="3"/>
        <v>-0.002491100315</v>
      </c>
      <c r="AG137" s="336"/>
      <c r="AH137" s="336"/>
      <c r="AI137" s="348"/>
      <c r="AJ137" s="312"/>
      <c r="AK137" s="312"/>
      <c r="AL137" s="353">
        <v>45581.0</v>
      </c>
      <c r="AM137" s="343">
        <v>22.089</v>
      </c>
      <c r="AN137" s="343">
        <v>22.089</v>
      </c>
      <c r="AO137" s="343">
        <v>22.089</v>
      </c>
      <c r="AP137" s="343">
        <v>22.089</v>
      </c>
      <c r="AQ137" s="335" t="s">
        <v>238</v>
      </c>
      <c r="AR137" s="336">
        <f t="shared" si="4"/>
        <v>-0.0002263313954</v>
      </c>
      <c r="AS137" s="336"/>
      <c r="AT137" s="336"/>
      <c r="AU137" s="348"/>
      <c r="AV137" s="312"/>
      <c r="AW137" s="312"/>
      <c r="AX137" s="312"/>
      <c r="AY137" s="312"/>
      <c r="AZ137" s="312"/>
      <c r="BA137" s="312"/>
      <c r="BB137" s="312"/>
      <c r="BC137" s="312"/>
      <c r="BD137" s="316"/>
      <c r="BE137" s="316"/>
      <c r="BF137" s="316"/>
      <c r="BG137" s="316"/>
      <c r="BH137" s="316"/>
      <c r="BI137" s="316"/>
      <c r="BJ137" s="316"/>
      <c r="BK137" s="316"/>
      <c r="BL137" s="316"/>
      <c r="BM137" s="316"/>
      <c r="BN137" s="316"/>
      <c r="BO137" s="316"/>
      <c r="BP137" s="316"/>
      <c r="BQ137" s="316"/>
      <c r="BR137" s="316"/>
      <c r="BS137" s="316"/>
      <c r="BT137" s="316"/>
      <c r="BU137" s="316"/>
      <c r="BV137" s="316"/>
      <c r="BW137" s="316"/>
      <c r="BX137" s="316"/>
      <c r="BY137" s="316"/>
      <c r="BZ137" s="316"/>
      <c r="CA137" s="316"/>
      <c r="CB137" s="316"/>
      <c r="CC137" s="316"/>
      <c r="CD137" s="316"/>
    </row>
    <row r="138" ht="15.75" customHeight="1">
      <c r="A138" s="308"/>
      <c r="B138" s="362">
        <v>45582.0</v>
      </c>
      <c r="C138" s="335">
        <v>87.242</v>
      </c>
      <c r="D138" s="335">
        <v>87.242</v>
      </c>
      <c r="E138" s="335">
        <v>87.242</v>
      </c>
      <c r="F138" s="335">
        <v>87.242</v>
      </c>
      <c r="G138" s="335" t="s">
        <v>238</v>
      </c>
      <c r="H138" s="336">
        <f t="shared" si="1"/>
        <v>-0.005897159947</v>
      </c>
      <c r="I138" s="336"/>
      <c r="J138" s="336"/>
      <c r="K138" s="348"/>
      <c r="L138" s="312"/>
      <c r="M138" s="312"/>
      <c r="N138" s="340">
        <v>45582.0</v>
      </c>
      <c r="O138" s="341">
        <v>31.142</v>
      </c>
      <c r="P138" s="341">
        <v>31.142</v>
      </c>
      <c r="Q138" s="341">
        <v>31.142</v>
      </c>
      <c r="R138" s="341">
        <v>31.142</v>
      </c>
      <c r="S138" s="335" t="s">
        <v>238</v>
      </c>
      <c r="T138" s="336">
        <f t="shared" si="2"/>
        <v>0</v>
      </c>
      <c r="U138" s="336"/>
      <c r="V138" s="336"/>
      <c r="W138" s="348"/>
      <c r="X138" s="312"/>
      <c r="Y138" s="312"/>
      <c r="Z138" s="363">
        <v>45582.0</v>
      </c>
      <c r="AA138" s="341">
        <v>2062.945</v>
      </c>
      <c r="AB138" s="341">
        <v>2062.945</v>
      </c>
      <c r="AC138" s="341">
        <v>2062.945</v>
      </c>
      <c r="AD138" s="341">
        <v>2062.945</v>
      </c>
      <c r="AE138" s="335" t="s">
        <v>238</v>
      </c>
      <c r="AF138" s="336">
        <f t="shared" si="3"/>
        <v>-0.01074602608</v>
      </c>
      <c r="AG138" s="336"/>
      <c r="AH138" s="336"/>
      <c r="AI138" s="348"/>
      <c r="AJ138" s="312"/>
      <c r="AK138" s="312"/>
      <c r="AL138" s="353">
        <v>45582.0</v>
      </c>
      <c r="AM138" s="343">
        <v>22.09</v>
      </c>
      <c r="AN138" s="343">
        <v>22.09</v>
      </c>
      <c r="AO138" s="343">
        <v>22.09</v>
      </c>
      <c r="AP138" s="343">
        <v>22.09</v>
      </c>
      <c r="AQ138" s="335" t="s">
        <v>238</v>
      </c>
      <c r="AR138" s="336">
        <f t="shared" si="4"/>
        <v>0.00004527037734</v>
      </c>
      <c r="AS138" s="336"/>
      <c r="AT138" s="336"/>
      <c r="AU138" s="348"/>
      <c r="AV138" s="312"/>
      <c r="AW138" s="312"/>
      <c r="AX138" s="312"/>
      <c r="AY138" s="312"/>
      <c r="AZ138" s="312"/>
      <c r="BA138" s="312"/>
      <c r="BB138" s="312"/>
      <c r="BC138" s="312"/>
      <c r="BD138" s="316"/>
      <c r="BE138" s="316"/>
      <c r="BF138" s="316"/>
      <c r="BG138" s="316"/>
      <c r="BH138" s="316"/>
      <c r="BI138" s="316"/>
      <c r="BJ138" s="316"/>
      <c r="BK138" s="316"/>
      <c r="BL138" s="316"/>
      <c r="BM138" s="316"/>
      <c r="BN138" s="316"/>
      <c r="BO138" s="316"/>
      <c r="BP138" s="316"/>
      <c r="BQ138" s="316"/>
      <c r="BR138" s="316"/>
      <c r="BS138" s="316"/>
      <c r="BT138" s="316"/>
      <c r="BU138" s="316"/>
      <c r="BV138" s="316"/>
      <c r="BW138" s="316"/>
      <c r="BX138" s="316"/>
      <c r="BY138" s="316"/>
      <c r="BZ138" s="316"/>
      <c r="CA138" s="316"/>
      <c r="CB138" s="316"/>
      <c r="CC138" s="316"/>
      <c r="CD138" s="316"/>
    </row>
    <row r="139" ht="15.75" customHeight="1">
      <c r="A139" s="308"/>
      <c r="B139" s="362">
        <v>45583.0</v>
      </c>
      <c r="C139" s="335">
        <v>87.668</v>
      </c>
      <c r="D139" s="335">
        <v>87.668</v>
      </c>
      <c r="E139" s="335">
        <v>87.668</v>
      </c>
      <c r="F139" s="335">
        <v>87.668</v>
      </c>
      <c r="G139" s="335" t="s">
        <v>238</v>
      </c>
      <c r="H139" s="336">
        <f t="shared" si="1"/>
        <v>0.004871086185</v>
      </c>
      <c r="I139" s="336"/>
      <c r="J139" s="336"/>
      <c r="K139" s="348"/>
      <c r="L139" s="312"/>
      <c r="M139" s="312"/>
      <c r="N139" s="340">
        <v>45583.0</v>
      </c>
      <c r="O139" s="341">
        <v>31.499</v>
      </c>
      <c r="P139" s="341">
        <v>31.499</v>
      </c>
      <c r="Q139" s="341">
        <v>31.499</v>
      </c>
      <c r="R139" s="341">
        <v>31.499</v>
      </c>
      <c r="S139" s="335" t="s">
        <v>238</v>
      </c>
      <c r="T139" s="336">
        <f t="shared" si="2"/>
        <v>0.01139840888</v>
      </c>
      <c r="U139" s="336"/>
      <c r="V139" s="336"/>
      <c r="W139" s="348"/>
      <c r="X139" s="312"/>
      <c r="Y139" s="312"/>
      <c r="Z139" s="363">
        <v>45583.0</v>
      </c>
      <c r="AA139" s="341">
        <v>2079.039</v>
      </c>
      <c r="AB139" s="341">
        <v>2079.039</v>
      </c>
      <c r="AC139" s="341">
        <v>2079.039</v>
      </c>
      <c r="AD139" s="341">
        <v>2079.039</v>
      </c>
      <c r="AE139" s="335" t="s">
        <v>238</v>
      </c>
      <c r="AF139" s="336">
        <f t="shared" si="3"/>
        <v>0.007771194189</v>
      </c>
      <c r="AG139" s="336"/>
      <c r="AH139" s="336"/>
      <c r="AI139" s="348"/>
      <c r="AJ139" s="312"/>
      <c r="AK139" s="312"/>
      <c r="AL139" s="353">
        <v>45583.0</v>
      </c>
      <c r="AM139" s="343">
        <v>22.089</v>
      </c>
      <c r="AN139" s="343">
        <v>22.089</v>
      </c>
      <c r="AO139" s="343">
        <v>22.089</v>
      </c>
      <c r="AP139" s="343">
        <v>22.089</v>
      </c>
      <c r="AQ139" s="335" t="s">
        <v>238</v>
      </c>
      <c r="AR139" s="336">
        <f t="shared" si="4"/>
        <v>-0.00004527037734</v>
      </c>
      <c r="AS139" s="336"/>
      <c r="AT139" s="336"/>
      <c r="AU139" s="348"/>
      <c r="AV139" s="312"/>
      <c r="AW139" s="312"/>
      <c r="AX139" s="312"/>
      <c r="AY139" s="312"/>
      <c r="AZ139" s="312"/>
      <c r="BA139" s="312"/>
      <c r="BB139" s="312"/>
      <c r="BC139" s="312"/>
      <c r="BD139" s="316"/>
      <c r="BE139" s="316"/>
      <c r="BF139" s="316"/>
      <c r="BG139" s="316"/>
      <c r="BH139" s="316"/>
      <c r="BI139" s="316"/>
      <c r="BJ139" s="316"/>
      <c r="BK139" s="316"/>
      <c r="BL139" s="316"/>
      <c r="BM139" s="316"/>
      <c r="BN139" s="316"/>
      <c r="BO139" s="316"/>
      <c r="BP139" s="316"/>
      <c r="BQ139" s="316"/>
      <c r="BR139" s="316"/>
      <c r="BS139" s="316"/>
      <c r="BT139" s="316"/>
      <c r="BU139" s="316"/>
      <c r="BV139" s="316"/>
      <c r="BW139" s="316"/>
      <c r="BX139" s="316"/>
      <c r="BY139" s="316"/>
      <c r="BZ139" s="316"/>
      <c r="CA139" s="316"/>
      <c r="CB139" s="316"/>
      <c r="CC139" s="316"/>
      <c r="CD139" s="316"/>
    </row>
    <row r="140" ht="15.75" customHeight="1">
      <c r="A140" s="308"/>
      <c r="B140" s="362">
        <v>45586.0</v>
      </c>
      <c r="C140" s="335">
        <v>87.375</v>
      </c>
      <c r="D140" s="335">
        <v>87.375</v>
      </c>
      <c r="E140" s="335">
        <v>87.375</v>
      </c>
      <c r="F140" s="335">
        <v>87.375</v>
      </c>
      <c r="G140" s="335" t="s">
        <v>238</v>
      </c>
      <c r="H140" s="336">
        <f t="shared" si="1"/>
        <v>-0.003347751965</v>
      </c>
      <c r="I140" s="336"/>
      <c r="J140" s="336"/>
      <c r="K140" s="348"/>
      <c r="L140" s="312"/>
      <c r="M140" s="312"/>
      <c r="N140" s="340">
        <v>45586.0</v>
      </c>
      <c r="O140" s="341">
        <v>31.793</v>
      </c>
      <c r="P140" s="341">
        <v>31.793</v>
      </c>
      <c r="Q140" s="341">
        <v>31.793</v>
      </c>
      <c r="R140" s="341">
        <v>31.793</v>
      </c>
      <c r="S140" s="335" t="s">
        <v>238</v>
      </c>
      <c r="T140" s="336">
        <f t="shared" si="2"/>
        <v>0.009290340473</v>
      </c>
      <c r="U140" s="336"/>
      <c r="V140" s="336"/>
      <c r="W140" s="348"/>
      <c r="X140" s="312"/>
      <c r="Y140" s="312"/>
      <c r="Z140" s="363">
        <v>45586.0</v>
      </c>
      <c r="AA140" s="341">
        <v>2072.908</v>
      </c>
      <c r="AB140" s="341">
        <v>2072.908</v>
      </c>
      <c r="AC140" s="341">
        <v>2072.908</v>
      </c>
      <c r="AD140" s="341">
        <v>2072.908</v>
      </c>
      <c r="AE140" s="335" t="s">
        <v>238</v>
      </c>
      <c r="AF140" s="336">
        <f t="shared" si="3"/>
        <v>-0.002953315375</v>
      </c>
      <c r="AG140" s="336"/>
      <c r="AH140" s="336"/>
      <c r="AI140" s="348"/>
      <c r="AJ140" s="312"/>
      <c r="AK140" s="312"/>
      <c r="AL140" s="353">
        <v>45586.0</v>
      </c>
      <c r="AM140" s="343">
        <v>22.098</v>
      </c>
      <c r="AN140" s="343">
        <v>22.098</v>
      </c>
      <c r="AO140" s="343">
        <v>22.098</v>
      </c>
      <c r="AP140" s="343">
        <v>22.098</v>
      </c>
      <c r="AQ140" s="335" t="s">
        <v>238</v>
      </c>
      <c r="AR140" s="336">
        <f t="shared" si="4"/>
        <v>0.0004073596363</v>
      </c>
      <c r="AS140" s="336"/>
      <c r="AT140" s="336"/>
      <c r="AU140" s="348"/>
      <c r="AV140" s="312"/>
      <c r="AW140" s="312"/>
      <c r="AX140" s="312"/>
      <c r="AY140" s="312"/>
      <c r="AZ140" s="312"/>
      <c r="BA140" s="312"/>
      <c r="BB140" s="312"/>
      <c r="BC140" s="312"/>
      <c r="BD140" s="316"/>
      <c r="BE140" s="316"/>
      <c r="BF140" s="316"/>
      <c r="BG140" s="316"/>
      <c r="BH140" s="316"/>
      <c r="BI140" s="316"/>
      <c r="BJ140" s="316"/>
      <c r="BK140" s="316"/>
      <c r="BL140" s="316"/>
      <c r="BM140" s="316"/>
      <c r="BN140" s="316"/>
      <c r="BO140" s="316"/>
      <c r="BP140" s="316"/>
      <c r="BQ140" s="316"/>
      <c r="BR140" s="316"/>
      <c r="BS140" s="316"/>
      <c r="BT140" s="316"/>
      <c r="BU140" s="316"/>
      <c r="BV140" s="316"/>
      <c r="BW140" s="316"/>
      <c r="BX140" s="316"/>
      <c r="BY140" s="316"/>
      <c r="BZ140" s="316"/>
      <c r="CA140" s="316"/>
      <c r="CB140" s="316"/>
      <c r="CC140" s="316"/>
      <c r="CD140" s="316"/>
    </row>
    <row r="141" ht="15.75" customHeight="1">
      <c r="A141" s="308"/>
      <c r="B141" s="362">
        <v>45587.0</v>
      </c>
      <c r="C141" s="335">
        <v>86.641</v>
      </c>
      <c r="D141" s="335">
        <v>86.641</v>
      </c>
      <c r="E141" s="335">
        <v>86.641</v>
      </c>
      <c r="F141" s="335">
        <v>86.641</v>
      </c>
      <c r="G141" s="335" t="s">
        <v>238</v>
      </c>
      <c r="H141" s="336">
        <f t="shared" si="1"/>
        <v>-0.008436055915</v>
      </c>
      <c r="I141" s="336"/>
      <c r="J141" s="336"/>
      <c r="K141" s="348"/>
      <c r="L141" s="312"/>
      <c r="M141" s="312"/>
      <c r="N141" s="340">
        <v>45587.0</v>
      </c>
      <c r="O141" s="341">
        <v>31.764</v>
      </c>
      <c r="P141" s="341">
        <v>31.764</v>
      </c>
      <c r="Q141" s="341">
        <v>31.764</v>
      </c>
      <c r="R141" s="341">
        <v>31.764</v>
      </c>
      <c r="S141" s="335" t="s">
        <v>238</v>
      </c>
      <c r="T141" s="336">
        <f t="shared" si="2"/>
        <v>-0.0009125667358</v>
      </c>
      <c r="U141" s="336"/>
      <c r="V141" s="336"/>
      <c r="W141" s="348"/>
      <c r="X141" s="312"/>
      <c r="Y141" s="312"/>
      <c r="Z141" s="363">
        <v>45587.0</v>
      </c>
      <c r="AA141" s="341">
        <v>2048.299</v>
      </c>
      <c r="AB141" s="341">
        <v>2048.299</v>
      </c>
      <c r="AC141" s="341">
        <v>2048.299</v>
      </c>
      <c r="AD141" s="341">
        <v>2048.299</v>
      </c>
      <c r="AE141" s="335" t="s">
        <v>238</v>
      </c>
      <c r="AF141" s="336">
        <f t="shared" si="3"/>
        <v>-0.01194275973</v>
      </c>
      <c r="AG141" s="336"/>
      <c r="AH141" s="336"/>
      <c r="AI141" s="348"/>
      <c r="AJ141" s="312"/>
      <c r="AK141" s="312"/>
      <c r="AL141" s="353">
        <v>45587.0</v>
      </c>
      <c r="AM141" s="343">
        <v>22.098</v>
      </c>
      <c r="AN141" s="343">
        <v>22.098</v>
      </c>
      <c r="AO141" s="343">
        <v>22.098</v>
      </c>
      <c r="AP141" s="343">
        <v>22.098</v>
      </c>
      <c r="AQ141" s="335" t="s">
        <v>238</v>
      </c>
      <c r="AR141" s="336">
        <f t="shared" si="4"/>
        <v>0</v>
      </c>
      <c r="AS141" s="336"/>
      <c r="AT141" s="336"/>
      <c r="AU141" s="348"/>
      <c r="AV141" s="312"/>
      <c r="AW141" s="312"/>
      <c r="AX141" s="312"/>
      <c r="AY141" s="312"/>
      <c r="AZ141" s="312"/>
      <c r="BA141" s="312"/>
      <c r="BB141" s="312"/>
      <c r="BC141" s="312"/>
      <c r="BD141" s="316"/>
      <c r="BE141" s="316"/>
      <c r="BF141" s="316"/>
      <c r="BG141" s="316"/>
      <c r="BH141" s="316"/>
      <c r="BI141" s="316"/>
      <c r="BJ141" s="316"/>
      <c r="BK141" s="316"/>
      <c r="BL141" s="316"/>
      <c r="BM141" s="316"/>
      <c r="BN141" s="316"/>
      <c r="BO141" s="316"/>
      <c r="BP141" s="316"/>
      <c r="BQ141" s="316"/>
      <c r="BR141" s="316"/>
      <c r="BS141" s="316"/>
      <c r="BT141" s="316"/>
      <c r="BU141" s="316"/>
      <c r="BV141" s="316"/>
      <c r="BW141" s="316"/>
      <c r="BX141" s="316"/>
      <c r="BY141" s="316"/>
      <c r="BZ141" s="316"/>
      <c r="CA141" s="316"/>
      <c r="CB141" s="316"/>
      <c r="CC141" s="316"/>
      <c r="CD141" s="316"/>
    </row>
    <row r="142" ht="15.75" customHeight="1">
      <c r="A142" s="308"/>
      <c r="B142" s="362">
        <v>45588.0</v>
      </c>
      <c r="C142" s="335">
        <v>86.489</v>
      </c>
      <c r="D142" s="335">
        <v>86.489</v>
      </c>
      <c r="E142" s="335">
        <v>86.489</v>
      </c>
      <c r="F142" s="335">
        <v>86.489</v>
      </c>
      <c r="G142" s="335" t="s">
        <v>238</v>
      </c>
      <c r="H142" s="336">
        <f t="shared" si="1"/>
        <v>-0.001755906418</v>
      </c>
      <c r="I142" s="336"/>
      <c r="J142" s="336"/>
      <c r="K142" s="348"/>
      <c r="L142" s="312"/>
      <c r="M142" s="312"/>
      <c r="N142" s="340">
        <v>45588.0</v>
      </c>
      <c r="O142" s="341">
        <v>31.972</v>
      </c>
      <c r="P142" s="341">
        <v>31.972</v>
      </c>
      <c r="Q142" s="341">
        <v>31.972</v>
      </c>
      <c r="R142" s="341">
        <v>31.972</v>
      </c>
      <c r="S142" s="335" t="s">
        <v>238</v>
      </c>
      <c r="T142" s="336">
        <f t="shared" si="2"/>
        <v>0.006526946731</v>
      </c>
      <c r="U142" s="336"/>
      <c r="V142" s="336"/>
      <c r="W142" s="348"/>
      <c r="X142" s="312"/>
      <c r="Y142" s="312"/>
      <c r="Z142" s="363">
        <v>45588.0</v>
      </c>
      <c r="AA142" s="341">
        <v>2046.152</v>
      </c>
      <c r="AB142" s="341">
        <v>2046.152</v>
      </c>
      <c r="AC142" s="341">
        <v>2046.152</v>
      </c>
      <c r="AD142" s="341">
        <v>2046.152</v>
      </c>
      <c r="AE142" s="335" t="s">
        <v>238</v>
      </c>
      <c r="AF142" s="336">
        <f t="shared" si="3"/>
        <v>-0.001048736545</v>
      </c>
      <c r="AG142" s="336"/>
      <c r="AH142" s="336"/>
      <c r="AI142" s="348"/>
      <c r="AJ142" s="312"/>
      <c r="AK142" s="312"/>
      <c r="AL142" s="353">
        <v>45588.0</v>
      </c>
      <c r="AM142" s="343">
        <v>22.11</v>
      </c>
      <c r="AN142" s="343">
        <v>22.11</v>
      </c>
      <c r="AO142" s="343">
        <v>22.11</v>
      </c>
      <c r="AP142" s="343">
        <v>22.11</v>
      </c>
      <c r="AQ142" s="335" t="s">
        <v>238</v>
      </c>
      <c r="AR142" s="336">
        <f t="shared" si="4"/>
        <v>0.0005428881784</v>
      </c>
      <c r="AS142" s="336"/>
      <c r="AT142" s="336"/>
      <c r="AU142" s="348"/>
      <c r="AV142" s="312"/>
      <c r="AW142" s="312"/>
      <c r="AX142" s="312"/>
      <c r="AY142" s="312"/>
      <c r="AZ142" s="312"/>
      <c r="BA142" s="312"/>
      <c r="BB142" s="312"/>
      <c r="BC142" s="312"/>
      <c r="BD142" s="316"/>
      <c r="BE142" s="316"/>
      <c r="BF142" s="316"/>
      <c r="BG142" s="316"/>
      <c r="BH142" s="316"/>
      <c r="BI142" s="316"/>
      <c r="BJ142" s="316"/>
      <c r="BK142" s="316"/>
      <c r="BL142" s="316"/>
      <c r="BM142" s="316"/>
      <c r="BN142" s="316"/>
      <c r="BO142" s="316"/>
      <c r="BP142" s="316"/>
      <c r="BQ142" s="316"/>
      <c r="BR142" s="316"/>
      <c r="BS142" s="316"/>
      <c r="BT142" s="316"/>
      <c r="BU142" s="316"/>
      <c r="BV142" s="316"/>
      <c r="BW142" s="316"/>
      <c r="BX142" s="316"/>
      <c r="BY142" s="316"/>
      <c r="BZ142" s="316"/>
      <c r="CA142" s="316"/>
      <c r="CB142" s="316"/>
      <c r="CC142" s="316"/>
      <c r="CD142" s="316"/>
    </row>
    <row r="143" ht="15.75" customHeight="1">
      <c r="A143" s="308"/>
      <c r="B143" s="362">
        <v>45589.0</v>
      </c>
      <c r="C143" s="335">
        <v>86.462</v>
      </c>
      <c r="D143" s="335">
        <v>86.462</v>
      </c>
      <c r="E143" s="335">
        <v>86.462</v>
      </c>
      <c r="F143" s="335">
        <v>86.462</v>
      </c>
      <c r="G143" s="335" t="s">
        <v>238</v>
      </c>
      <c r="H143" s="336">
        <f t="shared" si="1"/>
        <v>-0.0003122271651</v>
      </c>
      <c r="I143" s="336"/>
      <c r="J143" s="336"/>
      <c r="K143" s="348"/>
      <c r="L143" s="312"/>
      <c r="M143" s="312"/>
      <c r="N143" s="340">
        <v>45589.0</v>
      </c>
      <c r="O143" s="341">
        <v>31.774</v>
      </c>
      <c r="P143" s="341">
        <v>31.774</v>
      </c>
      <c r="Q143" s="341">
        <v>31.774</v>
      </c>
      <c r="R143" s="341">
        <v>31.774</v>
      </c>
      <c r="S143" s="335" t="s">
        <v>238</v>
      </c>
      <c r="T143" s="336">
        <f t="shared" si="2"/>
        <v>-0.006212174466</v>
      </c>
      <c r="U143" s="336"/>
      <c r="V143" s="336"/>
      <c r="W143" s="348"/>
      <c r="X143" s="312"/>
      <c r="Y143" s="312"/>
      <c r="Z143" s="363">
        <v>45589.0</v>
      </c>
      <c r="AA143" s="341">
        <v>2048.736</v>
      </c>
      <c r="AB143" s="341">
        <v>2048.736</v>
      </c>
      <c r="AC143" s="341">
        <v>2048.736</v>
      </c>
      <c r="AD143" s="341">
        <v>2048.736</v>
      </c>
      <c r="AE143" s="335" t="s">
        <v>238</v>
      </c>
      <c r="AF143" s="336">
        <f t="shared" si="3"/>
        <v>0.001262061547</v>
      </c>
      <c r="AG143" s="336"/>
      <c r="AH143" s="336"/>
      <c r="AI143" s="348"/>
      <c r="AJ143" s="312"/>
      <c r="AK143" s="312"/>
      <c r="AL143" s="353">
        <v>45589.0</v>
      </c>
      <c r="AM143" s="343">
        <v>22.111</v>
      </c>
      <c r="AN143" s="343">
        <v>22.111</v>
      </c>
      <c r="AO143" s="343">
        <v>22.111</v>
      </c>
      <c r="AP143" s="343">
        <v>22.111</v>
      </c>
      <c r="AQ143" s="335" t="s">
        <v>238</v>
      </c>
      <c r="AR143" s="336">
        <f t="shared" si="4"/>
        <v>0.00004522738066</v>
      </c>
      <c r="AS143" s="336"/>
      <c r="AT143" s="336"/>
      <c r="AU143" s="348"/>
      <c r="AV143" s="312"/>
      <c r="AW143" s="312"/>
      <c r="AX143" s="312"/>
      <c r="AY143" s="312"/>
      <c r="AZ143" s="312"/>
      <c r="BA143" s="312"/>
      <c r="BB143" s="312"/>
      <c r="BC143" s="312"/>
      <c r="BD143" s="316"/>
      <c r="BE143" s="316"/>
      <c r="BF143" s="316"/>
      <c r="BG143" s="316"/>
      <c r="BH143" s="316"/>
      <c r="BI143" s="316"/>
      <c r="BJ143" s="316"/>
      <c r="BK143" s="316"/>
      <c r="BL143" s="316"/>
      <c r="BM143" s="316"/>
      <c r="BN143" s="316"/>
      <c r="BO143" s="316"/>
      <c r="BP143" s="316"/>
      <c r="BQ143" s="316"/>
      <c r="BR143" s="316"/>
      <c r="BS143" s="316"/>
      <c r="BT143" s="316"/>
      <c r="BU143" s="316"/>
      <c r="BV143" s="316"/>
      <c r="BW143" s="316"/>
      <c r="BX143" s="316"/>
      <c r="BY143" s="316"/>
      <c r="BZ143" s="316"/>
      <c r="CA143" s="316"/>
      <c r="CB143" s="316"/>
      <c r="CC143" s="316"/>
      <c r="CD143" s="316"/>
    </row>
    <row r="144" ht="15.75" customHeight="1">
      <c r="A144" s="308"/>
      <c r="B144" s="362">
        <v>45590.0</v>
      </c>
      <c r="C144" s="335">
        <v>86.153</v>
      </c>
      <c r="D144" s="335">
        <v>86.153</v>
      </c>
      <c r="E144" s="335">
        <v>86.153</v>
      </c>
      <c r="F144" s="335">
        <v>86.153</v>
      </c>
      <c r="G144" s="335" t="s">
        <v>238</v>
      </c>
      <c r="H144" s="336">
        <f t="shared" si="1"/>
        <v>-0.003580225705</v>
      </c>
      <c r="I144" s="336"/>
      <c r="J144" s="336"/>
      <c r="K144" s="348"/>
      <c r="L144" s="312"/>
      <c r="M144" s="312"/>
      <c r="N144" s="340">
        <v>45590.0</v>
      </c>
      <c r="O144" s="341">
        <v>31.628</v>
      </c>
      <c r="P144" s="341">
        <v>31.628</v>
      </c>
      <c r="Q144" s="341">
        <v>31.628</v>
      </c>
      <c r="R144" s="341">
        <v>31.628</v>
      </c>
      <c r="S144" s="335" t="s">
        <v>238</v>
      </c>
      <c r="T144" s="336">
        <f t="shared" si="2"/>
        <v>-0.004605541089</v>
      </c>
      <c r="U144" s="336"/>
      <c r="V144" s="336"/>
      <c r="W144" s="348"/>
      <c r="X144" s="312"/>
      <c r="Y144" s="312"/>
      <c r="Z144" s="363">
        <v>45590.0</v>
      </c>
      <c r="AA144" s="341">
        <v>2040.747</v>
      </c>
      <c r="AB144" s="341">
        <v>2040.747</v>
      </c>
      <c r="AC144" s="341">
        <v>2040.747</v>
      </c>
      <c r="AD144" s="341">
        <v>2040.747</v>
      </c>
      <c r="AE144" s="335" t="s">
        <v>238</v>
      </c>
      <c r="AF144" s="336">
        <f t="shared" si="3"/>
        <v>-0.003907100317</v>
      </c>
      <c r="AG144" s="336"/>
      <c r="AH144" s="336"/>
      <c r="AI144" s="348"/>
      <c r="AJ144" s="312"/>
      <c r="AK144" s="312"/>
      <c r="AL144" s="353">
        <v>45590.0</v>
      </c>
      <c r="AM144" s="343">
        <v>22.117</v>
      </c>
      <c r="AN144" s="343">
        <v>22.117</v>
      </c>
      <c r="AO144" s="343">
        <v>22.117</v>
      </c>
      <c r="AP144" s="343">
        <v>22.117</v>
      </c>
      <c r="AQ144" s="335" t="s">
        <v>238</v>
      </c>
      <c r="AR144" s="336">
        <f t="shared" si="4"/>
        <v>0.0002713213366</v>
      </c>
      <c r="AS144" s="336"/>
      <c r="AT144" s="336"/>
      <c r="AU144" s="348"/>
      <c r="AV144" s="312"/>
      <c r="AW144" s="312"/>
      <c r="AX144" s="312"/>
      <c r="AY144" s="312"/>
      <c r="AZ144" s="312"/>
      <c r="BA144" s="312"/>
      <c r="BB144" s="312"/>
      <c r="BC144" s="312"/>
      <c r="BD144" s="316"/>
      <c r="BE144" s="316"/>
      <c r="BF144" s="316"/>
      <c r="BG144" s="316"/>
      <c r="BH144" s="316"/>
      <c r="BI144" s="316"/>
      <c r="BJ144" s="316"/>
      <c r="BK144" s="316"/>
      <c r="BL144" s="316"/>
      <c r="BM144" s="316"/>
      <c r="BN144" s="316"/>
      <c r="BO144" s="316"/>
      <c r="BP144" s="316"/>
      <c r="BQ144" s="316"/>
      <c r="BR144" s="316"/>
      <c r="BS144" s="316"/>
      <c r="BT144" s="316"/>
      <c r="BU144" s="316"/>
      <c r="BV144" s="316"/>
      <c r="BW144" s="316"/>
      <c r="BX144" s="316"/>
      <c r="BY144" s="316"/>
      <c r="BZ144" s="316"/>
      <c r="CA144" s="316"/>
      <c r="CB144" s="316"/>
      <c r="CC144" s="316"/>
      <c r="CD144" s="316"/>
    </row>
    <row r="145" ht="15.75" customHeight="1">
      <c r="A145" s="308"/>
      <c r="B145" s="362">
        <v>45593.0</v>
      </c>
      <c r="C145" s="335">
        <v>86.315</v>
      </c>
      <c r="D145" s="335">
        <v>86.315</v>
      </c>
      <c r="E145" s="335">
        <v>86.315</v>
      </c>
      <c r="F145" s="335">
        <v>86.315</v>
      </c>
      <c r="G145" s="335" t="s">
        <v>238</v>
      </c>
      <c r="H145" s="336">
        <f t="shared" si="1"/>
        <v>0.001878609918</v>
      </c>
      <c r="I145" s="336"/>
      <c r="J145" s="336"/>
      <c r="K145" s="348"/>
      <c r="L145" s="312"/>
      <c r="M145" s="312"/>
      <c r="N145" s="363">
        <v>45593.0</v>
      </c>
      <c r="O145" s="341">
        <v>31.787</v>
      </c>
      <c r="P145" s="341">
        <v>31.787</v>
      </c>
      <c r="Q145" s="341">
        <v>31.787</v>
      </c>
      <c r="R145" s="341">
        <v>31.787</v>
      </c>
      <c r="S145" s="335" t="s">
        <v>238</v>
      </c>
      <c r="T145" s="336">
        <f t="shared" si="2"/>
        <v>0.005014596962</v>
      </c>
      <c r="U145" s="336"/>
      <c r="V145" s="336"/>
      <c r="W145" s="348"/>
      <c r="X145" s="312"/>
      <c r="Y145" s="312"/>
      <c r="Z145" s="363">
        <v>45593.0</v>
      </c>
      <c r="AA145" s="341">
        <v>2045.958</v>
      </c>
      <c r="AB145" s="341">
        <v>2045.958</v>
      </c>
      <c r="AC145" s="341">
        <v>2045.958</v>
      </c>
      <c r="AD145" s="341">
        <v>2045.958</v>
      </c>
      <c r="AE145" s="335" t="s">
        <v>238</v>
      </c>
      <c r="AF145" s="336">
        <f t="shared" si="3"/>
        <v>0.002550222159</v>
      </c>
      <c r="AG145" s="336"/>
      <c r="AH145" s="336"/>
      <c r="AI145" s="348"/>
      <c r="AJ145" s="312"/>
      <c r="AK145" s="312"/>
      <c r="AL145" s="353">
        <v>45593.0</v>
      </c>
      <c r="AM145" s="343">
        <v>22.123</v>
      </c>
      <c r="AN145" s="343">
        <v>22.123</v>
      </c>
      <c r="AO145" s="343">
        <v>22.123</v>
      </c>
      <c r="AP145" s="343">
        <v>22.123</v>
      </c>
      <c r="AQ145" s="335" t="s">
        <v>238</v>
      </c>
      <c r="AR145" s="336">
        <f t="shared" si="4"/>
        <v>0.0002712477413</v>
      </c>
      <c r="AS145" s="336"/>
      <c r="AT145" s="336"/>
      <c r="AU145" s="348"/>
      <c r="AV145" s="312"/>
      <c r="AW145" s="312"/>
      <c r="AX145" s="312"/>
      <c r="AY145" s="312"/>
      <c r="AZ145" s="312"/>
      <c r="BA145" s="312"/>
      <c r="BB145" s="312"/>
      <c r="BC145" s="312"/>
      <c r="BD145" s="316"/>
      <c r="BE145" s="316"/>
      <c r="BF145" s="316"/>
      <c r="BG145" s="316"/>
      <c r="BH145" s="316"/>
      <c r="BI145" s="316"/>
      <c r="BJ145" s="316"/>
      <c r="BK145" s="316"/>
      <c r="BL145" s="316"/>
      <c r="BM145" s="316"/>
      <c r="BN145" s="316"/>
      <c r="BO145" s="316"/>
      <c r="BP145" s="316"/>
      <c r="BQ145" s="316"/>
      <c r="BR145" s="316"/>
      <c r="BS145" s="316"/>
      <c r="BT145" s="316"/>
      <c r="BU145" s="316"/>
      <c r="BV145" s="316"/>
      <c r="BW145" s="316"/>
      <c r="BX145" s="316"/>
      <c r="BY145" s="316"/>
      <c r="BZ145" s="316"/>
      <c r="CA145" s="316"/>
      <c r="CB145" s="316"/>
      <c r="CC145" s="316"/>
      <c r="CD145" s="316"/>
    </row>
    <row r="146" ht="15.75" customHeight="1">
      <c r="A146" s="308"/>
      <c r="B146" s="362">
        <v>45594.0</v>
      </c>
      <c r="C146" s="335">
        <v>86.86</v>
      </c>
      <c r="D146" s="335">
        <v>86.86</v>
      </c>
      <c r="E146" s="335">
        <v>86.86</v>
      </c>
      <c r="F146" s="335">
        <v>86.86</v>
      </c>
      <c r="G146" s="335" t="s">
        <v>238</v>
      </c>
      <c r="H146" s="336">
        <f t="shared" si="1"/>
        <v>0.006294231838</v>
      </c>
      <c r="I146" s="336"/>
      <c r="J146" s="336"/>
      <c r="K146" s="348"/>
      <c r="L146" s="312"/>
      <c r="M146" s="312"/>
      <c r="N146" s="363">
        <v>45594.0</v>
      </c>
      <c r="O146" s="341">
        <v>32.038</v>
      </c>
      <c r="P146" s="341">
        <v>32.038</v>
      </c>
      <c r="Q146" s="341">
        <v>32.038</v>
      </c>
      <c r="R146" s="341">
        <v>32.038</v>
      </c>
      <c r="S146" s="335" t="s">
        <v>238</v>
      </c>
      <c r="T146" s="336">
        <f t="shared" si="2"/>
        <v>0.007865297108</v>
      </c>
      <c r="U146" s="336"/>
      <c r="V146" s="336"/>
      <c r="W146" s="348"/>
      <c r="X146" s="312"/>
      <c r="Y146" s="312"/>
      <c r="Z146" s="363">
        <v>45594.0</v>
      </c>
      <c r="AA146" s="341">
        <v>2057.83</v>
      </c>
      <c r="AB146" s="341">
        <v>2057.83</v>
      </c>
      <c r="AC146" s="341">
        <v>2057.83</v>
      </c>
      <c r="AD146" s="341">
        <v>2057.83</v>
      </c>
      <c r="AE146" s="335" t="s">
        <v>238</v>
      </c>
      <c r="AF146" s="336">
        <f t="shared" si="3"/>
        <v>0.00578589007</v>
      </c>
      <c r="AG146" s="336"/>
      <c r="AH146" s="336"/>
      <c r="AI146" s="348"/>
      <c r="AJ146" s="312"/>
      <c r="AK146" s="312"/>
      <c r="AL146" s="353">
        <v>45594.0</v>
      </c>
      <c r="AM146" s="343">
        <v>22.143</v>
      </c>
      <c r="AN146" s="343">
        <v>22.143</v>
      </c>
      <c r="AO146" s="343">
        <v>22.143</v>
      </c>
      <c r="AP146" s="343">
        <v>22.143</v>
      </c>
      <c r="AQ146" s="335" t="s">
        <v>238</v>
      </c>
      <c r="AR146" s="336">
        <f t="shared" si="4"/>
        <v>0.0009036281282</v>
      </c>
      <c r="AS146" s="336"/>
      <c r="AT146" s="336"/>
      <c r="AU146" s="348"/>
      <c r="AV146" s="312"/>
      <c r="AW146" s="312"/>
      <c r="AX146" s="312"/>
      <c r="AY146" s="312"/>
      <c r="AZ146" s="312"/>
      <c r="BA146" s="312"/>
      <c r="BB146" s="312"/>
      <c r="BC146" s="312"/>
      <c r="BD146" s="316"/>
      <c r="BE146" s="316"/>
      <c r="BF146" s="316"/>
      <c r="BG146" s="316"/>
      <c r="BH146" s="316"/>
      <c r="BI146" s="316"/>
      <c r="BJ146" s="316"/>
      <c r="BK146" s="316"/>
      <c r="BL146" s="316"/>
      <c r="BM146" s="316"/>
      <c r="BN146" s="316"/>
      <c r="BO146" s="316"/>
      <c r="BP146" s="316"/>
      <c r="BQ146" s="316"/>
      <c r="BR146" s="316"/>
      <c r="BS146" s="316"/>
      <c r="BT146" s="316"/>
      <c r="BU146" s="316"/>
      <c r="BV146" s="316"/>
      <c r="BW146" s="316"/>
      <c r="BX146" s="316"/>
      <c r="BY146" s="316"/>
      <c r="BZ146" s="316"/>
      <c r="CA146" s="316"/>
      <c r="CB146" s="316"/>
      <c r="CC146" s="316"/>
      <c r="CD146" s="316"/>
    </row>
    <row r="147" ht="15.75" customHeight="1">
      <c r="A147" s="308"/>
      <c r="B147" s="362">
        <v>45595.0</v>
      </c>
      <c r="C147" s="335">
        <v>86.526</v>
      </c>
      <c r="D147" s="335">
        <v>86.526</v>
      </c>
      <c r="E147" s="335">
        <v>86.526</v>
      </c>
      <c r="F147" s="335">
        <v>86.526</v>
      </c>
      <c r="G147" s="335" t="s">
        <v>238</v>
      </c>
      <c r="H147" s="336">
        <f t="shared" si="1"/>
        <v>-0.003852680299</v>
      </c>
      <c r="I147" s="336"/>
      <c r="J147" s="336"/>
      <c r="K147" s="348"/>
      <c r="L147" s="312"/>
      <c r="M147" s="312"/>
      <c r="N147" s="363">
        <v>45595.0</v>
      </c>
      <c r="O147" s="341">
        <v>32.386</v>
      </c>
      <c r="P147" s="341">
        <v>32.386</v>
      </c>
      <c r="Q147" s="341">
        <v>32.386</v>
      </c>
      <c r="R147" s="341">
        <v>32.386</v>
      </c>
      <c r="S147" s="335" t="s">
        <v>238</v>
      </c>
      <c r="T147" s="336">
        <f t="shared" si="2"/>
        <v>0.01080353237</v>
      </c>
      <c r="U147" s="336"/>
      <c r="V147" s="336"/>
      <c r="W147" s="348"/>
      <c r="X147" s="312"/>
      <c r="Y147" s="312"/>
      <c r="Z147" s="363">
        <v>45595.0</v>
      </c>
      <c r="AA147" s="341">
        <v>2042.531</v>
      </c>
      <c r="AB147" s="341">
        <v>2042.531</v>
      </c>
      <c r="AC147" s="341">
        <v>2042.531</v>
      </c>
      <c r="AD147" s="341">
        <v>2042.531</v>
      </c>
      <c r="AE147" s="335" t="s">
        <v>238</v>
      </c>
      <c r="AF147" s="336">
        <f t="shared" si="3"/>
        <v>-0.007462304414</v>
      </c>
      <c r="AG147" s="336"/>
      <c r="AH147" s="336"/>
      <c r="AI147" s="348"/>
      <c r="AJ147" s="312"/>
      <c r="AK147" s="312"/>
      <c r="AL147" s="353">
        <v>45595.0</v>
      </c>
      <c r="AM147" s="343">
        <v>22.156</v>
      </c>
      <c r="AN147" s="343">
        <v>22.156</v>
      </c>
      <c r="AO147" s="343">
        <v>22.156</v>
      </c>
      <c r="AP147" s="343">
        <v>22.156</v>
      </c>
      <c r="AQ147" s="335" t="s">
        <v>238</v>
      </c>
      <c r="AR147" s="336">
        <f t="shared" si="4"/>
        <v>0.0005869207148</v>
      </c>
      <c r="AS147" s="336"/>
      <c r="AT147" s="336"/>
      <c r="AU147" s="348"/>
      <c r="AV147" s="312"/>
      <c r="AW147" s="312"/>
      <c r="AX147" s="312"/>
      <c r="AY147" s="312"/>
      <c r="AZ147" s="312"/>
      <c r="BA147" s="312"/>
      <c r="BB147" s="312"/>
      <c r="BC147" s="312"/>
      <c r="BD147" s="316"/>
      <c r="BE147" s="316"/>
      <c r="BF147" s="316"/>
      <c r="BG147" s="316"/>
      <c r="BH147" s="316"/>
      <c r="BI147" s="316"/>
      <c r="BJ147" s="316"/>
      <c r="BK147" s="316"/>
      <c r="BL147" s="316"/>
      <c r="BM147" s="316"/>
      <c r="BN147" s="316"/>
      <c r="BO147" s="316"/>
      <c r="BP147" s="316"/>
      <c r="BQ147" s="316"/>
      <c r="BR147" s="316"/>
      <c r="BS147" s="316"/>
      <c r="BT147" s="316"/>
      <c r="BU147" s="316"/>
      <c r="BV147" s="316"/>
      <c r="BW147" s="316"/>
      <c r="BX147" s="316"/>
      <c r="BY147" s="316"/>
      <c r="BZ147" s="316"/>
      <c r="CA147" s="316"/>
      <c r="CB147" s="316"/>
      <c r="CC147" s="316"/>
      <c r="CD147" s="316"/>
    </row>
    <row r="148" ht="15.75" customHeight="1">
      <c r="A148" s="308"/>
      <c r="B148" s="362">
        <v>45596.0</v>
      </c>
      <c r="C148" s="335">
        <v>85.981</v>
      </c>
      <c r="D148" s="335">
        <v>85.981</v>
      </c>
      <c r="E148" s="335">
        <v>85.981</v>
      </c>
      <c r="F148" s="335">
        <v>85.981</v>
      </c>
      <c r="G148" s="335" t="s">
        <v>238</v>
      </c>
      <c r="H148" s="336">
        <f t="shared" si="1"/>
        <v>-0.006318605196</v>
      </c>
      <c r="I148" s="336"/>
      <c r="J148" s="336"/>
      <c r="K148" s="348"/>
      <c r="L148" s="312"/>
      <c r="M148" s="312"/>
      <c r="N148" s="363">
        <v>45596.0</v>
      </c>
      <c r="O148" s="341">
        <v>32.337</v>
      </c>
      <c r="P148" s="341">
        <v>32.337</v>
      </c>
      <c r="Q148" s="341">
        <v>32.337</v>
      </c>
      <c r="R148" s="341">
        <v>32.337</v>
      </c>
      <c r="S148" s="335" t="s">
        <v>238</v>
      </c>
      <c r="T148" s="336">
        <f t="shared" si="2"/>
        <v>-0.001514145184</v>
      </c>
      <c r="U148" s="336"/>
      <c r="V148" s="336"/>
      <c r="W148" s="348"/>
      <c r="X148" s="312"/>
      <c r="Y148" s="312"/>
      <c r="Z148" s="363">
        <v>45596.0</v>
      </c>
      <c r="AA148" s="341">
        <v>2043.147</v>
      </c>
      <c r="AB148" s="341">
        <v>2043.147</v>
      </c>
      <c r="AC148" s="341">
        <v>2043.147</v>
      </c>
      <c r="AD148" s="341">
        <v>2043.147</v>
      </c>
      <c r="AE148" s="335" t="s">
        <v>238</v>
      </c>
      <c r="AF148" s="336">
        <f t="shared" si="3"/>
        <v>0.0003015411418</v>
      </c>
      <c r="AG148" s="336"/>
      <c r="AH148" s="336"/>
      <c r="AI148" s="348"/>
      <c r="AJ148" s="312"/>
      <c r="AK148" s="312"/>
      <c r="AL148" s="353">
        <v>45596.0</v>
      </c>
      <c r="AM148" s="343">
        <v>22.166</v>
      </c>
      <c r="AN148" s="343">
        <v>22.166</v>
      </c>
      <c r="AO148" s="343">
        <v>22.166</v>
      </c>
      <c r="AP148" s="343">
        <v>22.166</v>
      </c>
      <c r="AQ148" s="335" t="s">
        <v>238</v>
      </c>
      <c r="AR148" s="336">
        <f t="shared" si="4"/>
        <v>0.0004512431826</v>
      </c>
      <c r="AS148" s="336"/>
      <c r="AT148" s="336"/>
      <c r="AU148" s="348"/>
      <c r="AV148" s="312"/>
      <c r="AW148" s="312"/>
      <c r="AX148" s="312"/>
      <c r="AY148" s="312"/>
      <c r="AZ148" s="312"/>
      <c r="BA148" s="312"/>
      <c r="BB148" s="312"/>
      <c r="BC148" s="312"/>
      <c r="BD148" s="316"/>
      <c r="BE148" s="316"/>
      <c r="BF148" s="316"/>
      <c r="BG148" s="316"/>
      <c r="BH148" s="316"/>
      <c r="BI148" s="316"/>
      <c r="BJ148" s="316"/>
      <c r="BK148" s="316"/>
      <c r="BL148" s="316"/>
      <c r="BM148" s="316"/>
      <c r="BN148" s="316"/>
      <c r="BO148" s="316"/>
      <c r="BP148" s="316"/>
      <c r="BQ148" s="316"/>
      <c r="BR148" s="316"/>
      <c r="BS148" s="316"/>
      <c r="BT148" s="316"/>
      <c r="BU148" s="316"/>
      <c r="BV148" s="316"/>
      <c r="BW148" s="316"/>
      <c r="BX148" s="316"/>
      <c r="BY148" s="316"/>
      <c r="BZ148" s="316"/>
      <c r="CA148" s="316"/>
      <c r="CB148" s="316"/>
      <c r="CC148" s="316"/>
      <c r="CD148" s="316"/>
    </row>
    <row r="149" ht="15.75" customHeight="1">
      <c r="A149" s="308"/>
      <c r="B149" s="362">
        <v>45600.0</v>
      </c>
      <c r="C149" s="335">
        <v>85.765</v>
      </c>
      <c r="D149" s="335">
        <v>85.765</v>
      </c>
      <c r="E149" s="335">
        <v>85.765</v>
      </c>
      <c r="F149" s="335">
        <v>85.765</v>
      </c>
      <c r="G149" s="335" t="s">
        <v>238</v>
      </c>
      <c r="H149" s="336">
        <f t="shared" si="1"/>
        <v>-0.00251534375</v>
      </c>
      <c r="I149" s="336"/>
      <c r="J149" s="336"/>
      <c r="K149" s="348"/>
      <c r="L149" s="312"/>
      <c r="M149" s="312"/>
      <c r="N149" s="363">
        <v>45600.0</v>
      </c>
      <c r="O149" s="341">
        <v>31.902</v>
      </c>
      <c r="P149" s="341">
        <v>31.902</v>
      </c>
      <c r="Q149" s="341">
        <v>31.902</v>
      </c>
      <c r="R149" s="341">
        <v>31.902</v>
      </c>
      <c r="S149" s="335" t="s">
        <v>238</v>
      </c>
      <c r="T149" s="336">
        <f t="shared" si="2"/>
        <v>-0.01354338172</v>
      </c>
      <c r="U149" s="336"/>
      <c r="V149" s="336"/>
      <c r="W149" s="348"/>
      <c r="X149" s="312"/>
      <c r="Y149" s="312"/>
      <c r="Z149" s="363">
        <v>45600.0</v>
      </c>
      <c r="AA149" s="341">
        <v>2034.475</v>
      </c>
      <c r="AB149" s="341">
        <v>2034.475</v>
      </c>
      <c r="AC149" s="341">
        <v>2034.475</v>
      </c>
      <c r="AD149" s="341">
        <v>2034.475</v>
      </c>
      <c r="AE149" s="335" t="s">
        <v>238</v>
      </c>
      <c r="AF149" s="336">
        <f t="shared" si="3"/>
        <v>-0.004253465905</v>
      </c>
      <c r="AG149" s="336"/>
      <c r="AH149" s="336"/>
      <c r="AI149" s="348"/>
      <c r="AJ149" s="312"/>
      <c r="AK149" s="312"/>
      <c r="AL149" s="342">
        <v>45600.0</v>
      </c>
      <c r="AM149" s="343">
        <v>22.179</v>
      </c>
      <c r="AN149" s="343">
        <v>22.179</v>
      </c>
      <c r="AO149" s="343">
        <v>22.179</v>
      </c>
      <c r="AP149" s="343">
        <v>22.179</v>
      </c>
      <c r="AQ149" s="335" t="s">
        <v>238</v>
      </c>
      <c r="AR149" s="336">
        <f t="shared" si="4"/>
        <v>0.0005863118896</v>
      </c>
      <c r="AS149" s="336"/>
      <c r="AT149" s="336"/>
      <c r="AU149" s="348"/>
      <c r="AV149" s="312"/>
      <c r="AW149" s="312"/>
      <c r="AX149" s="312"/>
      <c r="AY149" s="312"/>
      <c r="AZ149" s="312"/>
      <c r="BA149" s="312"/>
      <c r="BB149" s="312"/>
      <c r="BC149" s="312"/>
      <c r="BD149" s="316"/>
      <c r="BE149" s="316"/>
      <c r="BF149" s="316"/>
      <c r="BG149" s="316"/>
      <c r="BH149" s="316"/>
      <c r="BI149" s="316"/>
      <c r="BJ149" s="316"/>
      <c r="BK149" s="316"/>
      <c r="BL149" s="316"/>
      <c r="BM149" s="316"/>
      <c r="BN149" s="316"/>
      <c r="BO149" s="316"/>
      <c r="BP149" s="316"/>
      <c r="BQ149" s="316"/>
      <c r="BR149" s="316"/>
      <c r="BS149" s="316"/>
      <c r="BT149" s="316"/>
      <c r="BU149" s="316"/>
      <c r="BV149" s="316"/>
      <c r="BW149" s="316"/>
      <c r="BX149" s="316"/>
      <c r="BY149" s="316"/>
      <c r="BZ149" s="316"/>
      <c r="CA149" s="316"/>
      <c r="CB149" s="316"/>
      <c r="CC149" s="316"/>
      <c r="CD149" s="316"/>
    </row>
    <row r="150" ht="15.75" customHeight="1">
      <c r="A150" s="308"/>
      <c r="B150" s="362">
        <v>45601.0</v>
      </c>
      <c r="C150" s="335">
        <v>86.378</v>
      </c>
      <c r="D150" s="335">
        <v>86.378</v>
      </c>
      <c r="E150" s="335">
        <v>86.378</v>
      </c>
      <c r="F150" s="335">
        <v>86.378</v>
      </c>
      <c r="G150" s="335" t="s">
        <v>238</v>
      </c>
      <c r="H150" s="336">
        <f t="shared" si="1"/>
        <v>0.007122015895</v>
      </c>
      <c r="I150" s="336"/>
      <c r="J150" s="336"/>
      <c r="K150" s="348"/>
      <c r="L150" s="312"/>
      <c r="M150" s="312"/>
      <c r="N150" s="363">
        <v>45601.0</v>
      </c>
      <c r="O150" s="341">
        <v>31.864</v>
      </c>
      <c r="P150" s="341">
        <v>31.864</v>
      </c>
      <c r="Q150" s="341">
        <v>31.864</v>
      </c>
      <c r="R150" s="341">
        <v>31.864</v>
      </c>
      <c r="S150" s="335" t="s">
        <v>238</v>
      </c>
      <c r="T150" s="336">
        <f t="shared" si="2"/>
        <v>-0.001191857871</v>
      </c>
      <c r="U150" s="336"/>
      <c r="V150" s="336"/>
      <c r="W150" s="348"/>
      <c r="X150" s="312"/>
      <c r="Y150" s="312"/>
      <c r="Z150" s="363">
        <v>45601.0</v>
      </c>
      <c r="AA150" s="341">
        <v>2054.691</v>
      </c>
      <c r="AB150" s="341">
        <v>2054.691</v>
      </c>
      <c r="AC150" s="341">
        <v>2054.691</v>
      </c>
      <c r="AD150" s="341">
        <v>2054.691</v>
      </c>
      <c r="AE150" s="335" t="s">
        <v>238</v>
      </c>
      <c r="AF150" s="336">
        <f t="shared" si="3"/>
        <v>0.009887671326</v>
      </c>
      <c r="AG150" s="336"/>
      <c r="AH150" s="336"/>
      <c r="AI150" s="348"/>
      <c r="AJ150" s="312"/>
      <c r="AK150" s="312"/>
      <c r="AL150" s="342">
        <v>45601.0</v>
      </c>
      <c r="AM150" s="343">
        <v>22.175</v>
      </c>
      <c r="AN150" s="343">
        <v>22.175</v>
      </c>
      <c r="AO150" s="343">
        <v>22.175</v>
      </c>
      <c r="AP150" s="343">
        <v>22.175</v>
      </c>
      <c r="AQ150" s="335" t="s">
        <v>238</v>
      </c>
      <c r="AR150" s="336">
        <f t="shared" si="4"/>
        <v>-0.0001803670474</v>
      </c>
      <c r="AS150" s="336"/>
      <c r="AT150" s="336"/>
      <c r="AU150" s="348"/>
      <c r="AV150" s="312"/>
      <c r="AW150" s="312"/>
      <c r="AX150" s="312"/>
      <c r="AY150" s="312"/>
      <c r="AZ150" s="312"/>
      <c r="BA150" s="312"/>
      <c r="BB150" s="312"/>
      <c r="BC150" s="312"/>
      <c r="BD150" s="316"/>
      <c r="BE150" s="316"/>
      <c r="BF150" s="316"/>
      <c r="BG150" s="316"/>
      <c r="BH150" s="316"/>
      <c r="BI150" s="316"/>
      <c r="BJ150" s="316"/>
      <c r="BK150" s="316"/>
      <c r="BL150" s="316"/>
      <c r="BM150" s="316"/>
      <c r="BN150" s="316"/>
      <c r="BO150" s="316"/>
      <c r="BP150" s="316"/>
      <c r="BQ150" s="316"/>
      <c r="BR150" s="316"/>
      <c r="BS150" s="316"/>
      <c r="BT150" s="316"/>
      <c r="BU150" s="316"/>
      <c r="BV150" s="316"/>
      <c r="BW150" s="316"/>
      <c r="BX150" s="316"/>
      <c r="BY150" s="316"/>
      <c r="BZ150" s="316"/>
      <c r="CA150" s="316"/>
      <c r="CB150" s="316"/>
      <c r="CC150" s="316"/>
      <c r="CD150" s="316"/>
    </row>
    <row r="151" ht="15.75" customHeight="1">
      <c r="A151" s="308"/>
      <c r="B151" s="362">
        <v>45602.0</v>
      </c>
      <c r="C151" s="335">
        <v>87.085</v>
      </c>
      <c r="D151" s="335">
        <v>87.085</v>
      </c>
      <c r="E151" s="335">
        <v>87.085</v>
      </c>
      <c r="F151" s="335">
        <v>87.085</v>
      </c>
      <c r="G151" s="335" t="s">
        <v>238</v>
      </c>
      <c r="H151" s="336">
        <f t="shared" si="1"/>
        <v>0.008151639427</v>
      </c>
      <c r="I151" s="336"/>
      <c r="J151" s="336"/>
      <c r="K151" s="348"/>
      <c r="L151" s="312"/>
      <c r="M151" s="312"/>
      <c r="N151" s="363">
        <v>45602.0</v>
      </c>
      <c r="O151" s="341">
        <v>31.695</v>
      </c>
      <c r="P151" s="341">
        <v>31.695</v>
      </c>
      <c r="Q151" s="341">
        <v>31.695</v>
      </c>
      <c r="R151" s="341">
        <v>31.695</v>
      </c>
      <c r="S151" s="335" t="s">
        <v>238</v>
      </c>
      <c r="T151" s="336">
        <f t="shared" si="2"/>
        <v>-0.005317906143</v>
      </c>
      <c r="U151" s="336"/>
      <c r="V151" s="336"/>
      <c r="W151" s="348"/>
      <c r="X151" s="312"/>
      <c r="Y151" s="312"/>
      <c r="Z151" s="363">
        <v>45602.0</v>
      </c>
      <c r="AA151" s="341">
        <v>2073.631</v>
      </c>
      <c r="AB151" s="341">
        <v>2073.631</v>
      </c>
      <c r="AC151" s="341">
        <v>2073.631</v>
      </c>
      <c r="AD151" s="341">
        <v>2073.631</v>
      </c>
      <c r="AE151" s="335" t="s">
        <v>238</v>
      </c>
      <c r="AF151" s="336">
        <f t="shared" si="3"/>
        <v>0.009175705231</v>
      </c>
      <c r="AG151" s="336"/>
      <c r="AH151" s="336"/>
      <c r="AI151" s="348"/>
      <c r="AJ151" s="312"/>
      <c r="AK151" s="312"/>
      <c r="AL151" s="342">
        <v>45602.0</v>
      </c>
      <c r="AM151" s="343">
        <v>22.181</v>
      </c>
      <c r="AN151" s="343">
        <v>22.181</v>
      </c>
      <c r="AO151" s="343">
        <v>22.181</v>
      </c>
      <c r="AP151" s="343">
        <v>22.181</v>
      </c>
      <c r="AQ151" s="335" t="s">
        <v>238</v>
      </c>
      <c r="AR151" s="336">
        <f t="shared" si="4"/>
        <v>0.000270538373</v>
      </c>
      <c r="AS151" s="336"/>
      <c r="AT151" s="336"/>
      <c r="AU151" s="348"/>
      <c r="AV151" s="312"/>
      <c r="AW151" s="312"/>
      <c r="AX151" s="312"/>
      <c r="AY151" s="312"/>
      <c r="AZ151" s="312"/>
      <c r="BA151" s="312"/>
      <c r="BB151" s="312"/>
      <c r="BC151" s="312"/>
      <c r="BD151" s="316"/>
      <c r="BE151" s="316"/>
      <c r="BF151" s="316"/>
      <c r="BG151" s="316"/>
      <c r="BH151" s="316"/>
      <c r="BI151" s="316"/>
      <c r="BJ151" s="316"/>
      <c r="BK151" s="316"/>
      <c r="BL151" s="316"/>
      <c r="BM151" s="316"/>
      <c r="BN151" s="316"/>
      <c r="BO151" s="316"/>
      <c r="BP151" s="316"/>
      <c r="BQ151" s="316"/>
      <c r="BR151" s="316"/>
      <c r="BS151" s="316"/>
      <c r="BT151" s="316"/>
      <c r="BU151" s="316"/>
      <c r="BV151" s="316"/>
      <c r="BW151" s="316"/>
      <c r="BX151" s="316"/>
      <c r="BY151" s="316"/>
      <c r="BZ151" s="316"/>
      <c r="CA151" s="316"/>
      <c r="CB151" s="316"/>
      <c r="CC151" s="316"/>
      <c r="CD151" s="316"/>
    </row>
    <row r="152" ht="15.75" customHeight="1">
      <c r="A152" s="308"/>
      <c r="B152" s="362">
        <v>45603.0</v>
      </c>
      <c r="C152" s="335">
        <v>86.87</v>
      </c>
      <c r="D152" s="335">
        <v>86.87</v>
      </c>
      <c r="E152" s="335">
        <v>86.87</v>
      </c>
      <c r="F152" s="335">
        <v>86.87</v>
      </c>
      <c r="G152" s="335" t="s">
        <v>238</v>
      </c>
      <c r="H152" s="336">
        <f t="shared" si="1"/>
        <v>-0.002471904912</v>
      </c>
      <c r="I152" s="336"/>
      <c r="J152" s="336"/>
      <c r="K152" s="348"/>
      <c r="L152" s="312"/>
      <c r="M152" s="312"/>
      <c r="N152" s="363">
        <v>45603.0</v>
      </c>
      <c r="O152" s="341">
        <v>31.086</v>
      </c>
      <c r="P152" s="341">
        <v>31.086</v>
      </c>
      <c r="Q152" s="341">
        <v>31.086</v>
      </c>
      <c r="R152" s="341">
        <v>31.086</v>
      </c>
      <c r="S152" s="335" t="s">
        <v>238</v>
      </c>
      <c r="T152" s="336">
        <f t="shared" si="2"/>
        <v>-0.01940138268</v>
      </c>
      <c r="U152" s="336"/>
      <c r="V152" s="336"/>
      <c r="W152" s="348"/>
      <c r="X152" s="312"/>
      <c r="Y152" s="312"/>
      <c r="Z152" s="363">
        <v>45603.0</v>
      </c>
      <c r="AA152" s="341">
        <v>2059.245</v>
      </c>
      <c r="AB152" s="341">
        <v>2059.245</v>
      </c>
      <c r="AC152" s="341">
        <v>2059.245</v>
      </c>
      <c r="AD152" s="341">
        <v>2059.245</v>
      </c>
      <c r="AE152" s="335" t="s">
        <v>238</v>
      </c>
      <c r="AF152" s="336">
        <f t="shared" si="3"/>
        <v>-0.006961766142</v>
      </c>
      <c r="AG152" s="336"/>
      <c r="AH152" s="336"/>
      <c r="AI152" s="348"/>
      <c r="AJ152" s="312"/>
      <c r="AK152" s="312"/>
      <c r="AL152" s="342">
        <v>45603.0</v>
      </c>
      <c r="AM152" s="343">
        <v>22.187</v>
      </c>
      <c r="AN152" s="343">
        <v>22.187</v>
      </c>
      <c r="AO152" s="343">
        <v>22.187</v>
      </c>
      <c r="AP152" s="343">
        <v>22.187</v>
      </c>
      <c r="AQ152" s="335" t="s">
        <v>238</v>
      </c>
      <c r="AR152" s="336">
        <f t="shared" si="4"/>
        <v>0.0002704652018</v>
      </c>
      <c r="AS152" s="336"/>
      <c r="AT152" s="336"/>
      <c r="AU152" s="348"/>
      <c r="AV152" s="312"/>
      <c r="AW152" s="312"/>
      <c r="AX152" s="312"/>
      <c r="AY152" s="312"/>
      <c r="AZ152" s="312"/>
      <c r="BA152" s="312"/>
      <c r="BB152" s="312"/>
      <c r="BC152" s="312"/>
      <c r="BD152" s="316"/>
      <c r="BE152" s="316"/>
      <c r="BF152" s="316"/>
      <c r="BG152" s="316"/>
      <c r="BH152" s="316"/>
      <c r="BI152" s="316"/>
      <c r="BJ152" s="316"/>
      <c r="BK152" s="316"/>
      <c r="BL152" s="316"/>
      <c r="BM152" s="316"/>
      <c r="BN152" s="316"/>
      <c r="BO152" s="316"/>
      <c r="BP152" s="316"/>
      <c r="BQ152" s="316"/>
      <c r="BR152" s="316"/>
      <c r="BS152" s="316"/>
      <c r="BT152" s="316"/>
      <c r="BU152" s="316"/>
      <c r="BV152" s="316"/>
      <c r="BW152" s="316"/>
      <c r="BX152" s="316"/>
      <c r="BY152" s="316"/>
      <c r="BZ152" s="316"/>
      <c r="CA152" s="316"/>
      <c r="CB152" s="316"/>
      <c r="CC152" s="316"/>
      <c r="CD152" s="316"/>
    </row>
    <row r="153" ht="15.75" customHeight="1">
      <c r="A153" s="308"/>
      <c r="B153" s="334">
        <v>45604.0</v>
      </c>
      <c r="C153" s="335">
        <v>86.785</v>
      </c>
      <c r="D153" s="335">
        <v>86.785</v>
      </c>
      <c r="E153" s="335">
        <v>86.785</v>
      </c>
      <c r="F153" s="335">
        <v>86.785</v>
      </c>
      <c r="G153" s="335" t="s">
        <v>238</v>
      </c>
      <c r="H153" s="336">
        <f t="shared" si="1"/>
        <v>-0.000978952599</v>
      </c>
      <c r="I153" s="336"/>
      <c r="J153" s="336"/>
      <c r="K153" s="348"/>
      <c r="L153" s="312"/>
      <c r="M153" s="312"/>
      <c r="N153" s="363">
        <v>45604.0</v>
      </c>
      <c r="O153" s="341">
        <v>31.409</v>
      </c>
      <c r="P153" s="341">
        <v>31.409</v>
      </c>
      <c r="Q153" s="341">
        <v>31.409</v>
      </c>
      <c r="R153" s="341">
        <v>31.409</v>
      </c>
      <c r="S153" s="335" t="s">
        <v>238</v>
      </c>
      <c r="T153" s="336">
        <f t="shared" si="2"/>
        <v>0.01033691899</v>
      </c>
      <c r="U153" s="336"/>
      <c r="V153" s="336"/>
      <c r="W153" s="348"/>
      <c r="X153" s="312"/>
      <c r="Y153" s="312"/>
      <c r="Z153" s="340">
        <v>45604.0</v>
      </c>
      <c r="AA153" s="341">
        <v>2050.727</v>
      </c>
      <c r="AB153" s="341">
        <v>2050.727</v>
      </c>
      <c r="AC153" s="341">
        <v>2050.727</v>
      </c>
      <c r="AD153" s="341">
        <v>2050.727</v>
      </c>
      <c r="AE153" s="335" t="s">
        <v>238</v>
      </c>
      <c r="AF153" s="336">
        <f t="shared" si="3"/>
        <v>-0.004145046339</v>
      </c>
      <c r="AG153" s="336"/>
      <c r="AH153" s="336"/>
      <c r="AI153" s="348"/>
      <c r="AJ153" s="312"/>
      <c r="AK153" s="312"/>
      <c r="AL153" s="342">
        <v>45604.0</v>
      </c>
      <c r="AM153" s="343">
        <v>22.191</v>
      </c>
      <c r="AN153" s="343">
        <v>22.191</v>
      </c>
      <c r="AO153" s="343">
        <v>22.191</v>
      </c>
      <c r="AP153" s="343">
        <v>22.191</v>
      </c>
      <c r="AQ153" s="335" t="s">
        <v>238</v>
      </c>
      <c r="AR153" s="336">
        <f t="shared" si="4"/>
        <v>0.0001802695034</v>
      </c>
      <c r="AS153" s="336"/>
      <c r="AT153" s="336"/>
      <c r="AU153" s="348"/>
      <c r="AV153" s="312"/>
      <c r="AW153" s="312"/>
      <c r="AX153" s="312"/>
      <c r="AY153" s="312"/>
      <c r="AZ153" s="312"/>
      <c r="BA153" s="312"/>
      <c r="BB153" s="312"/>
      <c r="BC153" s="312"/>
      <c r="BD153" s="316"/>
      <c r="BE153" s="316"/>
      <c r="BF153" s="316"/>
      <c r="BG153" s="316"/>
      <c r="BH153" s="316"/>
      <c r="BI153" s="316"/>
      <c r="BJ153" s="316"/>
      <c r="BK153" s="316"/>
      <c r="BL153" s="316"/>
      <c r="BM153" s="316"/>
      <c r="BN153" s="316"/>
      <c r="BO153" s="316"/>
      <c r="BP153" s="316"/>
      <c r="BQ153" s="316"/>
      <c r="BR153" s="316"/>
      <c r="BS153" s="316"/>
      <c r="BT153" s="316"/>
      <c r="BU153" s="316"/>
      <c r="BV153" s="316"/>
      <c r="BW153" s="316"/>
      <c r="BX153" s="316"/>
      <c r="BY153" s="316"/>
      <c r="BZ153" s="316"/>
      <c r="CA153" s="316"/>
      <c r="CB153" s="316"/>
      <c r="CC153" s="316"/>
      <c r="CD153" s="316"/>
    </row>
    <row r="154" ht="15.75" customHeight="1">
      <c r="A154" s="308"/>
      <c r="B154" s="334">
        <v>45607.0</v>
      </c>
      <c r="C154" s="335">
        <v>87.264</v>
      </c>
      <c r="D154" s="335">
        <v>87.264</v>
      </c>
      <c r="E154" s="335">
        <v>87.264</v>
      </c>
      <c r="F154" s="335">
        <v>87.264</v>
      </c>
      <c r="G154" s="335" t="s">
        <v>238</v>
      </c>
      <c r="H154" s="336">
        <f t="shared" si="1"/>
        <v>0.00550421099</v>
      </c>
      <c r="I154" s="336"/>
      <c r="J154" s="336"/>
      <c r="K154" s="348"/>
      <c r="L154" s="312"/>
      <c r="M154" s="312"/>
      <c r="N154" s="363">
        <v>45607.0</v>
      </c>
      <c r="O154" s="341">
        <v>31.163</v>
      </c>
      <c r="P154" s="341">
        <v>31.163</v>
      </c>
      <c r="Q154" s="341">
        <v>31.163</v>
      </c>
      <c r="R154" s="341">
        <v>31.163</v>
      </c>
      <c r="S154" s="335" t="s">
        <v>238</v>
      </c>
      <c r="T154" s="336">
        <f t="shared" si="2"/>
        <v>-0.007862982402</v>
      </c>
      <c r="U154" s="336"/>
      <c r="V154" s="336"/>
      <c r="W154" s="348"/>
      <c r="X154" s="312"/>
      <c r="Y154" s="312"/>
      <c r="Z154" s="340">
        <v>45607.0</v>
      </c>
      <c r="AA154" s="341">
        <v>2051.507</v>
      </c>
      <c r="AB154" s="341">
        <v>2051.507</v>
      </c>
      <c r="AC154" s="341">
        <v>2051.507</v>
      </c>
      <c r="AD154" s="341">
        <v>2051.507</v>
      </c>
      <c r="AE154" s="335" t="s">
        <v>238</v>
      </c>
      <c r="AF154" s="336">
        <f t="shared" si="3"/>
        <v>0.0003802806029</v>
      </c>
      <c r="AG154" s="336"/>
      <c r="AH154" s="336"/>
      <c r="AI154" s="348"/>
      <c r="AJ154" s="312"/>
      <c r="AK154" s="312"/>
      <c r="AL154" s="353">
        <v>45607.0</v>
      </c>
      <c r="AM154" s="343">
        <v>22.212</v>
      </c>
      <c r="AN154" s="343">
        <v>22.212</v>
      </c>
      <c r="AO154" s="343">
        <v>22.212</v>
      </c>
      <c r="AP154" s="343">
        <v>22.212</v>
      </c>
      <c r="AQ154" s="335" t="s">
        <v>238</v>
      </c>
      <c r="AR154" s="336">
        <f t="shared" si="4"/>
        <v>0.0009458821055</v>
      </c>
      <c r="AS154" s="336"/>
      <c r="AT154" s="336"/>
      <c r="AU154" s="348"/>
      <c r="AV154" s="312"/>
      <c r="AW154" s="312"/>
      <c r="AX154" s="312"/>
      <c r="AY154" s="312"/>
      <c r="AZ154" s="312"/>
      <c r="BA154" s="312"/>
      <c r="BB154" s="312"/>
      <c r="BC154" s="312"/>
      <c r="BD154" s="316"/>
      <c r="BE154" s="316"/>
      <c r="BF154" s="316"/>
      <c r="BG154" s="316"/>
      <c r="BH154" s="316"/>
      <c r="BI154" s="316"/>
      <c r="BJ154" s="316"/>
      <c r="BK154" s="316"/>
      <c r="BL154" s="316"/>
      <c r="BM154" s="316"/>
      <c r="BN154" s="316"/>
      <c r="BO154" s="316"/>
      <c r="BP154" s="316"/>
      <c r="BQ154" s="316"/>
      <c r="BR154" s="316"/>
      <c r="BS154" s="316"/>
      <c r="BT154" s="316"/>
      <c r="BU154" s="316"/>
      <c r="BV154" s="316"/>
      <c r="BW154" s="316"/>
      <c r="BX154" s="316"/>
      <c r="BY154" s="316"/>
      <c r="BZ154" s="316"/>
      <c r="CA154" s="316"/>
      <c r="CB154" s="316"/>
      <c r="CC154" s="316"/>
      <c r="CD154" s="316"/>
    </row>
    <row r="155" ht="15.75" customHeight="1">
      <c r="A155" s="308"/>
      <c r="B155" s="334">
        <v>45608.0</v>
      </c>
      <c r="C155" s="335">
        <v>86.586</v>
      </c>
      <c r="D155" s="335">
        <v>86.586</v>
      </c>
      <c r="E155" s="335">
        <v>86.586</v>
      </c>
      <c r="F155" s="335">
        <v>86.586</v>
      </c>
      <c r="G155" s="335" t="s">
        <v>238</v>
      </c>
      <c r="H155" s="336">
        <f t="shared" si="1"/>
        <v>-0.007799866981</v>
      </c>
      <c r="I155" s="336"/>
      <c r="J155" s="336"/>
      <c r="K155" s="348"/>
      <c r="L155" s="312"/>
      <c r="M155" s="312"/>
      <c r="N155" s="363">
        <v>45608.0</v>
      </c>
      <c r="O155" s="341">
        <v>30.367</v>
      </c>
      <c r="P155" s="341">
        <v>30.367</v>
      </c>
      <c r="Q155" s="341">
        <v>30.367</v>
      </c>
      <c r="R155" s="341">
        <v>30.367</v>
      </c>
      <c r="S155" s="335" t="s">
        <v>238</v>
      </c>
      <c r="T155" s="336">
        <f t="shared" si="2"/>
        <v>-0.02587500116</v>
      </c>
      <c r="U155" s="336"/>
      <c r="V155" s="336"/>
      <c r="W155" s="348"/>
      <c r="X155" s="312"/>
      <c r="Y155" s="312"/>
      <c r="Z155" s="340">
        <v>45608.0</v>
      </c>
      <c r="AA155" s="341">
        <v>2027.02</v>
      </c>
      <c r="AB155" s="341">
        <v>2027.02</v>
      </c>
      <c r="AC155" s="341">
        <v>2027.02</v>
      </c>
      <c r="AD155" s="341">
        <v>2027.02</v>
      </c>
      <c r="AE155" s="335" t="s">
        <v>238</v>
      </c>
      <c r="AF155" s="336">
        <f t="shared" si="3"/>
        <v>-0.01200791081</v>
      </c>
      <c r="AG155" s="336"/>
      <c r="AH155" s="336"/>
      <c r="AI155" s="348"/>
      <c r="AJ155" s="312"/>
      <c r="AK155" s="312"/>
      <c r="AL155" s="353">
        <v>45608.0</v>
      </c>
      <c r="AM155" s="343">
        <v>22.214</v>
      </c>
      <c r="AN155" s="343">
        <v>22.214</v>
      </c>
      <c r="AO155" s="343">
        <v>22.214</v>
      </c>
      <c r="AP155" s="343">
        <v>22.214</v>
      </c>
      <c r="AQ155" s="335" t="s">
        <v>238</v>
      </c>
      <c r="AR155" s="336">
        <f t="shared" si="4"/>
        <v>0.00009003736557</v>
      </c>
      <c r="AS155" s="336"/>
      <c r="AT155" s="336"/>
      <c r="AU155" s="348"/>
      <c r="AV155" s="312"/>
      <c r="AW155" s="312"/>
      <c r="AX155" s="312"/>
      <c r="AY155" s="312"/>
      <c r="AZ155" s="312"/>
      <c r="BA155" s="312"/>
      <c r="BB155" s="312"/>
      <c r="BC155" s="312"/>
      <c r="BD155" s="316"/>
      <c r="BE155" s="316"/>
      <c r="BF155" s="316"/>
      <c r="BG155" s="316"/>
      <c r="BH155" s="316"/>
      <c r="BI155" s="316"/>
      <c r="BJ155" s="316"/>
      <c r="BK155" s="316"/>
      <c r="BL155" s="316"/>
      <c r="BM155" s="316"/>
      <c r="BN155" s="316"/>
      <c r="BO155" s="316"/>
      <c r="BP155" s="316"/>
      <c r="BQ155" s="316"/>
      <c r="BR155" s="316"/>
      <c r="BS155" s="316"/>
      <c r="BT155" s="316"/>
      <c r="BU155" s="316"/>
      <c r="BV155" s="316"/>
      <c r="BW155" s="316"/>
      <c r="BX155" s="316"/>
      <c r="BY155" s="316"/>
      <c r="BZ155" s="316"/>
      <c r="CA155" s="316"/>
      <c r="CB155" s="316"/>
      <c r="CC155" s="316"/>
      <c r="CD155" s="316"/>
    </row>
    <row r="156" ht="15.75" customHeight="1">
      <c r="A156" s="308"/>
      <c r="B156" s="334">
        <v>45609.0</v>
      </c>
      <c r="C156" s="335">
        <v>85.592</v>
      </c>
      <c r="D156" s="335">
        <v>85.592</v>
      </c>
      <c r="E156" s="335">
        <v>85.592</v>
      </c>
      <c r="F156" s="335">
        <v>85.592</v>
      </c>
      <c r="G156" s="335" t="s">
        <v>238</v>
      </c>
      <c r="H156" s="336">
        <f t="shared" si="1"/>
        <v>-0.01154631885</v>
      </c>
      <c r="I156" s="336"/>
      <c r="J156" s="336"/>
      <c r="K156" s="348"/>
      <c r="L156" s="312"/>
      <c r="M156" s="312"/>
      <c r="N156" s="363">
        <v>45609.0</v>
      </c>
      <c r="O156" s="341">
        <v>30.564</v>
      </c>
      <c r="P156" s="341">
        <v>30.564</v>
      </c>
      <c r="Q156" s="341">
        <v>30.564</v>
      </c>
      <c r="R156" s="341">
        <v>30.564</v>
      </c>
      <c r="S156" s="335" t="s">
        <v>238</v>
      </c>
      <c r="T156" s="336">
        <f t="shared" si="2"/>
        <v>0.006466353299</v>
      </c>
      <c r="U156" s="336"/>
      <c r="V156" s="336"/>
      <c r="W156" s="348"/>
      <c r="X156" s="312"/>
      <c r="Y156" s="312"/>
      <c r="Z156" s="340">
        <v>45609.0</v>
      </c>
      <c r="AA156" s="341">
        <v>1999.127</v>
      </c>
      <c r="AB156" s="341">
        <v>1999.127</v>
      </c>
      <c r="AC156" s="341">
        <v>1999.127</v>
      </c>
      <c r="AD156" s="341">
        <v>1999.127</v>
      </c>
      <c r="AE156" s="335" t="s">
        <v>238</v>
      </c>
      <c r="AF156" s="336">
        <f t="shared" si="3"/>
        <v>-0.01385614895</v>
      </c>
      <c r="AG156" s="336"/>
      <c r="AH156" s="336"/>
      <c r="AI156" s="348"/>
      <c r="AJ156" s="312"/>
      <c r="AK156" s="312"/>
      <c r="AL156" s="353">
        <v>45609.0</v>
      </c>
      <c r="AM156" s="343">
        <v>22.192</v>
      </c>
      <c r="AN156" s="343">
        <v>22.192</v>
      </c>
      <c r="AO156" s="343">
        <v>22.192</v>
      </c>
      <c r="AP156" s="343">
        <v>22.192</v>
      </c>
      <c r="AQ156" s="335" t="s">
        <v>238</v>
      </c>
      <c r="AR156" s="336">
        <f t="shared" si="4"/>
        <v>-0.0009908571725</v>
      </c>
      <c r="AS156" s="336"/>
      <c r="AT156" s="336"/>
      <c r="AU156" s="348"/>
      <c r="AV156" s="312"/>
      <c r="AW156" s="312"/>
      <c r="AX156" s="312"/>
      <c r="AY156" s="312"/>
      <c r="AZ156" s="312"/>
      <c r="BA156" s="312"/>
      <c r="BB156" s="312"/>
      <c r="BC156" s="312"/>
      <c r="BD156" s="316"/>
      <c r="BE156" s="316"/>
      <c r="BF156" s="316"/>
      <c r="BG156" s="316"/>
      <c r="BH156" s="316"/>
      <c r="BI156" s="316"/>
      <c r="BJ156" s="316"/>
      <c r="BK156" s="316"/>
      <c r="BL156" s="316"/>
      <c r="BM156" s="316"/>
      <c r="BN156" s="316"/>
      <c r="BO156" s="316"/>
      <c r="BP156" s="316"/>
      <c r="BQ156" s="316"/>
      <c r="BR156" s="316"/>
      <c r="BS156" s="316"/>
      <c r="BT156" s="316"/>
      <c r="BU156" s="316"/>
      <c r="BV156" s="316"/>
      <c r="BW156" s="316"/>
      <c r="BX156" s="316"/>
      <c r="BY156" s="316"/>
      <c r="BZ156" s="316"/>
      <c r="CA156" s="316"/>
      <c r="CB156" s="316"/>
      <c r="CC156" s="316"/>
      <c r="CD156" s="316"/>
    </row>
    <row r="157" ht="15.75" customHeight="1">
      <c r="A157" s="308"/>
      <c r="B157" s="334">
        <v>45610.0</v>
      </c>
      <c r="C157" s="335">
        <v>85.737</v>
      </c>
      <c r="D157" s="335">
        <v>85.737</v>
      </c>
      <c r="E157" s="335">
        <v>85.737</v>
      </c>
      <c r="F157" s="335">
        <v>85.737</v>
      </c>
      <c r="G157" s="335" t="s">
        <v>238</v>
      </c>
      <c r="H157" s="336">
        <f t="shared" si="1"/>
        <v>0.001692650218</v>
      </c>
      <c r="I157" s="336"/>
      <c r="J157" s="336"/>
      <c r="K157" s="348"/>
      <c r="L157" s="312"/>
      <c r="M157" s="312"/>
      <c r="N157" s="363">
        <v>45610.0</v>
      </c>
      <c r="O157" s="341">
        <v>29.859</v>
      </c>
      <c r="P157" s="341">
        <v>29.859</v>
      </c>
      <c r="Q157" s="341">
        <v>29.859</v>
      </c>
      <c r="R157" s="341">
        <v>29.859</v>
      </c>
      <c r="S157" s="335" t="s">
        <v>238</v>
      </c>
      <c r="T157" s="336">
        <f t="shared" si="2"/>
        <v>-0.02333654385</v>
      </c>
      <c r="U157" s="336"/>
      <c r="V157" s="336"/>
      <c r="W157" s="348"/>
      <c r="X157" s="312"/>
      <c r="Y157" s="312"/>
      <c r="Z157" s="340">
        <v>45610.0</v>
      </c>
      <c r="AA157" s="341">
        <v>2005.441</v>
      </c>
      <c r="AB157" s="341">
        <v>2005.441</v>
      </c>
      <c r="AC157" s="341">
        <v>2005.441</v>
      </c>
      <c r="AD157" s="341">
        <v>2005.441</v>
      </c>
      <c r="AE157" s="335" t="s">
        <v>238</v>
      </c>
      <c r="AF157" s="336">
        <f t="shared" si="3"/>
        <v>0.003153401432</v>
      </c>
      <c r="AG157" s="336"/>
      <c r="AH157" s="336"/>
      <c r="AI157" s="348"/>
      <c r="AJ157" s="312"/>
      <c r="AK157" s="312"/>
      <c r="AL157" s="353">
        <v>45610.0</v>
      </c>
      <c r="AM157" s="343">
        <v>22.193</v>
      </c>
      <c r="AN157" s="343">
        <v>22.193</v>
      </c>
      <c r="AO157" s="343">
        <v>22.193</v>
      </c>
      <c r="AP157" s="343">
        <v>22.193</v>
      </c>
      <c r="AQ157" s="335" t="s">
        <v>238</v>
      </c>
      <c r="AR157" s="336">
        <f t="shared" si="4"/>
        <v>0.00004506026812</v>
      </c>
      <c r="AS157" s="336"/>
      <c r="AT157" s="336"/>
      <c r="AU157" s="348"/>
      <c r="AV157" s="312"/>
      <c r="AW157" s="312"/>
      <c r="AX157" s="312"/>
      <c r="AY157" s="312"/>
      <c r="AZ157" s="312"/>
      <c r="BA157" s="312"/>
      <c r="BB157" s="312"/>
      <c r="BC157" s="312"/>
      <c r="BD157" s="316"/>
      <c r="BE157" s="316"/>
      <c r="BF157" s="316"/>
      <c r="BG157" s="316"/>
      <c r="BH157" s="316"/>
      <c r="BI157" s="316"/>
      <c r="BJ157" s="316"/>
      <c r="BK157" s="316"/>
      <c r="BL157" s="316"/>
      <c r="BM157" s="316"/>
      <c r="BN157" s="316"/>
      <c r="BO157" s="316"/>
      <c r="BP157" s="316"/>
      <c r="BQ157" s="316"/>
      <c r="BR157" s="316"/>
      <c r="BS157" s="316"/>
      <c r="BT157" s="316"/>
      <c r="BU157" s="316"/>
      <c r="BV157" s="316"/>
      <c r="BW157" s="316"/>
      <c r="BX157" s="316"/>
      <c r="BY157" s="316"/>
      <c r="BZ157" s="316"/>
      <c r="CA157" s="316"/>
      <c r="CB157" s="316"/>
      <c r="CC157" s="316"/>
      <c r="CD157" s="316"/>
    </row>
    <row r="158" ht="15.75" customHeight="1">
      <c r="A158" s="308"/>
      <c r="B158" s="362">
        <v>45614.0</v>
      </c>
      <c r="C158" s="335">
        <v>85.244</v>
      </c>
      <c r="D158" s="335">
        <v>85.244</v>
      </c>
      <c r="E158" s="335">
        <v>85.244</v>
      </c>
      <c r="F158" s="335">
        <v>85.244</v>
      </c>
      <c r="G158" s="335" t="s">
        <v>238</v>
      </c>
      <c r="H158" s="336">
        <f t="shared" si="1"/>
        <v>-0.005766738599</v>
      </c>
      <c r="I158" s="336"/>
      <c r="J158" s="336"/>
      <c r="K158" s="348"/>
      <c r="L158" s="312"/>
      <c r="M158" s="312"/>
      <c r="N158" s="363">
        <v>45614.0</v>
      </c>
      <c r="O158" s="341">
        <v>30.395</v>
      </c>
      <c r="P158" s="341">
        <v>30.395</v>
      </c>
      <c r="Q158" s="341">
        <v>30.395</v>
      </c>
      <c r="R158" s="341">
        <v>30.395</v>
      </c>
      <c r="S158" s="335" t="s">
        <v>238</v>
      </c>
      <c r="T158" s="336">
        <f t="shared" si="2"/>
        <v>0.01779181927</v>
      </c>
      <c r="U158" s="336"/>
      <c r="V158" s="336"/>
      <c r="W158" s="348"/>
      <c r="X158" s="312"/>
      <c r="Y158" s="312"/>
      <c r="Z158" s="363">
        <v>45614.0</v>
      </c>
      <c r="AA158" s="341">
        <v>1997.032</v>
      </c>
      <c r="AB158" s="341">
        <v>1997.032</v>
      </c>
      <c r="AC158" s="341">
        <v>1997.032</v>
      </c>
      <c r="AD158" s="341">
        <v>1997.032</v>
      </c>
      <c r="AE158" s="335" t="s">
        <v>238</v>
      </c>
      <c r="AF158" s="336">
        <f t="shared" si="3"/>
        <v>-0.004201908356</v>
      </c>
      <c r="AG158" s="336"/>
      <c r="AH158" s="336"/>
      <c r="AI158" s="348"/>
      <c r="AJ158" s="312"/>
      <c r="AK158" s="312"/>
      <c r="AL158" s="353">
        <v>45614.0</v>
      </c>
      <c r="AM158" s="343">
        <v>22.199</v>
      </c>
      <c r="AN158" s="343">
        <v>22.199</v>
      </c>
      <c r="AO158" s="343">
        <v>22.199</v>
      </c>
      <c r="AP158" s="343">
        <v>22.199</v>
      </c>
      <c r="AQ158" s="335" t="s">
        <v>238</v>
      </c>
      <c r="AR158" s="336">
        <f t="shared" si="4"/>
        <v>0.000270318978</v>
      </c>
      <c r="AS158" s="336"/>
      <c r="AT158" s="336"/>
      <c r="AU158" s="348"/>
      <c r="AV158" s="312"/>
      <c r="AW158" s="312"/>
      <c r="AX158" s="312"/>
      <c r="AY158" s="312"/>
      <c r="AZ158" s="312"/>
      <c r="BA158" s="312"/>
      <c r="BB158" s="312"/>
      <c r="BC158" s="312"/>
      <c r="BD158" s="316"/>
      <c r="BE158" s="316"/>
      <c r="BF158" s="316"/>
      <c r="BG158" s="316"/>
      <c r="BH158" s="316"/>
      <c r="BI158" s="316"/>
      <c r="BJ158" s="316"/>
      <c r="BK158" s="316"/>
      <c r="BL158" s="316"/>
      <c r="BM158" s="316"/>
      <c r="BN158" s="316"/>
      <c r="BO158" s="316"/>
      <c r="BP158" s="316"/>
      <c r="BQ158" s="316"/>
      <c r="BR158" s="316"/>
      <c r="BS158" s="316"/>
      <c r="BT158" s="316"/>
      <c r="BU158" s="316"/>
      <c r="BV158" s="316"/>
      <c r="BW158" s="316"/>
      <c r="BX158" s="316"/>
      <c r="BY158" s="316"/>
      <c r="BZ158" s="316"/>
      <c r="CA158" s="316"/>
      <c r="CB158" s="316"/>
      <c r="CC158" s="316"/>
      <c r="CD158" s="316"/>
    </row>
    <row r="159" ht="15.75" customHeight="1">
      <c r="A159" s="308"/>
      <c r="B159" s="362">
        <v>45615.0</v>
      </c>
      <c r="C159" s="335">
        <v>85.57</v>
      </c>
      <c r="D159" s="335">
        <v>85.57</v>
      </c>
      <c r="E159" s="335">
        <v>85.57</v>
      </c>
      <c r="F159" s="335">
        <v>85.57</v>
      </c>
      <c r="G159" s="335" t="s">
        <v>238</v>
      </c>
      <c r="H159" s="336">
        <f t="shared" si="1"/>
        <v>0.003817021975</v>
      </c>
      <c r="I159" s="336"/>
      <c r="J159" s="336"/>
      <c r="K159" s="348"/>
      <c r="L159" s="312"/>
      <c r="M159" s="312"/>
      <c r="N159" s="363">
        <v>45615.0</v>
      </c>
      <c r="O159" s="341">
        <v>30.79</v>
      </c>
      <c r="P159" s="341">
        <v>30.79</v>
      </c>
      <c r="Q159" s="341">
        <v>30.79</v>
      </c>
      <c r="R159" s="341">
        <v>30.79</v>
      </c>
      <c r="S159" s="335" t="s">
        <v>238</v>
      </c>
      <c r="T159" s="336">
        <f t="shared" si="2"/>
        <v>0.01291184074</v>
      </c>
      <c r="U159" s="336"/>
      <c r="V159" s="336"/>
      <c r="W159" s="348"/>
      <c r="X159" s="312"/>
      <c r="Y159" s="312"/>
      <c r="Z159" s="363">
        <v>45615.0</v>
      </c>
      <c r="AA159" s="341">
        <v>2003.361</v>
      </c>
      <c r="AB159" s="341">
        <v>2003.361</v>
      </c>
      <c r="AC159" s="341">
        <v>2003.361</v>
      </c>
      <c r="AD159" s="341">
        <v>2003.361</v>
      </c>
      <c r="AE159" s="335" t="s">
        <v>238</v>
      </c>
      <c r="AF159" s="336">
        <f t="shared" si="3"/>
        <v>0.003164191758</v>
      </c>
      <c r="AG159" s="336"/>
      <c r="AH159" s="336"/>
      <c r="AI159" s="348"/>
      <c r="AJ159" s="312"/>
      <c r="AK159" s="312"/>
      <c r="AL159" s="353">
        <v>45615.0</v>
      </c>
      <c r="AM159" s="343">
        <v>22.206</v>
      </c>
      <c r="AN159" s="343">
        <v>22.206</v>
      </c>
      <c r="AO159" s="343">
        <v>22.206</v>
      </c>
      <c r="AP159" s="343">
        <v>22.206</v>
      </c>
      <c r="AQ159" s="335" t="s">
        <v>238</v>
      </c>
      <c r="AR159" s="336">
        <f t="shared" si="4"/>
        <v>0.0003152798134</v>
      </c>
      <c r="AS159" s="336"/>
      <c r="AT159" s="336"/>
      <c r="AU159" s="348"/>
      <c r="AV159" s="312"/>
      <c r="AW159" s="312"/>
      <c r="AX159" s="312"/>
      <c r="AY159" s="312"/>
      <c r="AZ159" s="312"/>
      <c r="BA159" s="312"/>
      <c r="BB159" s="312"/>
      <c r="BC159" s="312"/>
      <c r="BD159" s="316"/>
      <c r="BE159" s="316"/>
      <c r="BF159" s="316"/>
      <c r="BG159" s="316"/>
      <c r="BH159" s="316"/>
      <c r="BI159" s="316"/>
      <c r="BJ159" s="316"/>
      <c r="BK159" s="316"/>
      <c r="BL159" s="316"/>
      <c r="BM159" s="316"/>
      <c r="BN159" s="316"/>
      <c r="BO159" s="316"/>
      <c r="BP159" s="316"/>
      <c r="BQ159" s="316"/>
      <c r="BR159" s="316"/>
      <c r="BS159" s="316"/>
      <c r="BT159" s="316"/>
      <c r="BU159" s="316"/>
      <c r="BV159" s="316"/>
      <c r="BW159" s="316"/>
      <c r="BX159" s="316"/>
      <c r="BY159" s="316"/>
      <c r="BZ159" s="316"/>
      <c r="CA159" s="316"/>
      <c r="CB159" s="316"/>
      <c r="CC159" s="316"/>
      <c r="CD159" s="316"/>
    </row>
    <row r="160" ht="15.75" customHeight="1">
      <c r="A160" s="308"/>
      <c r="B160" s="362">
        <v>45617.0</v>
      </c>
      <c r="C160" s="335">
        <v>85.23</v>
      </c>
      <c r="D160" s="335">
        <v>85.23</v>
      </c>
      <c r="E160" s="335">
        <v>85.23</v>
      </c>
      <c r="F160" s="335">
        <v>85.23</v>
      </c>
      <c r="G160" s="335" t="s">
        <v>238</v>
      </c>
      <c r="H160" s="336">
        <f t="shared" si="1"/>
        <v>-0.003981269896</v>
      </c>
      <c r="I160" s="336"/>
      <c r="J160" s="336"/>
      <c r="K160" s="348"/>
      <c r="L160" s="312"/>
      <c r="M160" s="312"/>
      <c r="N160" s="363">
        <v>45617.0</v>
      </c>
      <c r="O160" s="341">
        <v>31.2</v>
      </c>
      <c r="P160" s="341">
        <v>31.2</v>
      </c>
      <c r="Q160" s="341">
        <v>31.2</v>
      </c>
      <c r="R160" s="341">
        <v>31.2</v>
      </c>
      <c r="S160" s="335" t="s">
        <v>238</v>
      </c>
      <c r="T160" s="336">
        <f t="shared" si="2"/>
        <v>0.01322813288</v>
      </c>
      <c r="U160" s="336"/>
      <c r="V160" s="336"/>
      <c r="W160" s="348"/>
      <c r="X160" s="312"/>
      <c r="Y160" s="312"/>
      <c r="Z160" s="363">
        <v>45617.0</v>
      </c>
      <c r="AA160" s="341">
        <v>1997.443</v>
      </c>
      <c r="AB160" s="341">
        <v>1997.443</v>
      </c>
      <c r="AC160" s="341">
        <v>1997.443</v>
      </c>
      <c r="AD160" s="341">
        <v>1997.443</v>
      </c>
      <c r="AE160" s="335" t="s">
        <v>238</v>
      </c>
      <c r="AF160" s="336">
        <f t="shared" si="3"/>
        <v>-0.002958407518</v>
      </c>
      <c r="AG160" s="336"/>
      <c r="AH160" s="336"/>
      <c r="AI160" s="348"/>
      <c r="AJ160" s="312"/>
      <c r="AK160" s="312"/>
      <c r="AL160" s="353">
        <v>45617.0</v>
      </c>
      <c r="AM160" s="343">
        <v>22.205</v>
      </c>
      <c r="AN160" s="343">
        <v>22.205</v>
      </c>
      <c r="AO160" s="343">
        <v>22.205</v>
      </c>
      <c r="AP160" s="343">
        <v>22.205</v>
      </c>
      <c r="AQ160" s="335" t="s">
        <v>238</v>
      </c>
      <c r="AR160" s="336">
        <f t="shared" si="4"/>
        <v>-0.00004503388801</v>
      </c>
      <c r="AS160" s="336"/>
      <c r="AT160" s="336"/>
      <c r="AU160" s="348"/>
      <c r="AV160" s="312"/>
      <c r="AW160" s="312"/>
      <c r="AX160" s="312"/>
      <c r="AY160" s="312"/>
      <c r="AZ160" s="312"/>
      <c r="BA160" s="312"/>
      <c r="BB160" s="312"/>
      <c r="BC160" s="312"/>
      <c r="BD160" s="316"/>
      <c r="BE160" s="316"/>
      <c r="BF160" s="316"/>
      <c r="BG160" s="316"/>
      <c r="BH160" s="316"/>
      <c r="BI160" s="316"/>
      <c r="BJ160" s="316"/>
      <c r="BK160" s="316"/>
      <c r="BL160" s="316"/>
      <c r="BM160" s="316"/>
      <c r="BN160" s="316"/>
      <c r="BO160" s="316"/>
      <c r="BP160" s="316"/>
      <c r="BQ160" s="316"/>
      <c r="BR160" s="316"/>
      <c r="BS160" s="316"/>
      <c r="BT160" s="316"/>
      <c r="BU160" s="316"/>
      <c r="BV160" s="316"/>
      <c r="BW160" s="316"/>
      <c r="BX160" s="316"/>
      <c r="BY160" s="316"/>
      <c r="BZ160" s="316"/>
      <c r="CA160" s="316"/>
      <c r="CB160" s="316"/>
      <c r="CC160" s="316"/>
      <c r="CD160" s="316"/>
    </row>
    <row r="161" ht="15.75" customHeight="1">
      <c r="A161" s="308"/>
      <c r="B161" s="362">
        <v>45618.0</v>
      </c>
      <c r="C161" s="335">
        <v>86.22</v>
      </c>
      <c r="D161" s="335">
        <v>86.22</v>
      </c>
      <c r="E161" s="335">
        <v>86.22</v>
      </c>
      <c r="F161" s="335">
        <v>86.22</v>
      </c>
      <c r="G161" s="335" t="s">
        <v>238</v>
      </c>
      <c r="H161" s="336">
        <f t="shared" si="1"/>
        <v>0.01154868478</v>
      </c>
      <c r="I161" s="336"/>
      <c r="J161" s="336"/>
      <c r="K161" s="348"/>
      <c r="L161" s="312"/>
      <c r="M161" s="312"/>
      <c r="N161" s="340">
        <v>45618.0</v>
      </c>
      <c r="O161" s="341">
        <v>31.566</v>
      </c>
      <c r="P161" s="341">
        <v>31.566</v>
      </c>
      <c r="Q161" s="341">
        <v>31.566</v>
      </c>
      <c r="R161" s="341">
        <v>31.566</v>
      </c>
      <c r="S161" s="335" t="s">
        <v>238</v>
      </c>
      <c r="T161" s="336">
        <f t="shared" si="2"/>
        <v>0.01166249716</v>
      </c>
      <c r="U161" s="336"/>
      <c r="V161" s="336"/>
      <c r="W161" s="348"/>
      <c r="X161" s="312"/>
      <c r="Y161" s="312"/>
      <c r="Z161" s="363">
        <v>45618.0</v>
      </c>
      <c r="AA161" s="341">
        <v>2026.702</v>
      </c>
      <c r="AB161" s="341">
        <v>2026.702</v>
      </c>
      <c r="AC161" s="341">
        <v>2026.702</v>
      </c>
      <c r="AD161" s="341">
        <v>2026.702</v>
      </c>
      <c r="AE161" s="335" t="s">
        <v>238</v>
      </c>
      <c r="AF161" s="336">
        <f t="shared" si="3"/>
        <v>0.01454197879</v>
      </c>
      <c r="AG161" s="336"/>
      <c r="AH161" s="336"/>
      <c r="AI161" s="348"/>
      <c r="AJ161" s="312"/>
      <c r="AK161" s="312"/>
      <c r="AL161" s="353">
        <v>45618.0</v>
      </c>
      <c r="AM161" s="343">
        <v>22.219</v>
      </c>
      <c r="AN161" s="343">
        <v>22.219</v>
      </c>
      <c r="AO161" s="343">
        <v>22.219</v>
      </c>
      <c r="AP161" s="343">
        <v>22.219</v>
      </c>
      <c r="AQ161" s="335" t="s">
        <v>238</v>
      </c>
      <c r="AR161" s="336">
        <f t="shared" si="4"/>
        <v>0.0006302899542</v>
      </c>
      <c r="AS161" s="336"/>
      <c r="AT161" s="336"/>
      <c r="AU161" s="348"/>
      <c r="AV161" s="312"/>
      <c r="AW161" s="312"/>
      <c r="AX161" s="312"/>
      <c r="AY161" s="312"/>
      <c r="AZ161" s="312"/>
      <c r="BA161" s="312"/>
      <c r="BB161" s="312"/>
      <c r="BC161" s="312"/>
      <c r="BD161" s="316"/>
      <c r="BE161" s="316"/>
      <c r="BF161" s="316"/>
      <c r="BG161" s="316"/>
      <c r="BH161" s="316"/>
      <c r="BI161" s="316"/>
      <c r="BJ161" s="316"/>
      <c r="BK161" s="316"/>
      <c r="BL161" s="316"/>
      <c r="BM161" s="316"/>
      <c r="BN161" s="316"/>
      <c r="BO161" s="316"/>
      <c r="BP161" s="316"/>
      <c r="BQ161" s="316"/>
      <c r="BR161" s="316"/>
      <c r="BS161" s="316"/>
      <c r="BT161" s="316"/>
      <c r="BU161" s="316"/>
      <c r="BV161" s="316"/>
      <c r="BW161" s="316"/>
      <c r="BX161" s="316"/>
      <c r="BY161" s="316"/>
      <c r="BZ161" s="316"/>
      <c r="CA161" s="316"/>
      <c r="CB161" s="316"/>
      <c r="CC161" s="316"/>
      <c r="CD161" s="316"/>
    </row>
    <row r="162" ht="15.75" customHeight="1">
      <c r="A162" s="308"/>
      <c r="B162" s="362">
        <v>45621.0</v>
      </c>
      <c r="C162" s="335">
        <v>86.93</v>
      </c>
      <c r="D162" s="335">
        <v>86.93</v>
      </c>
      <c r="E162" s="335">
        <v>86.93</v>
      </c>
      <c r="F162" s="335">
        <v>86.93</v>
      </c>
      <c r="G162" s="335" t="s">
        <v>238</v>
      </c>
      <c r="H162" s="336">
        <f t="shared" si="1"/>
        <v>0.008201027772</v>
      </c>
      <c r="I162" s="336"/>
      <c r="J162" s="336"/>
      <c r="K162" s="348"/>
      <c r="L162" s="312"/>
      <c r="M162" s="312"/>
      <c r="N162" s="340">
        <v>45621.0</v>
      </c>
      <c r="O162" s="341">
        <v>31.107</v>
      </c>
      <c r="P162" s="341">
        <v>31.107</v>
      </c>
      <c r="Q162" s="341">
        <v>31.107</v>
      </c>
      <c r="R162" s="341">
        <v>31.107</v>
      </c>
      <c r="S162" s="335" t="s">
        <v>238</v>
      </c>
      <c r="T162" s="336">
        <f t="shared" si="2"/>
        <v>-0.01464771773</v>
      </c>
      <c r="U162" s="336"/>
      <c r="V162" s="336"/>
      <c r="W162" s="348"/>
      <c r="X162" s="312"/>
      <c r="Y162" s="312"/>
      <c r="Z162" s="363">
        <v>45621.0</v>
      </c>
      <c r="AA162" s="341">
        <v>2050.925</v>
      </c>
      <c r="AB162" s="341">
        <v>2050.925</v>
      </c>
      <c r="AC162" s="341">
        <v>2050.925</v>
      </c>
      <c r="AD162" s="341">
        <v>2050.925</v>
      </c>
      <c r="AE162" s="335" t="s">
        <v>238</v>
      </c>
      <c r="AF162" s="336">
        <f t="shared" si="3"/>
        <v>0.01188106953</v>
      </c>
      <c r="AG162" s="336"/>
      <c r="AH162" s="336"/>
      <c r="AI162" s="348"/>
      <c r="AJ162" s="312"/>
      <c r="AK162" s="312"/>
      <c r="AL162" s="353">
        <v>45621.0</v>
      </c>
      <c r="AM162" s="343">
        <v>22.254</v>
      </c>
      <c r="AN162" s="343">
        <v>22.254</v>
      </c>
      <c r="AO162" s="343">
        <v>22.254</v>
      </c>
      <c r="AP162" s="343">
        <v>22.254</v>
      </c>
      <c r="AQ162" s="335" t="s">
        <v>238</v>
      </c>
      <c r="AR162" s="336">
        <f t="shared" si="4"/>
        <v>0.001573989037</v>
      </c>
      <c r="AS162" s="336"/>
      <c r="AT162" s="336"/>
      <c r="AU162" s="348"/>
      <c r="AV162" s="312"/>
      <c r="AW162" s="312"/>
      <c r="AX162" s="312"/>
      <c r="AY162" s="312"/>
      <c r="AZ162" s="312"/>
      <c r="BA162" s="312"/>
      <c r="BB162" s="312"/>
      <c r="BC162" s="312"/>
      <c r="BD162" s="316"/>
      <c r="BE162" s="316"/>
      <c r="BF162" s="316"/>
      <c r="BG162" s="316"/>
      <c r="BH162" s="316"/>
      <c r="BI162" s="316"/>
      <c r="BJ162" s="316"/>
      <c r="BK162" s="316"/>
      <c r="BL162" s="316"/>
      <c r="BM162" s="316"/>
      <c r="BN162" s="316"/>
      <c r="BO162" s="316"/>
      <c r="BP162" s="316"/>
      <c r="BQ162" s="316"/>
      <c r="BR162" s="316"/>
      <c r="BS162" s="316"/>
      <c r="BT162" s="316"/>
      <c r="BU162" s="316"/>
      <c r="BV162" s="316"/>
      <c r="BW162" s="316"/>
      <c r="BX162" s="316"/>
      <c r="BY162" s="316"/>
      <c r="BZ162" s="316"/>
      <c r="CA162" s="316"/>
      <c r="CB162" s="316"/>
      <c r="CC162" s="316"/>
      <c r="CD162" s="316"/>
    </row>
    <row r="163" ht="15.75" customHeight="1">
      <c r="A163" s="308"/>
      <c r="B163" s="362">
        <v>45622.0</v>
      </c>
      <c r="C163" s="335">
        <v>86.902</v>
      </c>
      <c r="D163" s="335">
        <v>86.902</v>
      </c>
      <c r="E163" s="335">
        <v>86.902</v>
      </c>
      <c r="F163" s="335">
        <v>86.902</v>
      </c>
      <c r="G163" s="335" t="s">
        <v>238</v>
      </c>
      <c r="H163" s="336">
        <f t="shared" si="1"/>
        <v>-0.0003221501247</v>
      </c>
      <c r="I163" s="336"/>
      <c r="J163" s="336"/>
      <c r="K163" s="348"/>
      <c r="L163" s="312"/>
      <c r="M163" s="312"/>
      <c r="N163" s="340">
        <v>45622.0</v>
      </c>
      <c r="O163" s="341">
        <v>30.629</v>
      </c>
      <c r="P163" s="341">
        <v>30.629</v>
      </c>
      <c r="Q163" s="341">
        <v>30.629</v>
      </c>
      <c r="R163" s="341">
        <v>30.629</v>
      </c>
      <c r="S163" s="335" t="s">
        <v>238</v>
      </c>
      <c r="T163" s="336">
        <f t="shared" si="2"/>
        <v>-0.01548560166</v>
      </c>
      <c r="U163" s="336"/>
      <c r="V163" s="336"/>
      <c r="W163" s="348"/>
      <c r="X163" s="312"/>
      <c r="Y163" s="312"/>
      <c r="Z163" s="363">
        <v>45622.0</v>
      </c>
      <c r="AA163" s="341">
        <v>2051.082</v>
      </c>
      <c r="AB163" s="341">
        <v>2051.082</v>
      </c>
      <c r="AC163" s="341">
        <v>2051.082</v>
      </c>
      <c r="AD163" s="341">
        <v>2051.082</v>
      </c>
      <c r="AE163" s="335" t="s">
        <v>238</v>
      </c>
      <c r="AF163" s="336">
        <f t="shared" si="3"/>
        <v>0.00007654789476</v>
      </c>
      <c r="AG163" s="336"/>
      <c r="AH163" s="336"/>
      <c r="AI163" s="348"/>
      <c r="AJ163" s="312"/>
      <c r="AK163" s="312"/>
      <c r="AL163" s="353">
        <v>45622.0</v>
      </c>
      <c r="AM163" s="343">
        <v>22.256</v>
      </c>
      <c r="AN163" s="343">
        <v>22.256</v>
      </c>
      <c r="AO163" s="343">
        <v>22.256</v>
      </c>
      <c r="AP163" s="343">
        <v>22.256</v>
      </c>
      <c r="AQ163" s="335" t="s">
        <v>238</v>
      </c>
      <c r="AR163" s="336">
        <f t="shared" si="4"/>
        <v>0.00008986744558</v>
      </c>
      <c r="AS163" s="336"/>
      <c r="AT163" s="336"/>
      <c r="AU163" s="348"/>
      <c r="AV163" s="312"/>
      <c r="AW163" s="312"/>
      <c r="AX163" s="312"/>
      <c r="AY163" s="312"/>
      <c r="AZ163" s="312"/>
      <c r="BA163" s="312"/>
      <c r="BB163" s="312"/>
      <c r="BC163" s="312"/>
      <c r="BD163" s="316"/>
      <c r="BE163" s="316"/>
      <c r="BF163" s="316"/>
      <c r="BG163" s="316"/>
      <c r="BH163" s="316"/>
      <c r="BI163" s="316"/>
      <c r="BJ163" s="316"/>
      <c r="BK163" s="316"/>
      <c r="BL163" s="316"/>
      <c r="BM163" s="316"/>
      <c r="BN163" s="316"/>
      <c r="BO163" s="316"/>
      <c r="BP163" s="316"/>
      <c r="BQ163" s="316"/>
      <c r="BR163" s="316"/>
      <c r="BS163" s="316"/>
      <c r="BT163" s="316"/>
      <c r="BU163" s="316"/>
      <c r="BV163" s="316"/>
      <c r="BW163" s="316"/>
      <c r="BX163" s="316"/>
      <c r="BY163" s="316"/>
      <c r="BZ163" s="316"/>
      <c r="CA163" s="316"/>
      <c r="CB163" s="316"/>
      <c r="CC163" s="316"/>
      <c r="CD163" s="316"/>
    </row>
    <row r="164" ht="15.75" customHeight="1">
      <c r="A164" s="308"/>
      <c r="B164" s="362">
        <v>45623.0</v>
      </c>
      <c r="C164" s="335">
        <v>86.922</v>
      </c>
      <c r="D164" s="335">
        <v>86.922</v>
      </c>
      <c r="E164" s="335">
        <v>86.922</v>
      </c>
      <c r="F164" s="335">
        <v>86.922</v>
      </c>
      <c r="G164" s="335" t="s">
        <v>238</v>
      </c>
      <c r="H164" s="336">
        <f t="shared" si="1"/>
        <v>0.0002301178213</v>
      </c>
      <c r="I164" s="336"/>
      <c r="J164" s="336"/>
      <c r="K164" s="348"/>
      <c r="L164" s="312"/>
      <c r="M164" s="312"/>
      <c r="N164" s="340">
        <v>45623.0</v>
      </c>
      <c r="O164" s="341">
        <v>30.904</v>
      </c>
      <c r="P164" s="341">
        <v>30.904</v>
      </c>
      <c r="Q164" s="341">
        <v>30.904</v>
      </c>
      <c r="R164" s="341">
        <v>30.904</v>
      </c>
      <c r="S164" s="335" t="s">
        <v>238</v>
      </c>
      <c r="T164" s="336">
        <f t="shared" si="2"/>
        <v>0.008938352783</v>
      </c>
      <c r="U164" s="336"/>
      <c r="V164" s="336"/>
      <c r="W164" s="348"/>
      <c r="X164" s="312"/>
      <c r="Y164" s="312"/>
      <c r="Z164" s="363">
        <v>45623.0</v>
      </c>
      <c r="AA164" s="341">
        <v>2054.976</v>
      </c>
      <c r="AB164" s="341">
        <v>2054.976</v>
      </c>
      <c r="AC164" s="341">
        <v>2054.976</v>
      </c>
      <c r="AD164" s="341">
        <v>2054.976</v>
      </c>
      <c r="AE164" s="335" t="s">
        <v>238</v>
      </c>
      <c r="AF164" s="336">
        <f t="shared" si="3"/>
        <v>0.00189671026</v>
      </c>
      <c r="AG164" s="336"/>
      <c r="AH164" s="336"/>
      <c r="AI164" s="348"/>
      <c r="AJ164" s="312"/>
      <c r="AK164" s="312"/>
      <c r="AL164" s="353">
        <v>45623.0</v>
      </c>
      <c r="AM164" s="343">
        <v>22.26</v>
      </c>
      <c r="AN164" s="343">
        <v>22.26</v>
      </c>
      <c r="AO164" s="343">
        <v>22.26</v>
      </c>
      <c r="AP164" s="343">
        <v>22.26</v>
      </c>
      <c r="AQ164" s="335" t="s">
        <v>238</v>
      </c>
      <c r="AR164" s="336">
        <f t="shared" si="4"/>
        <v>0.0001797106663</v>
      </c>
      <c r="AS164" s="336"/>
      <c r="AT164" s="336"/>
      <c r="AU164" s="348"/>
      <c r="AV164" s="312"/>
      <c r="AW164" s="312"/>
      <c r="AX164" s="312"/>
      <c r="AY164" s="312"/>
      <c r="AZ164" s="312"/>
      <c r="BA164" s="312"/>
      <c r="BB164" s="312"/>
      <c r="BC164" s="312"/>
      <c r="BD164" s="316"/>
      <c r="BE164" s="316"/>
      <c r="BF164" s="316"/>
      <c r="BG164" s="316"/>
      <c r="BH164" s="316"/>
      <c r="BI164" s="316"/>
      <c r="BJ164" s="316"/>
      <c r="BK164" s="316"/>
      <c r="BL164" s="316"/>
      <c r="BM164" s="316"/>
      <c r="BN164" s="316"/>
      <c r="BO164" s="316"/>
      <c r="BP164" s="316"/>
      <c r="BQ164" s="316"/>
      <c r="BR164" s="316"/>
      <c r="BS164" s="316"/>
      <c r="BT164" s="316"/>
      <c r="BU164" s="316"/>
      <c r="BV164" s="316"/>
      <c r="BW164" s="316"/>
      <c r="BX164" s="316"/>
      <c r="BY164" s="316"/>
      <c r="BZ164" s="316"/>
      <c r="CA164" s="316"/>
      <c r="CB164" s="316"/>
      <c r="CC164" s="316"/>
      <c r="CD164" s="316"/>
    </row>
    <row r="165" ht="15.75" customHeight="1">
      <c r="A165" s="308"/>
      <c r="B165" s="362">
        <v>45624.0</v>
      </c>
      <c r="C165" s="335">
        <v>86.402</v>
      </c>
      <c r="D165" s="335">
        <v>86.402</v>
      </c>
      <c r="E165" s="335">
        <v>86.402</v>
      </c>
      <c r="F165" s="335">
        <v>86.402</v>
      </c>
      <c r="G165" s="335" t="s">
        <v>238</v>
      </c>
      <c r="H165" s="336">
        <f t="shared" si="1"/>
        <v>-0.006000341097</v>
      </c>
      <c r="I165" s="336"/>
      <c r="J165" s="336"/>
      <c r="K165" s="348"/>
      <c r="L165" s="312"/>
      <c r="M165" s="312"/>
      <c r="N165" s="340">
        <v>45624.0</v>
      </c>
      <c r="O165" s="341">
        <v>30.943</v>
      </c>
      <c r="P165" s="341">
        <v>30.943</v>
      </c>
      <c r="Q165" s="341">
        <v>30.943</v>
      </c>
      <c r="R165" s="341">
        <v>30.943</v>
      </c>
      <c r="S165" s="335" t="s">
        <v>238</v>
      </c>
      <c r="T165" s="336">
        <f t="shared" si="2"/>
        <v>0.001261176942</v>
      </c>
      <c r="U165" s="336"/>
      <c r="V165" s="336"/>
      <c r="W165" s="348"/>
      <c r="X165" s="312"/>
      <c r="Y165" s="312"/>
      <c r="Z165" s="363">
        <v>45624.0</v>
      </c>
      <c r="AA165" s="341">
        <v>2030.775</v>
      </c>
      <c r="AB165" s="341">
        <v>2030.775</v>
      </c>
      <c r="AC165" s="341">
        <v>2030.775</v>
      </c>
      <c r="AD165" s="341">
        <v>2030.775</v>
      </c>
      <c r="AE165" s="335" t="s">
        <v>238</v>
      </c>
      <c r="AF165" s="336">
        <f t="shared" si="3"/>
        <v>-0.01184667545</v>
      </c>
      <c r="AG165" s="336"/>
      <c r="AH165" s="336"/>
      <c r="AI165" s="348"/>
      <c r="AJ165" s="312"/>
      <c r="AK165" s="312"/>
      <c r="AL165" s="353">
        <v>45624.0</v>
      </c>
      <c r="AM165" s="343">
        <v>22.259</v>
      </c>
      <c r="AN165" s="343">
        <v>22.259</v>
      </c>
      <c r="AO165" s="343">
        <v>22.259</v>
      </c>
      <c r="AP165" s="343">
        <v>22.259</v>
      </c>
      <c r="AQ165" s="335" t="s">
        <v>238</v>
      </c>
      <c r="AR165" s="336">
        <f t="shared" si="4"/>
        <v>-0.00004492463893</v>
      </c>
      <c r="AS165" s="336"/>
      <c r="AT165" s="336"/>
      <c r="AU165" s="348"/>
      <c r="AV165" s="312"/>
      <c r="AW165" s="312"/>
      <c r="AX165" s="312"/>
      <c r="AY165" s="312"/>
      <c r="AZ165" s="312"/>
      <c r="BA165" s="312"/>
      <c r="BB165" s="312"/>
      <c r="BC165" s="312"/>
      <c r="BD165" s="316"/>
      <c r="BE165" s="316"/>
      <c r="BF165" s="316"/>
      <c r="BG165" s="316"/>
      <c r="BH165" s="316"/>
      <c r="BI165" s="316"/>
      <c r="BJ165" s="316"/>
      <c r="BK165" s="316"/>
      <c r="BL165" s="316"/>
      <c r="BM165" s="316"/>
      <c r="BN165" s="316"/>
      <c r="BO165" s="316"/>
      <c r="BP165" s="316"/>
      <c r="BQ165" s="316"/>
      <c r="BR165" s="316"/>
      <c r="BS165" s="316"/>
      <c r="BT165" s="316"/>
      <c r="BU165" s="316"/>
      <c r="BV165" s="316"/>
      <c r="BW165" s="316"/>
      <c r="BX165" s="316"/>
      <c r="BY165" s="316"/>
      <c r="BZ165" s="316"/>
      <c r="CA165" s="316"/>
      <c r="CB165" s="316"/>
      <c r="CC165" s="316"/>
      <c r="CD165" s="316"/>
    </row>
    <row r="166" ht="15.75" customHeight="1">
      <c r="A166" s="308"/>
      <c r="B166" s="362">
        <v>45625.0</v>
      </c>
      <c r="C166" s="335">
        <v>86.764</v>
      </c>
      <c r="D166" s="335">
        <v>86.764</v>
      </c>
      <c r="E166" s="335">
        <v>86.764</v>
      </c>
      <c r="F166" s="335">
        <v>86.764</v>
      </c>
      <c r="G166" s="335" t="s">
        <v>238</v>
      </c>
      <c r="H166" s="336">
        <f t="shared" si="1"/>
        <v>0.004180965401</v>
      </c>
      <c r="I166" s="336"/>
      <c r="J166" s="336"/>
      <c r="K166" s="348"/>
      <c r="L166" s="312"/>
      <c r="M166" s="312"/>
      <c r="N166" s="340">
        <v>45625.0</v>
      </c>
      <c r="O166" s="341">
        <v>31.063</v>
      </c>
      <c r="P166" s="341">
        <v>31.063</v>
      </c>
      <c r="Q166" s="341">
        <v>31.063</v>
      </c>
      <c r="R166" s="341">
        <v>31.063</v>
      </c>
      <c r="S166" s="335" t="s">
        <v>238</v>
      </c>
      <c r="T166" s="336">
        <f t="shared" si="2"/>
        <v>0.003870598001</v>
      </c>
      <c r="U166" s="336"/>
      <c r="V166" s="336"/>
      <c r="W166" s="348"/>
      <c r="X166" s="312"/>
      <c r="Y166" s="312"/>
      <c r="Z166" s="363">
        <v>45625.0</v>
      </c>
      <c r="AA166" s="341">
        <v>2051.038</v>
      </c>
      <c r="AB166" s="341">
        <v>2051.038</v>
      </c>
      <c r="AC166" s="341">
        <v>2051.038</v>
      </c>
      <c r="AD166" s="341">
        <v>2051.038</v>
      </c>
      <c r="AE166" s="335" t="s">
        <v>238</v>
      </c>
      <c r="AF166" s="336">
        <f t="shared" si="3"/>
        <v>0.00992851287</v>
      </c>
      <c r="AG166" s="336"/>
      <c r="AH166" s="336"/>
      <c r="AI166" s="348"/>
      <c r="AJ166" s="312"/>
      <c r="AK166" s="312"/>
      <c r="AL166" s="353">
        <v>45625.0</v>
      </c>
      <c r="AM166" s="343">
        <v>22.299</v>
      </c>
      <c r="AN166" s="343">
        <v>22.299</v>
      </c>
      <c r="AO166" s="343">
        <v>22.299</v>
      </c>
      <c r="AP166" s="343">
        <v>22.299</v>
      </c>
      <c r="AQ166" s="335" t="s">
        <v>238</v>
      </c>
      <c r="AR166" s="336">
        <f t="shared" si="4"/>
        <v>0.001795413203</v>
      </c>
      <c r="AS166" s="336"/>
      <c r="AT166" s="336"/>
      <c r="AU166" s="348"/>
      <c r="AV166" s="312"/>
      <c r="AW166" s="312"/>
      <c r="AX166" s="312"/>
      <c r="AY166" s="312"/>
      <c r="AZ166" s="312"/>
      <c r="BA166" s="312"/>
      <c r="BB166" s="312"/>
      <c r="BC166" s="312"/>
      <c r="BD166" s="316"/>
      <c r="BE166" s="316"/>
      <c r="BF166" s="316"/>
      <c r="BG166" s="316"/>
      <c r="BH166" s="316"/>
      <c r="BI166" s="316"/>
      <c r="BJ166" s="316"/>
      <c r="BK166" s="316"/>
      <c r="BL166" s="316"/>
      <c r="BM166" s="316"/>
      <c r="BN166" s="316"/>
      <c r="BO166" s="316"/>
      <c r="BP166" s="316"/>
      <c r="BQ166" s="316"/>
      <c r="BR166" s="316"/>
      <c r="BS166" s="316"/>
      <c r="BT166" s="316"/>
      <c r="BU166" s="316"/>
      <c r="BV166" s="316"/>
      <c r="BW166" s="316"/>
      <c r="BX166" s="316"/>
      <c r="BY166" s="316"/>
      <c r="BZ166" s="316"/>
      <c r="CA166" s="316"/>
      <c r="CB166" s="316"/>
      <c r="CC166" s="316"/>
      <c r="CD166" s="316"/>
    </row>
    <row r="167" ht="15.75" customHeight="1">
      <c r="A167" s="308"/>
      <c r="B167" s="362">
        <v>45628.0</v>
      </c>
      <c r="C167" s="335">
        <v>87.284</v>
      </c>
      <c r="D167" s="335">
        <v>87.284</v>
      </c>
      <c r="E167" s="335">
        <v>87.284</v>
      </c>
      <c r="F167" s="335">
        <v>87.284</v>
      </c>
      <c r="G167" s="335" t="s">
        <v>238</v>
      </c>
      <c r="H167" s="336">
        <f t="shared" si="1"/>
        <v>0.005975380897</v>
      </c>
      <c r="I167" s="336"/>
      <c r="J167" s="336"/>
      <c r="K167" s="348"/>
      <c r="L167" s="312"/>
      <c r="M167" s="312"/>
      <c r="N167" s="363">
        <v>45628.0</v>
      </c>
      <c r="O167" s="341">
        <v>30.807</v>
      </c>
      <c r="P167" s="341">
        <v>30.807</v>
      </c>
      <c r="Q167" s="341">
        <v>30.807</v>
      </c>
      <c r="R167" s="341">
        <v>30.807</v>
      </c>
      <c r="S167" s="335" t="s">
        <v>238</v>
      </c>
      <c r="T167" s="336">
        <f t="shared" si="2"/>
        <v>-0.008275463423</v>
      </c>
      <c r="U167" s="336"/>
      <c r="V167" s="336"/>
      <c r="W167" s="348"/>
      <c r="X167" s="312"/>
      <c r="Y167" s="312"/>
      <c r="Z167" s="363">
        <v>45628.0</v>
      </c>
      <c r="AA167" s="341">
        <v>2059.328</v>
      </c>
      <c r="AB167" s="341">
        <v>2059.328</v>
      </c>
      <c r="AC167" s="341">
        <v>2059.328</v>
      </c>
      <c r="AD167" s="341">
        <v>2059.328</v>
      </c>
      <c r="AE167" s="335" t="s">
        <v>238</v>
      </c>
      <c r="AF167" s="336">
        <f t="shared" si="3"/>
        <v>0.004033709524</v>
      </c>
      <c r="AG167" s="336"/>
      <c r="AH167" s="336"/>
      <c r="AI167" s="348"/>
      <c r="AJ167" s="312"/>
      <c r="AK167" s="312"/>
      <c r="AL167" s="342">
        <v>45628.0</v>
      </c>
      <c r="AM167" s="343">
        <v>22.324</v>
      </c>
      <c r="AN167" s="343">
        <v>22.324</v>
      </c>
      <c r="AO167" s="343">
        <v>22.324</v>
      </c>
      <c r="AP167" s="343">
        <v>22.324</v>
      </c>
      <c r="AQ167" s="335" t="s">
        <v>238</v>
      </c>
      <c r="AR167" s="336">
        <f t="shared" si="4"/>
        <v>0.001120498515</v>
      </c>
      <c r="AS167" s="336"/>
      <c r="AT167" s="336"/>
      <c r="AU167" s="348"/>
      <c r="AV167" s="312"/>
      <c r="AW167" s="312"/>
      <c r="AX167" s="312"/>
      <c r="AY167" s="312"/>
      <c r="AZ167" s="312"/>
      <c r="BA167" s="312"/>
      <c r="BB167" s="312"/>
      <c r="BC167" s="312"/>
      <c r="BD167" s="316"/>
      <c r="BE167" s="316"/>
      <c r="BF167" s="316"/>
      <c r="BG167" s="316"/>
      <c r="BH167" s="316"/>
      <c r="BI167" s="316"/>
      <c r="BJ167" s="316"/>
      <c r="BK167" s="316"/>
      <c r="BL167" s="316"/>
      <c r="BM167" s="316"/>
      <c r="BN167" s="316"/>
      <c r="BO167" s="316"/>
      <c r="BP167" s="316"/>
      <c r="BQ167" s="316"/>
      <c r="BR167" s="316"/>
      <c r="BS167" s="316"/>
      <c r="BT167" s="316"/>
      <c r="BU167" s="316"/>
      <c r="BV167" s="316"/>
      <c r="BW167" s="316"/>
      <c r="BX167" s="316"/>
      <c r="BY167" s="316"/>
      <c r="BZ167" s="316"/>
      <c r="CA167" s="316"/>
      <c r="CB167" s="316"/>
      <c r="CC167" s="316"/>
      <c r="CD167" s="316"/>
    </row>
    <row r="168" ht="15.75" customHeight="1">
      <c r="A168" s="308"/>
      <c r="B168" s="362">
        <v>45629.0</v>
      </c>
      <c r="C168" s="335">
        <v>87.809</v>
      </c>
      <c r="D168" s="335">
        <v>87.809</v>
      </c>
      <c r="E168" s="335">
        <v>87.809</v>
      </c>
      <c r="F168" s="335">
        <v>87.809</v>
      </c>
      <c r="G168" s="335" t="s">
        <v>238</v>
      </c>
      <c r="H168" s="336">
        <f t="shared" si="1"/>
        <v>0.005996831094</v>
      </c>
      <c r="I168" s="336"/>
      <c r="J168" s="336"/>
      <c r="K168" s="348"/>
      <c r="L168" s="312"/>
      <c r="M168" s="312"/>
      <c r="N168" s="363">
        <v>45629.0</v>
      </c>
      <c r="O168" s="341">
        <v>30.952</v>
      </c>
      <c r="P168" s="341">
        <v>30.952</v>
      </c>
      <c r="Q168" s="341">
        <v>30.952</v>
      </c>
      <c r="R168" s="341">
        <v>30.952</v>
      </c>
      <c r="S168" s="335" t="s">
        <v>238</v>
      </c>
      <c r="T168" s="336">
        <f t="shared" si="2"/>
        <v>0.004695680514</v>
      </c>
      <c r="U168" s="336"/>
      <c r="V168" s="336"/>
      <c r="W168" s="348"/>
      <c r="X168" s="312"/>
      <c r="Y168" s="312"/>
      <c r="Z168" s="363">
        <v>45629.0</v>
      </c>
      <c r="AA168" s="341">
        <v>2070.621</v>
      </c>
      <c r="AB168" s="341">
        <v>2070.621</v>
      </c>
      <c r="AC168" s="341">
        <v>2070.621</v>
      </c>
      <c r="AD168" s="341">
        <v>2070.621</v>
      </c>
      <c r="AE168" s="335" t="s">
        <v>238</v>
      </c>
      <c r="AF168" s="336">
        <f t="shared" si="3"/>
        <v>0.005468846296</v>
      </c>
      <c r="AG168" s="336"/>
      <c r="AH168" s="336"/>
      <c r="AI168" s="348"/>
      <c r="AJ168" s="312"/>
      <c r="AK168" s="312"/>
      <c r="AL168" s="342">
        <v>45629.0</v>
      </c>
      <c r="AM168" s="343">
        <v>22.323</v>
      </c>
      <c r="AN168" s="343">
        <v>22.323</v>
      </c>
      <c r="AO168" s="343">
        <v>22.323</v>
      </c>
      <c r="AP168" s="343">
        <v>22.323</v>
      </c>
      <c r="AQ168" s="335" t="s">
        <v>238</v>
      </c>
      <c r="AR168" s="336">
        <f t="shared" si="4"/>
        <v>-0.00004479584295</v>
      </c>
      <c r="AS168" s="336"/>
      <c r="AT168" s="336"/>
      <c r="AU168" s="348"/>
      <c r="AV168" s="312"/>
      <c r="AW168" s="312"/>
      <c r="AX168" s="312"/>
      <c r="AY168" s="312"/>
      <c r="AZ168" s="312"/>
      <c r="BA168" s="312"/>
      <c r="BB168" s="312"/>
      <c r="BC168" s="312"/>
      <c r="BD168" s="316"/>
      <c r="BE168" s="316"/>
      <c r="BF168" s="316"/>
      <c r="BG168" s="316"/>
      <c r="BH168" s="316"/>
      <c r="BI168" s="316"/>
      <c r="BJ168" s="316"/>
      <c r="BK168" s="316"/>
      <c r="BL168" s="316"/>
      <c r="BM168" s="316"/>
      <c r="BN168" s="316"/>
      <c r="BO168" s="316"/>
      <c r="BP168" s="316"/>
      <c r="BQ168" s="316"/>
      <c r="BR168" s="316"/>
      <c r="BS168" s="316"/>
      <c r="BT168" s="316"/>
      <c r="BU168" s="316"/>
      <c r="BV168" s="316"/>
      <c r="BW168" s="316"/>
      <c r="BX168" s="316"/>
      <c r="BY168" s="316"/>
      <c r="BZ168" s="316"/>
      <c r="CA168" s="316"/>
      <c r="CB168" s="316"/>
      <c r="CC168" s="316"/>
      <c r="CD168" s="316"/>
    </row>
    <row r="169" ht="15.75" customHeight="1">
      <c r="A169" s="308"/>
      <c r="B169" s="362">
        <v>45630.0</v>
      </c>
      <c r="C169" s="335">
        <v>87.856</v>
      </c>
      <c r="D169" s="335">
        <v>87.856</v>
      </c>
      <c r="E169" s="335">
        <v>87.856</v>
      </c>
      <c r="F169" s="335">
        <v>87.856</v>
      </c>
      <c r="G169" s="335" t="s">
        <v>238</v>
      </c>
      <c r="H169" s="336">
        <f t="shared" si="1"/>
        <v>0.000535109454</v>
      </c>
      <c r="I169" s="336"/>
      <c r="J169" s="336"/>
      <c r="K169" s="348"/>
      <c r="L169" s="312"/>
      <c r="M169" s="312"/>
      <c r="N169" s="363">
        <v>45630.0</v>
      </c>
      <c r="O169" s="341">
        <v>30.927</v>
      </c>
      <c r="P169" s="341">
        <v>30.927</v>
      </c>
      <c r="Q169" s="341">
        <v>30.927</v>
      </c>
      <c r="R169" s="341">
        <v>30.927</v>
      </c>
      <c r="S169" s="335" t="s">
        <v>238</v>
      </c>
      <c r="T169" s="336">
        <f t="shared" si="2"/>
        <v>-0.0008080286159</v>
      </c>
      <c r="U169" s="336"/>
      <c r="V169" s="336"/>
      <c r="W169" s="348"/>
      <c r="X169" s="312"/>
      <c r="Y169" s="312"/>
      <c r="Z169" s="363">
        <v>45630.0</v>
      </c>
      <c r="AA169" s="341">
        <v>2072.513</v>
      </c>
      <c r="AB169" s="341">
        <v>2072.513</v>
      </c>
      <c r="AC169" s="341">
        <v>2072.513</v>
      </c>
      <c r="AD169" s="341">
        <v>2072.513</v>
      </c>
      <c r="AE169" s="335" t="s">
        <v>238</v>
      </c>
      <c r="AF169" s="336">
        <f t="shared" si="3"/>
        <v>0.000913318339</v>
      </c>
      <c r="AG169" s="336"/>
      <c r="AH169" s="336"/>
      <c r="AI169" s="348"/>
      <c r="AJ169" s="312"/>
      <c r="AK169" s="312"/>
      <c r="AL169" s="342">
        <v>45630.0</v>
      </c>
      <c r="AM169" s="343">
        <v>22.341</v>
      </c>
      <c r="AN169" s="343">
        <v>22.341</v>
      </c>
      <c r="AO169" s="343">
        <v>22.341</v>
      </c>
      <c r="AP169" s="343">
        <v>22.341</v>
      </c>
      <c r="AQ169" s="335" t="s">
        <v>238</v>
      </c>
      <c r="AR169" s="336">
        <f t="shared" si="4"/>
        <v>0.0008060183134</v>
      </c>
      <c r="AS169" s="336"/>
      <c r="AT169" s="336"/>
      <c r="AU169" s="348"/>
      <c r="AV169" s="312"/>
      <c r="AW169" s="312"/>
      <c r="AX169" s="312"/>
      <c r="AY169" s="312"/>
      <c r="AZ169" s="312"/>
      <c r="BA169" s="312"/>
      <c r="BB169" s="312"/>
      <c r="BC169" s="312"/>
      <c r="BD169" s="316"/>
      <c r="BE169" s="316"/>
      <c r="BF169" s="316"/>
      <c r="BG169" s="316"/>
      <c r="BH169" s="316"/>
      <c r="BI169" s="316"/>
      <c r="BJ169" s="316"/>
      <c r="BK169" s="316"/>
      <c r="BL169" s="316"/>
      <c r="BM169" s="316"/>
      <c r="BN169" s="316"/>
      <c r="BO169" s="316"/>
      <c r="BP169" s="316"/>
      <c r="BQ169" s="316"/>
      <c r="BR169" s="316"/>
      <c r="BS169" s="316"/>
      <c r="BT169" s="316"/>
      <c r="BU169" s="316"/>
      <c r="BV169" s="316"/>
      <c r="BW169" s="316"/>
      <c r="BX169" s="316"/>
      <c r="BY169" s="316"/>
      <c r="BZ169" s="316"/>
      <c r="CA169" s="316"/>
      <c r="CB169" s="316"/>
      <c r="CC169" s="316"/>
      <c r="CD169" s="316"/>
    </row>
    <row r="170" ht="15.75" customHeight="1">
      <c r="A170" s="308"/>
      <c r="B170" s="362">
        <v>45631.0</v>
      </c>
      <c r="C170" s="335">
        <v>88.384</v>
      </c>
      <c r="D170" s="335">
        <v>88.384</v>
      </c>
      <c r="E170" s="335">
        <v>88.384</v>
      </c>
      <c r="F170" s="335">
        <v>88.384</v>
      </c>
      <c r="G170" s="335" t="s">
        <v>238</v>
      </c>
      <c r="H170" s="336">
        <f t="shared" si="1"/>
        <v>0.00599184725</v>
      </c>
      <c r="I170" s="336"/>
      <c r="J170" s="336"/>
      <c r="K170" s="348"/>
      <c r="L170" s="312"/>
      <c r="M170" s="312"/>
      <c r="N170" s="363">
        <v>45631.0</v>
      </c>
      <c r="O170" s="341">
        <v>30.951</v>
      </c>
      <c r="P170" s="341">
        <v>30.951</v>
      </c>
      <c r="Q170" s="341">
        <v>30.951</v>
      </c>
      <c r="R170" s="341">
        <v>30.951</v>
      </c>
      <c r="S170" s="335" t="s">
        <v>238</v>
      </c>
      <c r="T170" s="336">
        <f t="shared" si="2"/>
        <v>0.000775720004</v>
      </c>
      <c r="U170" s="336"/>
      <c r="V170" s="336"/>
      <c r="W170" s="348"/>
      <c r="X170" s="312"/>
      <c r="Y170" s="312"/>
      <c r="Z170" s="363">
        <v>45631.0</v>
      </c>
      <c r="AA170" s="341">
        <v>2086.614</v>
      </c>
      <c r="AB170" s="341">
        <v>2086.614</v>
      </c>
      <c r="AC170" s="341">
        <v>2086.614</v>
      </c>
      <c r="AD170" s="341">
        <v>2086.614</v>
      </c>
      <c r="AE170" s="335" t="s">
        <v>238</v>
      </c>
      <c r="AF170" s="336">
        <f t="shared" si="3"/>
        <v>0.006780775884</v>
      </c>
      <c r="AG170" s="336"/>
      <c r="AH170" s="336"/>
      <c r="AI170" s="348"/>
      <c r="AJ170" s="312"/>
      <c r="AK170" s="312"/>
      <c r="AL170" s="342">
        <v>45631.0</v>
      </c>
      <c r="AM170" s="343">
        <v>22.34</v>
      </c>
      <c r="AN170" s="343">
        <v>22.34</v>
      </c>
      <c r="AO170" s="343">
        <v>22.34</v>
      </c>
      <c r="AP170" s="343">
        <v>22.34</v>
      </c>
      <c r="AQ170" s="335" t="s">
        <v>238</v>
      </c>
      <c r="AR170" s="336">
        <f t="shared" si="4"/>
        <v>-0.00004476175556</v>
      </c>
      <c r="AS170" s="336"/>
      <c r="AT170" s="336"/>
      <c r="AU170" s="348"/>
      <c r="AV170" s="312"/>
      <c r="AW170" s="312"/>
      <c r="AX170" s="312"/>
      <c r="AY170" s="312"/>
      <c r="AZ170" s="312"/>
      <c r="BA170" s="312"/>
      <c r="BB170" s="312"/>
      <c r="BC170" s="312"/>
      <c r="BD170" s="316"/>
      <c r="BE170" s="316"/>
      <c r="BF170" s="316"/>
      <c r="BG170" s="316"/>
      <c r="BH170" s="316"/>
      <c r="BI170" s="316"/>
      <c r="BJ170" s="316"/>
      <c r="BK170" s="316"/>
      <c r="BL170" s="316"/>
      <c r="BM170" s="316"/>
      <c r="BN170" s="316"/>
      <c r="BO170" s="316"/>
      <c r="BP170" s="316"/>
      <c r="BQ170" s="316"/>
      <c r="BR170" s="316"/>
      <c r="BS170" s="316"/>
      <c r="BT170" s="316"/>
      <c r="BU170" s="316"/>
      <c r="BV170" s="316"/>
      <c r="BW170" s="316"/>
      <c r="BX170" s="316"/>
      <c r="BY170" s="316"/>
      <c r="BZ170" s="316"/>
      <c r="CA170" s="316"/>
      <c r="CB170" s="316"/>
      <c r="CC170" s="316"/>
      <c r="CD170" s="316"/>
    </row>
    <row r="171" ht="15.75" customHeight="1">
      <c r="A171" s="308"/>
      <c r="B171" s="334">
        <v>45632.0</v>
      </c>
      <c r="C171" s="335">
        <v>88.689</v>
      </c>
      <c r="D171" s="335">
        <v>88.689</v>
      </c>
      <c r="E171" s="335">
        <v>88.689</v>
      </c>
      <c r="F171" s="335">
        <v>88.689</v>
      </c>
      <c r="G171" s="335" t="s">
        <v>238</v>
      </c>
      <c r="H171" s="336">
        <f t="shared" si="1"/>
        <v>0.00344491031</v>
      </c>
      <c r="I171" s="336"/>
      <c r="J171" s="336"/>
      <c r="K171" s="348"/>
      <c r="L171" s="312"/>
      <c r="M171" s="312"/>
      <c r="N171" s="363">
        <v>45632.0</v>
      </c>
      <c r="O171" s="341">
        <v>30.918</v>
      </c>
      <c r="P171" s="341">
        <v>30.918</v>
      </c>
      <c r="Q171" s="341">
        <v>30.918</v>
      </c>
      <c r="R171" s="341">
        <v>30.918</v>
      </c>
      <c r="S171" s="335" t="s">
        <v>238</v>
      </c>
      <c r="T171" s="336">
        <f t="shared" si="2"/>
        <v>-0.001066770212</v>
      </c>
      <c r="U171" s="336"/>
      <c r="V171" s="336"/>
      <c r="W171" s="348"/>
      <c r="X171" s="312"/>
      <c r="Y171" s="312"/>
      <c r="Z171" s="340">
        <v>45632.0</v>
      </c>
      <c r="AA171" s="341">
        <v>2087.05</v>
      </c>
      <c r="AB171" s="341">
        <v>2087.05</v>
      </c>
      <c r="AC171" s="341">
        <v>2087.05</v>
      </c>
      <c r="AD171" s="341">
        <v>2087.05</v>
      </c>
      <c r="AE171" s="335" t="s">
        <v>238</v>
      </c>
      <c r="AF171" s="336">
        <f t="shared" si="3"/>
        <v>0.0002089291335</v>
      </c>
      <c r="AG171" s="336"/>
      <c r="AH171" s="336"/>
      <c r="AI171" s="348"/>
      <c r="AJ171" s="312"/>
      <c r="AK171" s="312"/>
      <c r="AL171" s="342">
        <v>45632.0</v>
      </c>
      <c r="AM171" s="343">
        <v>22.314</v>
      </c>
      <c r="AN171" s="343">
        <v>22.314</v>
      </c>
      <c r="AO171" s="343">
        <v>22.314</v>
      </c>
      <c r="AP171" s="343">
        <v>22.314</v>
      </c>
      <c r="AQ171" s="335" t="s">
        <v>238</v>
      </c>
      <c r="AR171" s="336">
        <f t="shared" si="4"/>
        <v>-0.00116450947</v>
      </c>
      <c r="AS171" s="336"/>
      <c r="AT171" s="336"/>
      <c r="AU171" s="348"/>
      <c r="AV171" s="312"/>
      <c r="AW171" s="312"/>
      <c r="AX171" s="312"/>
      <c r="AY171" s="312"/>
      <c r="AZ171" s="312"/>
      <c r="BA171" s="312"/>
      <c r="BB171" s="312"/>
      <c r="BC171" s="312"/>
      <c r="BD171" s="316"/>
      <c r="BE171" s="316"/>
      <c r="BF171" s="316"/>
      <c r="BG171" s="316"/>
      <c r="BH171" s="316"/>
      <c r="BI171" s="316"/>
      <c r="BJ171" s="316"/>
      <c r="BK171" s="316"/>
      <c r="BL171" s="316"/>
      <c r="BM171" s="316"/>
      <c r="BN171" s="316"/>
      <c r="BO171" s="316"/>
      <c r="BP171" s="316"/>
      <c r="BQ171" s="316"/>
      <c r="BR171" s="316"/>
      <c r="BS171" s="316"/>
      <c r="BT171" s="316"/>
      <c r="BU171" s="316"/>
      <c r="BV171" s="316"/>
      <c r="BW171" s="316"/>
      <c r="BX171" s="316"/>
      <c r="BY171" s="316"/>
      <c r="BZ171" s="316"/>
      <c r="CA171" s="316"/>
      <c r="CB171" s="316"/>
      <c r="CC171" s="316"/>
      <c r="CD171" s="316"/>
    </row>
    <row r="172" ht="15.75" customHeight="1">
      <c r="A172" s="308"/>
      <c r="B172" s="334">
        <v>45635.0</v>
      </c>
      <c r="C172" s="335">
        <v>88.798</v>
      </c>
      <c r="D172" s="335">
        <v>88.798</v>
      </c>
      <c r="E172" s="335">
        <v>88.798</v>
      </c>
      <c r="F172" s="335">
        <v>88.798</v>
      </c>
      <c r="G172" s="335" t="s">
        <v>238</v>
      </c>
      <c r="H172" s="336">
        <f t="shared" si="1"/>
        <v>0.001228259125</v>
      </c>
      <c r="I172" s="336"/>
      <c r="J172" s="336"/>
      <c r="K172" s="348"/>
      <c r="L172" s="312"/>
      <c r="M172" s="312"/>
      <c r="N172" s="363">
        <v>45635.0</v>
      </c>
      <c r="O172" s="341">
        <v>31.062</v>
      </c>
      <c r="P172" s="341">
        <v>31.062</v>
      </c>
      <c r="Q172" s="341">
        <v>31.062</v>
      </c>
      <c r="R172" s="341">
        <v>31.062</v>
      </c>
      <c r="S172" s="335" t="s">
        <v>238</v>
      </c>
      <c r="T172" s="336">
        <f t="shared" si="2"/>
        <v>0.004646668574</v>
      </c>
      <c r="U172" s="336"/>
      <c r="V172" s="336"/>
      <c r="W172" s="348"/>
      <c r="X172" s="312"/>
      <c r="Y172" s="312"/>
      <c r="Z172" s="340">
        <v>45635.0</v>
      </c>
      <c r="AA172" s="341">
        <v>2082.955</v>
      </c>
      <c r="AB172" s="341">
        <v>2082.955</v>
      </c>
      <c r="AC172" s="341">
        <v>2082.955</v>
      </c>
      <c r="AD172" s="341">
        <v>2082.955</v>
      </c>
      <c r="AE172" s="335" t="s">
        <v>238</v>
      </c>
      <c r="AF172" s="336">
        <f t="shared" si="3"/>
        <v>-0.001964027053</v>
      </c>
      <c r="AG172" s="336"/>
      <c r="AH172" s="336"/>
      <c r="AI172" s="348"/>
      <c r="AJ172" s="312"/>
      <c r="AK172" s="312"/>
      <c r="AL172" s="342">
        <v>45635.0</v>
      </c>
      <c r="AM172" s="343">
        <v>22.339</v>
      </c>
      <c r="AN172" s="343">
        <v>22.339</v>
      </c>
      <c r="AO172" s="343">
        <v>22.339</v>
      </c>
      <c r="AP172" s="343">
        <v>22.339</v>
      </c>
      <c r="AQ172" s="335" t="s">
        <v>238</v>
      </c>
      <c r="AR172" s="336">
        <f t="shared" si="4"/>
        <v>0.001119745711</v>
      </c>
      <c r="AS172" s="336"/>
      <c r="AT172" s="336"/>
      <c r="AU172" s="348"/>
      <c r="AV172" s="312"/>
      <c r="AW172" s="312"/>
      <c r="AX172" s="312"/>
      <c r="AY172" s="312"/>
      <c r="AZ172" s="312"/>
      <c r="BA172" s="312"/>
      <c r="BB172" s="312"/>
      <c r="BC172" s="312"/>
      <c r="BD172" s="316"/>
      <c r="BE172" s="316"/>
      <c r="BF172" s="316"/>
      <c r="BG172" s="316"/>
      <c r="BH172" s="316"/>
      <c r="BI172" s="316"/>
      <c r="BJ172" s="316"/>
      <c r="BK172" s="316"/>
      <c r="BL172" s="316"/>
      <c r="BM172" s="316"/>
      <c r="BN172" s="316"/>
      <c r="BO172" s="316"/>
      <c r="BP172" s="316"/>
      <c r="BQ172" s="316"/>
      <c r="BR172" s="316"/>
      <c r="BS172" s="316"/>
      <c r="BT172" s="316"/>
      <c r="BU172" s="316"/>
      <c r="BV172" s="316"/>
      <c r="BW172" s="316"/>
      <c r="BX172" s="316"/>
      <c r="BY172" s="316"/>
      <c r="BZ172" s="316"/>
      <c r="CA172" s="316"/>
      <c r="CB172" s="316"/>
      <c r="CC172" s="316"/>
      <c r="CD172" s="316"/>
    </row>
    <row r="173" ht="15.75" customHeight="1">
      <c r="A173" s="308"/>
      <c r="B173" s="334">
        <v>45636.0</v>
      </c>
      <c r="C173" s="335">
        <v>88.975</v>
      </c>
      <c r="D173" s="335">
        <v>88.975</v>
      </c>
      <c r="E173" s="335">
        <v>88.975</v>
      </c>
      <c r="F173" s="335">
        <v>88.975</v>
      </c>
      <c r="G173" s="335" t="s">
        <v>238</v>
      </c>
      <c r="H173" s="336">
        <f t="shared" si="1"/>
        <v>0.001991304174</v>
      </c>
      <c r="I173" s="336"/>
      <c r="J173" s="336"/>
      <c r="K173" s="348"/>
      <c r="L173" s="312"/>
      <c r="M173" s="312"/>
      <c r="N173" s="363">
        <v>45636.0</v>
      </c>
      <c r="O173" s="341">
        <v>31.246</v>
      </c>
      <c r="P173" s="341">
        <v>31.246</v>
      </c>
      <c r="Q173" s="341">
        <v>31.246</v>
      </c>
      <c r="R173" s="341">
        <v>31.246</v>
      </c>
      <c r="S173" s="335" t="s">
        <v>238</v>
      </c>
      <c r="T173" s="336">
        <f t="shared" si="2"/>
        <v>0.005906160842</v>
      </c>
      <c r="U173" s="336"/>
      <c r="V173" s="336"/>
      <c r="W173" s="348"/>
      <c r="X173" s="312"/>
      <c r="Y173" s="312"/>
      <c r="Z173" s="340">
        <v>45636.0</v>
      </c>
      <c r="AA173" s="341">
        <v>2084.592</v>
      </c>
      <c r="AB173" s="341">
        <v>2084.592</v>
      </c>
      <c r="AC173" s="341">
        <v>2084.592</v>
      </c>
      <c r="AD173" s="341">
        <v>2084.592</v>
      </c>
      <c r="AE173" s="335" t="s">
        <v>238</v>
      </c>
      <c r="AF173" s="336">
        <f t="shared" si="3"/>
        <v>0.0007855940601</v>
      </c>
      <c r="AG173" s="336"/>
      <c r="AH173" s="336"/>
      <c r="AI173" s="348"/>
      <c r="AJ173" s="312"/>
      <c r="AK173" s="312"/>
      <c r="AL173" s="353">
        <v>45636.0</v>
      </c>
      <c r="AM173" s="343">
        <v>22.34</v>
      </c>
      <c r="AN173" s="343">
        <v>22.34</v>
      </c>
      <c r="AO173" s="343">
        <v>22.34</v>
      </c>
      <c r="AP173" s="343">
        <v>22.34</v>
      </c>
      <c r="AQ173" s="335" t="s">
        <v>238</v>
      </c>
      <c r="AR173" s="336">
        <f t="shared" si="4"/>
        <v>0.00004476375927</v>
      </c>
      <c r="AS173" s="336"/>
      <c r="AT173" s="336"/>
      <c r="AU173" s="348"/>
      <c r="AV173" s="312"/>
      <c r="AW173" s="312"/>
      <c r="AX173" s="312"/>
      <c r="AY173" s="312"/>
      <c r="AZ173" s="312"/>
      <c r="BA173" s="312"/>
      <c r="BB173" s="312"/>
      <c r="BC173" s="312"/>
      <c r="BD173" s="316"/>
      <c r="BE173" s="316"/>
      <c r="BF173" s="316"/>
      <c r="BG173" s="316"/>
      <c r="BH173" s="316"/>
      <c r="BI173" s="316"/>
      <c r="BJ173" s="316"/>
      <c r="BK173" s="316"/>
      <c r="BL173" s="316"/>
      <c r="BM173" s="316"/>
      <c r="BN173" s="316"/>
      <c r="BO173" s="316"/>
      <c r="BP173" s="316"/>
      <c r="BQ173" s="316"/>
      <c r="BR173" s="316"/>
      <c r="BS173" s="316"/>
      <c r="BT173" s="316"/>
      <c r="BU173" s="316"/>
      <c r="BV173" s="316"/>
      <c r="BW173" s="316"/>
      <c r="BX173" s="316"/>
      <c r="BY173" s="316"/>
      <c r="BZ173" s="316"/>
      <c r="CA173" s="316"/>
      <c r="CB173" s="316"/>
      <c r="CC173" s="316"/>
      <c r="CD173" s="316"/>
    </row>
    <row r="174" ht="15.75" customHeight="1">
      <c r="A174" s="308"/>
      <c r="B174" s="334">
        <v>45637.0</v>
      </c>
      <c r="C174" s="335">
        <v>89.405</v>
      </c>
      <c r="D174" s="335">
        <v>89.405</v>
      </c>
      <c r="E174" s="335">
        <v>89.405</v>
      </c>
      <c r="F174" s="335">
        <v>89.405</v>
      </c>
      <c r="G174" s="335" t="s">
        <v>238</v>
      </c>
      <c r="H174" s="336">
        <f t="shared" si="1"/>
        <v>0.004821177631</v>
      </c>
      <c r="I174" s="336"/>
      <c r="J174" s="336"/>
      <c r="K174" s="348"/>
      <c r="L174" s="312"/>
      <c r="M174" s="312"/>
      <c r="N174" s="363">
        <v>45637.0</v>
      </c>
      <c r="O174" s="341">
        <v>31.424</v>
      </c>
      <c r="P174" s="341">
        <v>31.424</v>
      </c>
      <c r="Q174" s="341">
        <v>31.424</v>
      </c>
      <c r="R174" s="341">
        <v>31.424</v>
      </c>
      <c r="S174" s="335" t="s">
        <v>238</v>
      </c>
      <c r="T174" s="336">
        <f t="shared" si="2"/>
        <v>0.005680564182</v>
      </c>
      <c r="U174" s="336"/>
      <c r="V174" s="336"/>
      <c r="W174" s="348"/>
      <c r="X174" s="312"/>
      <c r="Y174" s="312"/>
      <c r="Z174" s="340">
        <v>45637.0</v>
      </c>
      <c r="AA174" s="341">
        <v>2083.37</v>
      </c>
      <c r="AB174" s="341">
        <v>2083.37</v>
      </c>
      <c r="AC174" s="341">
        <v>2083.37</v>
      </c>
      <c r="AD174" s="341">
        <v>2083.37</v>
      </c>
      <c r="AE174" s="335" t="s">
        <v>238</v>
      </c>
      <c r="AF174" s="336">
        <f t="shared" si="3"/>
        <v>-0.0005863777237</v>
      </c>
      <c r="AG174" s="336"/>
      <c r="AH174" s="336"/>
      <c r="AI174" s="348"/>
      <c r="AJ174" s="312"/>
      <c r="AK174" s="312"/>
      <c r="AL174" s="353">
        <v>45637.0</v>
      </c>
      <c r="AM174" s="343">
        <v>22.336</v>
      </c>
      <c r="AN174" s="343">
        <v>22.336</v>
      </c>
      <c r="AO174" s="343">
        <v>22.336</v>
      </c>
      <c r="AP174" s="343">
        <v>22.336</v>
      </c>
      <c r="AQ174" s="335" t="s">
        <v>238</v>
      </c>
      <c r="AR174" s="336">
        <f t="shared" si="4"/>
        <v>-0.0001790670611</v>
      </c>
      <c r="AS174" s="336"/>
      <c r="AT174" s="336"/>
      <c r="AU174" s="348"/>
      <c r="AV174" s="312"/>
      <c r="AW174" s="312"/>
      <c r="AX174" s="312"/>
      <c r="AY174" s="312"/>
      <c r="AZ174" s="312"/>
      <c r="BA174" s="312"/>
      <c r="BB174" s="312"/>
      <c r="BC174" s="312"/>
      <c r="BD174" s="316"/>
      <c r="BE174" s="316"/>
      <c r="BF174" s="316"/>
      <c r="BG174" s="316"/>
      <c r="BH174" s="316"/>
      <c r="BI174" s="316"/>
      <c r="BJ174" s="316"/>
      <c r="BK174" s="316"/>
      <c r="BL174" s="316"/>
      <c r="BM174" s="316"/>
      <c r="BN174" s="316"/>
      <c r="BO174" s="316"/>
      <c r="BP174" s="316"/>
      <c r="BQ174" s="316"/>
      <c r="BR174" s="316"/>
      <c r="BS174" s="316"/>
      <c r="BT174" s="316"/>
      <c r="BU174" s="316"/>
      <c r="BV174" s="316"/>
      <c r="BW174" s="316"/>
      <c r="BX174" s="316"/>
      <c r="BY174" s="316"/>
      <c r="BZ174" s="316"/>
      <c r="CA174" s="316"/>
      <c r="CB174" s="316"/>
      <c r="CC174" s="316"/>
      <c r="CD174" s="316"/>
    </row>
    <row r="175" ht="15.75" customHeight="1">
      <c r="A175" s="308"/>
      <c r="B175" s="334">
        <v>45638.0</v>
      </c>
      <c r="C175" s="335">
        <v>89.199</v>
      </c>
      <c r="D175" s="335">
        <v>89.199</v>
      </c>
      <c r="E175" s="335">
        <v>89.199</v>
      </c>
      <c r="F175" s="335">
        <v>89.199</v>
      </c>
      <c r="G175" s="335" t="s">
        <v>238</v>
      </c>
      <c r="H175" s="336">
        <f t="shared" si="1"/>
        <v>-0.002306780266</v>
      </c>
      <c r="I175" s="336"/>
      <c r="J175" s="336"/>
      <c r="K175" s="348"/>
      <c r="L175" s="312"/>
      <c r="M175" s="312"/>
      <c r="N175" s="363">
        <v>45638.0</v>
      </c>
      <c r="O175" s="341">
        <v>31.641</v>
      </c>
      <c r="P175" s="341">
        <v>31.641</v>
      </c>
      <c r="Q175" s="341">
        <v>31.641</v>
      </c>
      <c r="R175" s="341">
        <v>31.641</v>
      </c>
      <c r="S175" s="335" t="s">
        <v>238</v>
      </c>
      <c r="T175" s="336">
        <f t="shared" si="2"/>
        <v>0.006881815791</v>
      </c>
      <c r="U175" s="336"/>
      <c r="V175" s="336"/>
      <c r="W175" s="348"/>
      <c r="X175" s="312"/>
      <c r="Y175" s="312"/>
      <c r="Z175" s="340">
        <v>45638.0</v>
      </c>
      <c r="AA175" s="341">
        <v>2074.996</v>
      </c>
      <c r="AB175" s="341">
        <v>2074.996</v>
      </c>
      <c r="AC175" s="341">
        <v>2074.996</v>
      </c>
      <c r="AD175" s="341">
        <v>2074.996</v>
      </c>
      <c r="AE175" s="335" t="s">
        <v>238</v>
      </c>
      <c r="AF175" s="336">
        <f t="shared" si="3"/>
        <v>-0.004027548955</v>
      </c>
      <c r="AG175" s="336"/>
      <c r="AH175" s="336"/>
      <c r="AI175" s="348"/>
      <c r="AJ175" s="312"/>
      <c r="AK175" s="312"/>
      <c r="AL175" s="353">
        <v>45638.0</v>
      </c>
      <c r="AM175" s="343">
        <v>22.34</v>
      </c>
      <c r="AN175" s="343">
        <v>22.34</v>
      </c>
      <c r="AO175" s="343">
        <v>22.34</v>
      </c>
      <c r="AP175" s="343">
        <v>22.34</v>
      </c>
      <c r="AQ175" s="335" t="s">
        <v>238</v>
      </c>
      <c r="AR175" s="336">
        <f t="shared" si="4"/>
        <v>0.0001790670611</v>
      </c>
      <c r="AS175" s="336"/>
      <c r="AT175" s="336"/>
      <c r="AU175" s="348"/>
      <c r="AV175" s="312"/>
      <c r="AW175" s="312"/>
      <c r="AX175" s="312"/>
      <c r="AY175" s="312"/>
      <c r="AZ175" s="312"/>
      <c r="BA175" s="312"/>
      <c r="BB175" s="312"/>
      <c r="BC175" s="312"/>
      <c r="BD175" s="316"/>
      <c r="BE175" s="316"/>
      <c r="BF175" s="316"/>
      <c r="BG175" s="316"/>
      <c r="BH175" s="316"/>
      <c r="BI175" s="316"/>
      <c r="BJ175" s="316"/>
      <c r="BK175" s="316"/>
      <c r="BL175" s="316"/>
      <c r="BM175" s="316"/>
      <c r="BN175" s="316"/>
      <c r="BO175" s="316"/>
      <c r="BP175" s="316"/>
      <c r="BQ175" s="316"/>
      <c r="BR175" s="316"/>
      <c r="BS175" s="316"/>
      <c r="BT175" s="316"/>
      <c r="BU175" s="316"/>
      <c r="BV175" s="316"/>
      <c r="BW175" s="316"/>
      <c r="BX175" s="316"/>
      <c r="BY175" s="316"/>
      <c r="BZ175" s="316"/>
      <c r="CA175" s="316"/>
      <c r="CB175" s="316"/>
      <c r="CC175" s="316"/>
      <c r="CD175" s="316"/>
    </row>
    <row r="176" ht="15.75" customHeight="1">
      <c r="A176" s="308"/>
      <c r="B176" s="334">
        <v>45639.0</v>
      </c>
      <c r="C176" s="335">
        <v>89.433</v>
      </c>
      <c r="D176" s="335">
        <v>89.433</v>
      </c>
      <c r="E176" s="335">
        <v>89.433</v>
      </c>
      <c r="F176" s="335">
        <v>89.433</v>
      </c>
      <c r="G176" s="335" t="s">
        <v>238</v>
      </c>
      <c r="H176" s="336">
        <f t="shared" si="1"/>
        <v>0.002619912825</v>
      </c>
      <c r="I176" s="336"/>
      <c r="J176" s="336"/>
      <c r="K176" s="348"/>
      <c r="L176" s="312"/>
      <c r="M176" s="312"/>
      <c r="N176" s="363">
        <v>45639.0</v>
      </c>
      <c r="O176" s="341">
        <v>31.216</v>
      </c>
      <c r="P176" s="341">
        <v>31.216</v>
      </c>
      <c r="Q176" s="341">
        <v>31.216</v>
      </c>
      <c r="R176" s="341">
        <v>31.216</v>
      </c>
      <c r="S176" s="335" t="s">
        <v>238</v>
      </c>
      <c r="T176" s="336">
        <f t="shared" si="2"/>
        <v>-0.01352296408</v>
      </c>
      <c r="U176" s="336"/>
      <c r="V176" s="336"/>
      <c r="W176" s="348"/>
      <c r="X176" s="312"/>
      <c r="Y176" s="312"/>
      <c r="Z176" s="340">
        <v>45639.0</v>
      </c>
      <c r="AA176" s="341">
        <v>2087.13</v>
      </c>
      <c r="AB176" s="341">
        <v>2087.13</v>
      </c>
      <c r="AC176" s="341">
        <v>2087.13</v>
      </c>
      <c r="AD176" s="341">
        <v>2087.13</v>
      </c>
      <c r="AE176" s="335" t="s">
        <v>238</v>
      </c>
      <c r="AF176" s="336">
        <f t="shared" si="3"/>
        <v>0.005830690554</v>
      </c>
      <c r="AG176" s="336"/>
      <c r="AH176" s="336"/>
      <c r="AI176" s="348"/>
      <c r="AJ176" s="312"/>
      <c r="AK176" s="312"/>
      <c r="AL176" s="353">
        <v>45639.0</v>
      </c>
      <c r="AM176" s="343">
        <v>22.354</v>
      </c>
      <c r="AN176" s="343">
        <v>22.354</v>
      </c>
      <c r="AO176" s="343">
        <v>22.354</v>
      </c>
      <c r="AP176" s="343">
        <v>22.354</v>
      </c>
      <c r="AQ176" s="335" t="s">
        <v>238</v>
      </c>
      <c r="AR176" s="336">
        <f t="shared" si="4"/>
        <v>0.0006264823224</v>
      </c>
      <c r="AS176" s="336"/>
      <c r="AT176" s="336"/>
      <c r="AU176" s="348"/>
      <c r="AV176" s="312"/>
      <c r="AW176" s="312"/>
      <c r="AX176" s="312"/>
      <c r="AY176" s="312"/>
      <c r="AZ176" s="312"/>
      <c r="BA176" s="312"/>
      <c r="BB176" s="312"/>
      <c r="BC176" s="312"/>
      <c r="BD176" s="316"/>
      <c r="BE176" s="316"/>
      <c r="BF176" s="316"/>
      <c r="BG176" s="316"/>
      <c r="BH176" s="316"/>
      <c r="BI176" s="316"/>
      <c r="BJ176" s="316"/>
      <c r="BK176" s="316"/>
      <c r="BL176" s="316"/>
      <c r="BM176" s="316"/>
      <c r="BN176" s="316"/>
      <c r="BO176" s="316"/>
      <c r="BP176" s="316"/>
      <c r="BQ176" s="316"/>
      <c r="BR176" s="316"/>
      <c r="BS176" s="316"/>
      <c r="BT176" s="316"/>
      <c r="BU176" s="316"/>
      <c r="BV176" s="316"/>
      <c r="BW176" s="316"/>
      <c r="BX176" s="316"/>
      <c r="BY176" s="316"/>
      <c r="BZ176" s="316"/>
      <c r="CA176" s="316"/>
      <c r="CB176" s="316"/>
      <c r="CC176" s="316"/>
      <c r="CD176" s="316"/>
    </row>
    <row r="177" ht="15.75" customHeight="1">
      <c r="A177" s="308"/>
      <c r="B177" s="362">
        <v>45642.0</v>
      </c>
      <c r="C177" s="335">
        <v>89.644</v>
      </c>
      <c r="D177" s="335">
        <v>89.644</v>
      </c>
      <c r="E177" s="335">
        <v>89.644</v>
      </c>
      <c r="F177" s="335">
        <v>89.644</v>
      </c>
      <c r="G177" s="335" t="s">
        <v>238</v>
      </c>
      <c r="H177" s="336">
        <f t="shared" si="1"/>
        <v>0.002356529288</v>
      </c>
      <c r="I177" s="336"/>
      <c r="J177" s="336"/>
      <c r="K177" s="348"/>
      <c r="L177" s="312"/>
      <c r="M177" s="312"/>
      <c r="N177" s="363">
        <v>45642.0</v>
      </c>
      <c r="O177" s="341">
        <v>31.153</v>
      </c>
      <c r="P177" s="341">
        <v>31.153</v>
      </c>
      <c r="Q177" s="341">
        <v>31.153</v>
      </c>
      <c r="R177" s="341">
        <v>31.153</v>
      </c>
      <c r="S177" s="335" t="s">
        <v>238</v>
      </c>
      <c r="T177" s="336">
        <f t="shared" si="2"/>
        <v>-0.002020235098</v>
      </c>
      <c r="U177" s="336"/>
      <c r="V177" s="336"/>
      <c r="W177" s="348"/>
      <c r="X177" s="312"/>
      <c r="Y177" s="312"/>
      <c r="Z177" s="363">
        <v>45642.0</v>
      </c>
      <c r="AA177" s="341">
        <v>2086.545</v>
      </c>
      <c r="AB177" s="341">
        <v>2086.545</v>
      </c>
      <c r="AC177" s="341">
        <v>2086.545</v>
      </c>
      <c r="AD177" s="341">
        <v>2086.545</v>
      </c>
      <c r="AE177" s="335" t="s">
        <v>238</v>
      </c>
      <c r="AF177" s="336">
        <f t="shared" si="3"/>
        <v>-0.0002803284893</v>
      </c>
      <c r="AG177" s="336"/>
      <c r="AH177" s="336"/>
      <c r="AI177" s="348"/>
      <c r="AJ177" s="312"/>
      <c r="AK177" s="312"/>
      <c r="AL177" s="353">
        <v>45642.0</v>
      </c>
      <c r="AM177" s="343">
        <v>22.365</v>
      </c>
      <c r="AN177" s="343">
        <v>22.365</v>
      </c>
      <c r="AO177" s="343">
        <v>22.365</v>
      </c>
      <c r="AP177" s="343">
        <v>22.365</v>
      </c>
      <c r="AQ177" s="335" t="s">
        <v>238</v>
      </c>
      <c r="AR177" s="336">
        <f t="shared" si="4"/>
        <v>0.0004919609214</v>
      </c>
      <c r="AS177" s="336"/>
      <c r="AT177" s="336"/>
      <c r="AU177" s="348"/>
      <c r="AV177" s="312"/>
      <c r="AW177" s="312"/>
      <c r="AX177" s="312"/>
      <c r="AY177" s="312"/>
      <c r="AZ177" s="312"/>
      <c r="BA177" s="312"/>
      <c r="BB177" s="312"/>
      <c r="BC177" s="312"/>
      <c r="BD177" s="316"/>
      <c r="BE177" s="316"/>
      <c r="BF177" s="316"/>
      <c r="BG177" s="316"/>
      <c r="BH177" s="316"/>
      <c r="BI177" s="316"/>
      <c r="BJ177" s="316"/>
      <c r="BK177" s="316"/>
      <c r="BL177" s="316"/>
      <c r="BM177" s="316"/>
      <c r="BN177" s="316"/>
      <c r="BO177" s="316"/>
      <c r="BP177" s="316"/>
      <c r="BQ177" s="316"/>
      <c r="BR177" s="316"/>
      <c r="BS177" s="316"/>
      <c r="BT177" s="316"/>
      <c r="BU177" s="316"/>
      <c r="BV177" s="316"/>
      <c r="BW177" s="316"/>
      <c r="BX177" s="316"/>
      <c r="BY177" s="316"/>
      <c r="BZ177" s="316"/>
      <c r="CA177" s="316"/>
      <c r="CB177" s="316"/>
      <c r="CC177" s="316"/>
      <c r="CD177" s="316"/>
    </row>
    <row r="178" ht="15.75" customHeight="1">
      <c r="A178" s="308"/>
      <c r="B178" s="362">
        <v>45643.0</v>
      </c>
      <c r="C178" s="335">
        <v>89.139</v>
      </c>
      <c r="D178" s="335">
        <v>89.139</v>
      </c>
      <c r="E178" s="335">
        <v>89.139</v>
      </c>
      <c r="F178" s="335">
        <v>89.139</v>
      </c>
      <c r="G178" s="335" t="s">
        <v>238</v>
      </c>
      <c r="H178" s="336">
        <f t="shared" si="1"/>
        <v>-0.005649321726</v>
      </c>
      <c r="I178" s="336"/>
      <c r="J178" s="336"/>
      <c r="K178" s="348"/>
      <c r="L178" s="312"/>
      <c r="M178" s="312"/>
      <c r="N178" s="363">
        <v>45643.0</v>
      </c>
      <c r="O178" s="341">
        <v>30.969</v>
      </c>
      <c r="P178" s="341">
        <v>30.969</v>
      </c>
      <c r="Q178" s="341">
        <v>30.969</v>
      </c>
      <c r="R178" s="341">
        <v>30.969</v>
      </c>
      <c r="S178" s="335" t="s">
        <v>238</v>
      </c>
      <c r="T178" s="336">
        <f t="shared" si="2"/>
        <v>-0.005923844631</v>
      </c>
      <c r="U178" s="336"/>
      <c r="V178" s="336"/>
      <c r="W178" s="348"/>
      <c r="X178" s="312"/>
      <c r="Y178" s="312"/>
      <c r="Z178" s="363">
        <v>45643.0</v>
      </c>
      <c r="AA178" s="341">
        <v>2069.895</v>
      </c>
      <c r="AB178" s="341">
        <v>2069.895</v>
      </c>
      <c r="AC178" s="341">
        <v>2069.895</v>
      </c>
      <c r="AD178" s="341">
        <v>2069.895</v>
      </c>
      <c r="AE178" s="335" t="s">
        <v>238</v>
      </c>
      <c r="AF178" s="336">
        <f t="shared" si="3"/>
        <v>-0.008011706682</v>
      </c>
      <c r="AG178" s="336"/>
      <c r="AH178" s="336"/>
      <c r="AI178" s="348"/>
      <c r="AJ178" s="312"/>
      <c r="AK178" s="312"/>
      <c r="AL178" s="353">
        <v>45643.0</v>
      </c>
      <c r="AM178" s="343">
        <v>22.358</v>
      </c>
      <c r="AN178" s="343">
        <v>22.358</v>
      </c>
      <c r="AO178" s="343">
        <v>22.358</v>
      </c>
      <c r="AP178" s="343">
        <v>22.358</v>
      </c>
      <c r="AQ178" s="335" t="s">
        <v>238</v>
      </c>
      <c r="AR178" s="336">
        <f t="shared" si="4"/>
        <v>-0.0003130380367</v>
      </c>
      <c r="AS178" s="336"/>
      <c r="AT178" s="336"/>
      <c r="AU178" s="348"/>
      <c r="AV178" s="312"/>
      <c r="AW178" s="312"/>
      <c r="AX178" s="312"/>
      <c r="AY178" s="312"/>
      <c r="AZ178" s="312"/>
      <c r="BA178" s="312"/>
      <c r="BB178" s="312"/>
      <c r="BC178" s="312"/>
      <c r="BD178" s="316"/>
      <c r="BE178" s="316"/>
      <c r="BF178" s="316"/>
      <c r="BG178" s="316"/>
      <c r="BH178" s="316"/>
      <c r="BI178" s="316"/>
      <c r="BJ178" s="316"/>
      <c r="BK178" s="316"/>
      <c r="BL178" s="316"/>
      <c r="BM178" s="316"/>
      <c r="BN178" s="316"/>
      <c r="BO178" s="316"/>
      <c r="BP178" s="316"/>
      <c r="BQ178" s="316"/>
      <c r="BR178" s="316"/>
      <c r="BS178" s="316"/>
      <c r="BT178" s="316"/>
      <c r="BU178" s="316"/>
      <c r="BV178" s="316"/>
      <c r="BW178" s="316"/>
      <c r="BX178" s="316"/>
      <c r="BY178" s="316"/>
      <c r="BZ178" s="316"/>
      <c r="CA178" s="316"/>
      <c r="CB178" s="316"/>
      <c r="CC178" s="316"/>
      <c r="CD178" s="316"/>
    </row>
    <row r="179" ht="15.75" customHeight="1">
      <c r="A179" s="308"/>
      <c r="B179" s="362">
        <v>45644.0</v>
      </c>
      <c r="C179" s="335">
        <v>88.162</v>
      </c>
      <c r="D179" s="335">
        <v>88.162</v>
      </c>
      <c r="E179" s="335">
        <v>88.162</v>
      </c>
      <c r="F179" s="335">
        <v>88.162</v>
      </c>
      <c r="G179" s="335" t="s">
        <v>238</v>
      </c>
      <c r="H179" s="336">
        <f t="shared" si="1"/>
        <v>-0.01102091797</v>
      </c>
      <c r="I179" s="336"/>
      <c r="J179" s="336"/>
      <c r="K179" s="348"/>
      <c r="L179" s="312"/>
      <c r="M179" s="312"/>
      <c r="N179" s="363">
        <v>45644.0</v>
      </c>
      <c r="O179" s="341">
        <v>31.104</v>
      </c>
      <c r="P179" s="341">
        <v>31.104</v>
      </c>
      <c r="Q179" s="341">
        <v>31.104</v>
      </c>
      <c r="R179" s="341">
        <v>31.104</v>
      </c>
      <c r="S179" s="335" t="s">
        <v>238</v>
      </c>
      <c r="T179" s="336">
        <f t="shared" si="2"/>
        <v>0.004349724126</v>
      </c>
      <c r="U179" s="336"/>
      <c r="V179" s="336"/>
      <c r="W179" s="348"/>
      <c r="X179" s="312"/>
      <c r="Y179" s="312"/>
      <c r="Z179" s="363">
        <v>45644.0</v>
      </c>
      <c r="AA179" s="341">
        <v>2059.64</v>
      </c>
      <c r="AB179" s="341">
        <v>2059.64</v>
      </c>
      <c r="AC179" s="341">
        <v>2059.64</v>
      </c>
      <c r="AD179" s="341">
        <v>2059.64</v>
      </c>
      <c r="AE179" s="335" t="s">
        <v>238</v>
      </c>
      <c r="AF179" s="336">
        <f t="shared" si="3"/>
        <v>-0.004966671105</v>
      </c>
      <c r="AG179" s="336"/>
      <c r="AH179" s="336"/>
      <c r="AI179" s="348"/>
      <c r="AJ179" s="312"/>
      <c r="AK179" s="312"/>
      <c r="AL179" s="353">
        <v>45644.0</v>
      </c>
      <c r="AM179" s="343">
        <v>22.372</v>
      </c>
      <c r="AN179" s="343">
        <v>22.372</v>
      </c>
      <c r="AO179" s="343">
        <v>22.372</v>
      </c>
      <c r="AP179" s="343">
        <v>22.372</v>
      </c>
      <c r="AQ179" s="335" t="s">
        <v>238</v>
      </c>
      <c r="AR179" s="336">
        <f t="shared" si="4"/>
        <v>0.0006259781112</v>
      </c>
      <c r="AS179" s="336"/>
      <c r="AT179" s="336"/>
      <c r="AU179" s="348"/>
      <c r="AV179" s="312"/>
      <c r="AW179" s="312"/>
      <c r="AX179" s="312"/>
      <c r="AY179" s="312"/>
      <c r="AZ179" s="312"/>
      <c r="BA179" s="312"/>
      <c r="BB179" s="312"/>
      <c r="BC179" s="312"/>
      <c r="BD179" s="316"/>
      <c r="BE179" s="316"/>
      <c r="BF179" s="316"/>
      <c r="BG179" s="316"/>
      <c r="BH179" s="316"/>
      <c r="BI179" s="316"/>
      <c r="BJ179" s="316"/>
      <c r="BK179" s="316"/>
      <c r="BL179" s="316"/>
      <c r="BM179" s="316"/>
      <c r="BN179" s="316"/>
      <c r="BO179" s="316"/>
      <c r="BP179" s="316"/>
      <c r="BQ179" s="316"/>
      <c r="BR179" s="316"/>
      <c r="BS179" s="316"/>
      <c r="BT179" s="316"/>
      <c r="BU179" s="316"/>
      <c r="BV179" s="316"/>
      <c r="BW179" s="316"/>
      <c r="BX179" s="316"/>
      <c r="BY179" s="316"/>
      <c r="BZ179" s="316"/>
      <c r="CA179" s="316"/>
      <c r="CB179" s="316"/>
      <c r="CC179" s="316"/>
      <c r="CD179" s="316"/>
    </row>
    <row r="180" ht="15.75" customHeight="1">
      <c r="A180" s="308"/>
      <c r="B180" s="362">
        <v>45645.0</v>
      </c>
      <c r="C180" s="335">
        <v>87.95</v>
      </c>
      <c r="D180" s="335">
        <v>87.95</v>
      </c>
      <c r="E180" s="335">
        <v>87.95</v>
      </c>
      <c r="F180" s="335">
        <v>87.95</v>
      </c>
      <c r="G180" s="335" t="s">
        <v>238</v>
      </c>
      <c r="H180" s="336">
        <f t="shared" si="1"/>
        <v>-0.002407559989</v>
      </c>
      <c r="I180" s="336"/>
      <c r="J180" s="336"/>
      <c r="K180" s="348"/>
      <c r="L180" s="312"/>
      <c r="M180" s="312"/>
      <c r="N180" s="363">
        <v>45645.0</v>
      </c>
      <c r="O180" s="341">
        <v>30.815</v>
      </c>
      <c r="P180" s="341">
        <v>30.815</v>
      </c>
      <c r="Q180" s="341">
        <v>30.815</v>
      </c>
      <c r="R180" s="341">
        <v>30.815</v>
      </c>
      <c r="S180" s="335" t="s">
        <v>238</v>
      </c>
      <c r="T180" s="336">
        <f t="shared" si="2"/>
        <v>-0.009334843864</v>
      </c>
      <c r="U180" s="336"/>
      <c r="V180" s="336"/>
      <c r="W180" s="348"/>
      <c r="X180" s="312"/>
      <c r="Y180" s="312"/>
      <c r="Z180" s="363">
        <v>45645.0</v>
      </c>
      <c r="AA180" s="341">
        <v>2047.193</v>
      </c>
      <c r="AB180" s="341">
        <v>2047.193</v>
      </c>
      <c r="AC180" s="341">
        <v>2047.193</v>
      </c>
      <c r="AD180" s="341">
        <v>2047.193</v>
      </c>
      <c r="AE180" s="335" t="s">
        <v>238</v>
      </c>
      <c r="AF180" s="336">
        <f t="shared" si="3"/>
        <v>-0.006061623695</v>
      </c>
      <c r="AG180" s="336"/>
      <c r="AH180" s="336"/>
      <c r="AI180" s="348"/>
      <c r="AJ180" s="312"/>
      <c r="AK180" s="312"/>
      <c r="AL180" s="353">
        <v>45645.0</v>
      </c>
      <c r="AM180" s="343">
        <v>22.361</v>
      </c>
      <c r="AN180" s="343">
        <v>22.361</v>
      </c>
      <c r="AO180" s="343">
        <v>22.361</v>
      </c>
      <c r="AP180" s="343">
        <v>22.361</v>
      </c>
      <c r="AQ180" s="335" t="s">
        <v>238</v>
      </c>
      <c r="AR180" s="336">
        <f t="shared" si="4"/>
        <v>-0.0004918069533</v>
      </c>
      <c r="AS180" s="336"/>
      <c r="AT180" s="336"/>
      <c r="AU180" s="348"/>
      <c r="AV180" s="312"/>
      <c r="AW180" s="312"/>
      <c r="AX180" s="312"/>
      <c r="AY180" s="312"/>
      <c r="AZ180" s="312"/>
      <c r="BA180" s="312"/>
      <c r="BB180" s="312"/>
      <c r="BC180" s="312"/>
      <c r="BD180" s="316"/>
      <c r="BE180" s="316"/>
      <c r="BF180" s="316"/>
      <c r="BG180" s="316"/>
      <c r="BH180" s="316"/>
      <c r="BI180" s="316"/>
      <c r="BJ180" s="316"/>
      <c r="BK180" s="316"/>
      <c r="BL180" s="316"/>
      <c r="BM180" s="316"/>
      <c r="BN180" s="316"/>
      <c r="BO180" s="316"/>
      <c r="BP180" s="316"/>
      <c r="BQ180" s="316"/>
      <c r="BR180" s="316"/>
      <c r="BS180" s="316"/>
      <c r="BT180" s="316"/>
      <c r="BU180" s="316"/>
      <c r="BV180" s="316"/>
      <c r="BW180" s="316"/>
      <c r="BX180" s="316"/>
      <c r="BY180" s="316"/>
      <c r="BZ180" s="316"/>
      <c r="CA180" s="316"/>
      <c r="CB180" s="316"/>
      <c r="CC180" s="316"/>
      <c r="CD180" s="316"/>
    </row>
    <row r="181" ht="15.75" customHeight="1">
      <c r="A181" s="308"/>
      <c r="B181" s="362">
        <v>45646.0</v>
      </c>
      <c r="C181" s="335">
        <v>86.882</v>
      </c>
      <c r="D181" s="335">
        <v>86.882</v>
      </c>
      <c r="E181" s="335">
        <v>86.882</v>
      </c>
      <c r="F181" s="335">
        <v>86.882</v>
      </c>
      <c r="G181" s="335" t="s">
        <v>238</v>
      </c>
      <c r="H181" s="336">
        <f t="shared" si="1"/>
        <v>-0.01221759501</v>
      </c>
      <c r="I181" s="336"/>
      <c r="J181" s="336"/>
      <c r="K181" s="348"/>
      <c r="L181" s="312"/>
      <c r="M181" s="312"/>
      <c r="N181" s="363">
        <v>45646.0</v>
      </c>
      <c r="O181" s="341">
        <v>30.592</v>
      </c>
      <c r="P181" s="341">
        <v>30.592</v>
      </c>
      <c r="Q181" s="341">
        <v>30.592</v>
      </c>
      <c r="R181" s="341">
        <v>30.592</v>
      </c>
      <c r="S181" s="335" t="s">
        <v>238</v>
      </c>
      <c r="T181" s="336">
        <f t="shared" si="2"/>
        <v>-0.007263047545</v>
      </c>
      <c r="U181" s="336"/>
      <c r="V181" s="336"/>
      <c r="W181" s="348"/>
      <c r="X181" s="312"/>
      <c r="Y181" s="312"/>
      <c r="Z181" s="363">
        <v>45646.0</v>
      </c>
      <c r="AA181" s="341">
        <v>2017.933</v>
      </c>
      <c r="AB181" s="341">
        <v>2017.933</v>
      </c>
      <c r="AC181" s="341">
        <v>2017.933</v>
      </c>
      <c r="AD181" s="341">
        <v>2017.933</v>
      </c>
      <c r="AE181" s="335" t="s">
        <v>238</v>
      </c>
      <c r="AF181" s="336">
        <f t="shared" si="3"/>
        <v>-0.01439586636</v>
      </c>
      <c r="AG181" s="336"/>
      <c r="AH181" s="336"/>
      <c r="AI181" s="348"/>
      <c r="AJ181" s="312"/>
      <c r="AK181" s="312"/>
      <c r="AL181" s="353">
        <v>45646.0</v>
      </c>
      <c r="AM181" s="343">
        <v>22.346</v>
      </c>
      <c r="AN181" s="343">
        <v>22.346</v>
      </c>
      <c r="AO181" s="343">
        <v>22.346</v>
      </c>
      <c r="AP181" s="343">
        <v>22.346</v>
      </c>
      <c r="AQ181" s="335" t="s">
        <v>238</v>
      </c>
      <c r="AR181" s="336">
        <f t="shared" si="4"/>
        <v>-0.0006710358809</v>
      </c>
      <c r="AS181" s="336"/>
      <c r="AT181" s="336"/>
      <c r="AU181" s="348"/>
      <c r="AV181" s="312"/>
      <c r="AW181" s="312"/>
      <c r="AX181" s="312"/>
      <c r="AY181" s="312"/>
      <c r="AZ181" s="312"/>
      <c r="BA181" s="312"/>
      <c r="BB181" s="312"/>
      <c r="BC181" s="312"/>
      <c r="BD181" s="316"/>
      <c r="BE181" s="316"/>
      <c r="BF181" s="316"/>
      <c r="BG181" s="316"/>
      <c r="BH181" s="316"/>
      <c r="BI181" s="316"/>
      <c r="BJ181" s="316"/>
      <c r="BK181" s="316"/>
      <c r="BL181" s="316"/>
      <c r="BM181" s="316"/>
      <c r="BN181" s="316"/>
      <c r="BO181" s="316"/>
      <c r="BP181" s="316"/>
      <c r="BQ181" s="316"/>
      <c r="BR181" s="316"/>
      <c r="BS181" s="316"/>
      <c r="BT181" s="316"/>
      <c r="BU181" s="316"/>
      <c r="BV181" s="316"/>
      <c r="BW181" s="316"/>
      <c r="BX181" s="316"/>
      <c r="BY181" s="316"/>
      <c r="BZ181" s="316"/>
      <c r="CA181" s="316"/>
      <c r="CB181" s="316"/>
      <c r="CC181" s="316"/>
      <c r="CD181" s="316"/>
    </row>
    <row r="182" ht="15.75" customHeight="1">
      <c r="A182" s="308"/>
      <c r="B182" s="362">
        <v>45649.0</v>
      </c>
      <c r="C182" s="335">
        <v>87.435</v>
      </c>
      <c r="D182" s="335">
        <v>87.435</v>
      </c>
      <c r="E182" s="335">
        <v>87.435</v>
      </c>
      <c r="F182" s="335">
        <v>87.435</v>
      </c>
      <c r="G182" s="335" t="s">
        <v>238</v>
      </c>
      <c r="H182" s="336">
        <f t="shared" si="1"/>
        <v>0.006344783987</v>
      </c>
      <c r="I182" s="336"/>
      <c r="J182" s="336"/>
      <c r="K182" s="348"/>
      <c r="L182" s="312"/>
      <c r="M182" s="312"/>
      <c r="N182" s="340">
        <v>45649.0</v>
      </c>
      <c r="O182" s="341">
        <v>30.906</v>
      </c>
      <c r="P182" s="341">
        <v>30.906</v>
      </c>
      <c r="Q182" s="341">
        <v>30.906</v>
      </c>
      <c r="R182" s="341">
        <v>30.906</v>
      </c>
      <c r="S182" s="335" t="s">
        <v>238</v>
      </c>
      <c r="T182" s="336">
        <f t="shared" si="2"/>
        <v>0.01021180294</v>
      </c>
      <c r="U182" s="336"/>
      <c r="V182" s="336"/>
      <c r="W182" s="348"/>
      <c r="X182" s="312"/>
      <c r="Y182" s="312"/>
      <c r="Z182" s="363">
        <v>45649.0</v>
      </c>
      <c r="AA182" s="341">
        <v>2027.768</v>
      </c>
      <c r="AB182" s="341">
        <v>2027.768</v>
      </c>
      <c r="AC182" s="341">
        <v>2027.768</v>
      </c>
      <c r="AD182" s="341">
        <v>2027.768</v>
      </c>
      <c r="AE182" s="335" t="s">
        <v>238</v>
      </c>
      <c r="AF182" s="336">
        <f t="shared" si="3"/>
        <v>0.004861960572</v>
      </c>
      <c r="AG182" s="336"/>
      <c r="AH182" s="336"/>
      <c r="AI182" s="348"/>
      <c r="AJ182" s="312"/>
      <c r="AK182" s="312"/>
      <c r="AL182" s="353">
        <v>45649.0</v>
      </c>
      <c r="AM182" s="343">
        <v>22.377</v>
      </c>
      <c r="AN182" s="343">
        <v>22.377</v>
      </c>
      <c r="AO182" s="343">
        <v>22.377</v>
      </c>
      <c r="AP182" s="343">
        <v>22.377</v>
      </c>
      <c r="AQ182" s="335" t="s">
        <v>238</v>
      </c>
      <c r="AR182" s="336">
        <f t="shared" si="4"/>
        <v>0.001386311516</v>
      </c>
      <c r="AS182" s="336"/>
      <c r="AT182" s="336"/>
      <c r="AU182" s="348"/>
      <c r="AV182" s="312"/>
      <c r="AW182" s="312"/>
      <c r="AX182" s="312"/>
      <c r="AY182" s="312"/>
      <c r="AZ182" s="312"/>
      <c r="BA182" s="312"/>
      <c r="BB182" s="312"/>
      <c r="BC182" s="312"/>
      <c r="BD182" s="316"/>
      <c r="BE182" s="316"/>
      <c r="BF182" s="316"/>
      <c r="BG182" s="316"/>
      <c r="BH182" s="316"/>
      <c r="BI182" s="316"/>
      <c r="BJ182" s="316"/>
      <c r="BK182" s="316"/>
      <c r="BL182" s="316"/>
      <c r="BM182" s="316"/>
      <c r="BN182" s="316"/>
      <c r="BO182" s="316"/>
      <c r="BP182" s="316"/>
      <c r="BQ182" s="316"/>
      <c r="BR182" s="316"/>
      <c r="BS182" s="316"/>
      <c r="BT182" s="316"/>
      <c r="BU182" s="316"/>
      <c r="BV182" s="316"/>
      <c r="BW182" s="316"/>
      <c r="BX182" s="316"/>
      <c r="BY182" s="316"/>
      <c r="BZ182" s="316"/>
      <c r="CA182" s="316"/>
      <c r="CB182" s="316"/>
      <c r="CC182" s="316"/>
      <c r="CD182" s="316"/>
    </row>
    <row r="183" ht="15.75" customHeight="1">
      <c r="A183" s="308"/>
      <c r="B183" s="362">
        <v>45650.0</v>
      </c>
      <c r="C183" s="335">
        <v>87.439</v>
      </c>
      <c r="D183" s="335">
        <v>87.439</v>
      </c>
      <c r="E183" s="335">
        <v>87.439</v>
      </c>
      <c r="F183" s="335">
        <v>87.439</v>
      </c>
      <c r="G183" s="335" t="s">
        <v>238</v>
      </c>
      <c r="H183" s="336">
        <f t="shared" si="1"/>
        <v>0.00004574722372</v>
      </c>
      <c r="I183" s="336"/>
      <c r="J183" s="336"/>
      <c r="K183" s="348"/>
      <c r="L183" s="312"/>
      <c r="M183" s="312"/>
      <c r="N183" s="340">
        <v>45650.0</v>
      </c>
      <c r="O183" s="341">
        <v>30.766</v>
      </c>
      <c r="P183" s="341">
        <v>30.766</v>
      </c>
      <c r="Q183" s="341">
        <v>30.766</v>
      </c>
      <c r="R183" s="341">
        <v>30.766</v>
      </c>
      <c r="S183" s="335" t="s">
        <v>238</v>
      </c>
      <c r="T183" s="336">
        <f t="shared" si="2"/>
        <v>-0.004540155678</v>
      </c>
      <c r="U183" s="336"/>
      <c r="V183" s="336"/>
      <c r="W183" s="348"/>
      <c r="X183" s="312"/>
      <c r="Y183" s="312"/>
      <c r="Z183" s="363">
        <v>45650.0</v>
      </c>
      <c r="AA183" s="341">
        <v>2024.434</v>
      </c>
      <c r="AB183" s="341">
        <v>2024.434</v>
      </c>
      <c r="AC183" s="341">
        <v>2024.434</v>
      </c>
      <c r="AD183" s="341">
        <v>2024.434</v>
      </c>
      <c r="AE183" s="335" t="s">
        <v>238</v>
      </c>
      <c r="AF183" s="336">
        <f t="shared" si="3"/>
        <v>-0.001645525446</v>
      </c>
      <c r="AG183" s="336"/>
      <c r="AH183" s="336"/>
      <c r="AI183" s="348"/>
      <c r="AJ183" s="312"/>
      <c r="AK183" s="312"/>
      <c r="AL183" s="353">
        <v>45650.0</v>
      </c>
      <c r="AM183" s="343">
        <v>22.36</v>
      </c>
      <c r="AN183" s="343">
        <v>22.36</v>
      </c>
      <c r="AO183" s="343">
        <v>22.36</v>
      </c>
      <c r="AP183" s="343">
        <v>22.36</v>
      </c>
      <c r="AQ183" s="335" t="s">
        <v>238</v>
      </c>
      <c r="AR183" s="336">
        <f t="shared" si="4"/>
        <v>-0.0007599973542</v>
      </c>
      <c r="AS183" s="336"/>
      <c r="AT183" s="336"/>
      <c r="AU183" s="348"/>
      <c r="AV183" s="312"/>
      <c r="AW183" s="312"/>
      <c r="AX183" s="312"/>
      <c r="AY183" s="312"/>
      <c r="AZ183" s="312"/>
      <c r="BA183" s="312"/>
      <c r="BB183" s="312"/>
      <c r="BC183" s="312"/>
      <c r="BD183" s="316"/>
      <c r="BE183" s="316"/>
      <c r="BF183" s="316"/>
      <c r="BG183" s="316"/>
      <c r="BH183" s="316"/>
      <c r="BI183" s="316"/>
      <c r="BJ183" s="316"/>
      <c r="BK183" s="316"/>
      <c r="BL183" s="316"/>
      <c r="BM183" s="316"/>
      <c r="BN183" s="316"/>
      <c r="BO183" s="316"/>
      <c r="BP183" s="316"/>
      <c r="BQ183" s="316"/>
      <c r="BR183" s="316"/>
      <c r="BS183" s="316"/>
      <c r="BT183" s="316"/>
      <c r="BU183" s="316"/>
      <c r="BV183" s="316"/>
      <c r="BW183" s="316"/>
      <c r="BX183" s="316"/>
      <c r="BY183" s="316"/>
      <c r="BZ183" s="316"/>
      <c r="CA183" s="316"/>
      <c r="CB183" s="316"/>
      <c r="CC183" s="316"/>
      <c r="CD183" s="316"/>
    </row>
    <row r="184" ht="15.75" customHeight="1">
      <c r="A184" s="308"/>
      <c r="B184" s="362">
        <v>45652.0</v>
      </c>
      <c r="C184" s="335">
        <v>87.615</v>
      </c>
      <c r="D184" s="335">
        <v>87.615</v>
      </c>
      <c r="E184" s="335">
        <v>87.615</v>
      </c>
      <c r="F184" s="335">
        <v>87.615</v>
      </c>
      <c r="G184" s="335" t="s">
        <v>238</v>
      </c>
      <c r="H184" s="336">
        <f t="shared" si="1"/>
        <v>0.002010808771</v>
      </c>
      <c r="I184" s="336"/>
      <c r="J184" s="336"/>
      <c r="K184" s="348"/>
      <c r="L184" s="312"/>
      <c r="M184" s="312"/>
      <c r="N184" s="340">
        <v>45652.0</v>
      </c>
      <c r="O184" s="341">
        <v>30.92</v>
      </c>
      <c r="P184" s="341">
        <v>30.92</v>
      </c>
      <c r="Q184" s="341">
        <v>30.92</v>
      </c>
      <c r="R184" s="341">
        <v>30.92</v>
      </c>
      <c r="S184" s="335" t="s">
        <v>238</v>
      </c>
      <c r="T184" s="336">
        <f t="shared" si="2"/>
        <v>0.004993039586</v>
      </c>
      <c r="U184" s="336"/>
      <c r="V184" s="336"/>
      <c r="W184" s="348"/>
      <c r="X184" s="312"/>
      <c r="Y184" s="312"/>
      <c r="Z184" s="363">
        <v>45652.0</v>
      </c>
      <c r="AA184" s="341">
        <v>2028.283</v>
      </c>
      <c r="AB184" s="341">
        <v>2028.283</v>
      </c>
      <c r="AC184" s="341">
        <v>2028.283</v>
      </c>
      <c r="AD184" s="341">
        <v>2028.283</v>
      </c>
      <c r="AE184" s="335" t="s">
        <v>238</v>
      </c>
      <c r="AF184" s="336">
        <f t="shared" si="3"/>
        <v>0.001899467028</v>
      </c>
      <c r="AG184" s="336"/>
      <c r="AH184" s="336"/>
      <c r="AI184" s="348"/>
      <c r="AJ184" s="312"/>
      <c r="AK184" s="312"/>
      <c r="AL184" s="353">
        <v>45652.0</v>
      </c>
      <c r="AM184" s="343">
        <v>22.355</v>
      </c>
      <c r="AN184" s="343">
        <v>22.355</v>
      </c>
      <c r="AO184" s="343">
        <v>22.355</v>
      </c>
      <c r="AP184" s="343">
        <v>22.355</v>
      </c>
      <c r="AQ184" s="335" t="s">
        <v>238</v>
      </c>
      <c r="AR184" s="336">
        <f t="shared" si="4"/>
        <v>-0.000223638601</v>
      </c>
      <c r="AS184" s="336"/>
      <c r="AT184" s="336"/>
      <c r="AU184" s="348"/>
      <c r="AV184" s="312"/>
      <c r="AW184" s="312"/>
      <c r="AX184" s="312"/>
      <c r="AY184" s="312"/>
      <c r="AZ184" s="312"/>
      <c r="BA184" s="312"/>
      <c r="BB184" s="312"/>
      <c r="BC184" s="312"/>
      <c r="BD184" s="316"/>
      <c r="BE184" s="316"/>
      <c r="BF184" s="316"/>
      <c r="BG184" s="316"/>
      <c r="BH184" s="316"/>
      <c r="BI184" s="316"/>
      <c r="BJ184" s="316"/>
      <c r="BK184" s="316"/>
      <c r="BL184" s="316"/>
      <c r="BM184" s="316"/>
      <c r="BN184" s="316"/>
      <c r="BO184" s="316"/>
      <c r="BP184" s="316"/>
      <c r="BQ184" s="316"/>
      <c r="BR184" s="316"/>
      <c r="BS184" s="316"/>
      <c r="BT184" s="316"/>
      <c r="BU184" s="316"/>
      <c r="BV184" s="316"/>
      <c r="BW184" s="316"/>
      <c r="BX184" s="316"/>
      <c r="BY184" s="316"/>
      <c r="BZ184" s="316"/>
      <c r="CA184" s="316"/>
      <c r="CB184" s="316"/>
      <c r="CC184" s="316"/>
      <c r="CD184" s="316"/>
    </row>
    <row r="185" ht="15.75" customHeight="1">
      <c r="A185" s="308"/>
      <c r="B185" s="362">
        <v>45653.0</v>
      </c>
      <c r="C185" s="335">
        <v>87.602</v>
      </c>
      <c r="D185" s="335">
        <v>87.602</v>
      </c>
      <c r="E185" s="335">
        <v>87.602</v>
      </c>
      <c r="F185" s="335">
        <v>87.602</v>
      </c>
      <c r="G185" s="335" t="s">
        <v>238</v>
      </c>
      <c r="H185" s="336">
        <f t="shared" si="1"/>
        <v>-0.0001483874284</v>
      </c>
      <c r="I185" s="336"/>
      <c r="J185" s="336"/>
      <c r="K185" s="348"/>
      <c r="L185" s="312"/>
      <c r="M185" s="312"/>
      <c r="N185" s="340">
        <v>45653.0</v>
      </c>
      <c r="O185" s="341">
        <v>31.021</v>
      </c>
      <c r="P185" s="341">
        <v>31.021</v>
      </c>
      <c r="Q185" s="341">
        <v>31.021</v>
      </c>
      <c r="R185" s="341">
        <v>31.021</v>
      </c>
      <c r="S185" s="335" t="s">
        <v>238</v>
      </c>
      <c r="T185" s="336">
        <f t="shared" si="2"/>
        <v>0.003261170776</v>
      </c>
      <c r="U185" s="336"/>
      <c r="V185" s="336"/>
      <c r="W185" s="348"/>
      <c r="X185" s="312"/>
      <c r="Y185" s="312"/>
      <c r="Z185" s="363">
        <v>45653.0</v>
      </c>
      <c r="AA185" s="341">
        <v>2033.537</v>
      </c>
      <c r="AB185" s="341">
        <v>2033.537</v>
      </c>
      <c r="AC185" s="341">
        <v>2033.537</v>
      </c>
      <c r="AD185" s="341">
        <v>2033.537</v>
      </c>
      <c r="AE185" s="335" t="s">
        <v>238</v>
      </c>
      <c r="AF185" s="336">
        <f t="shared" si="3"/>
        <v>0.002587019085</v>
      </c>
      <c r="AG185" s="336"/>
      <c r="AH185" s="336"/>
      <c r="AI185" s="348"/>
      <c r="AJ185" s="312"/>
      <c r="AK185" s="312"/>
      <c r="AL185" s="353">
        <v>45653.0</v>
      </c>
      <c r="AM185" s="343">
        <v>22.359</v>
      </c>
      <c r="AN185" s="343">
        <v>22.359</v>
      </c>
      <c r="AO185" s="343">
        <v>22.359</v>
      </c>
      <c r="AP185" s="343">
        <v>22.359</v>
      </c>
      <c r="AQ185" s="335" t="s">
        <v>238</v>
      </c>
      <c r="AR185" s="336">
        <f t="shared" si="4"/>
        <v>0.0001789148817</v>
      </c>
      <c r="AS185" s="336"/>
      <c r="AT185" s="336"/>
      <c r="AU185" s="348"/>
      <c r="AV185" s="312"/>
      <c r="AW185" s="312"/>
      <c r="AX185" s="312"/>
      <c r="AY185" s="312"/>
      <c r="AZ185" s="312"/>
      <c r="BA185" s="312"/>
      <c r="BB185" s="312"/>
      <c r="BC185" s="312"/>
      <c r="BD185" s="316"/>
      <c r="BE185" s="316"/>
      <c r="BF185" s="316"/>
      <c r="BG185" s="316"/>
      <c r="BH185" s="316"/>
      <c r="BI185" s="316"/>
      <c r="BJ185" s="316"/>
      <c r="BK185" s="316"/>
      <c r="BL185" s="316"/>
      <c r="BM185" s="316"/>
      <c r="BN185" s="316"/>
      <c r="BO185" s="316"/>
      <c r="BP185" s="316"/>
      <c r="BQ185" s="316"/>
      <c r="BR185" s="316"/>
      <c r="BS185" s="316"/>
      <c r="BT185" s="316"/>
      <c r="BU185" s="316"/>
      <c r="BV185" s="316"/>
      <c r="BW185" s="316"/>
      <c r="BX185" s="316"/>
      <c r="BY185" s="316"/>
      <c r="BZ185" s="316"/>
      <c r="CA185" s="316"/>
      <c r="CB185" s="316"/>
      <c r="CC185" s="316"/>
      <c r="CD185" s="316"/>
    </row>
    <row r="186" ht="15.75" customHeight="1">
      <c r="A186" s="308"/>
      <c r="B186" s="362">
        <v>45656.0</v>
      </c>
      <c r="C186" s="335">
        <v>87.96</v>
      </c>
      <c r="D186" s="335">
        <v>87.96</v>
      </c>
      <c r="E186" s="335">
        <v>87.96</v>
      </c>
      <c r="F186" s="335">
        <v>87.96</v>
      </c>
      <c r="G186" s="335" t="s">
        <v>238</v>
      </c>
      <c r="H186" s="336">
        <f t="shared" si="1"/>
        <v>0.004078336955</v>
      </c>
      <c r="I186" s="336"/>
      <c r="J186" s="336"/>
      <c r="K186" s="348"/>
      <c r="L186" s="312"/>
      <c r="M186" s="312"/>
      <c r="N186" s="340">
        <v>45656.0</v>
      </c>
      <c r="O186" s="341">
        <v>30.92</v>
      </c>
      <c r="P186" s="341">
        <v>30.92</v>
      </c>
      <c r="Q186" s="341">
        <v>30.92</v>
      </c>
      <c r="R186" s="341">
        <v>30.92</v>
      </c>
      <c r="S186" s="335" t="s">
        <v>238</v>
      </c>
      <c r="T186" s="336">
        <f t="shared" si="2"/>
        <v>-0.003261170776</v>
      </c>
      <c r="U186" s="336"/>
      <c r="V186" s="336"/>
      <c r="W186" s="348"/>
      <c r="X186" s="312"/>
      <c r="Y186" s="312"/>
      <c r="Z186" s="363">
        <v>45656.0</v>
      </c>
      <c r="AA186" s="341">
        <v>2024.352</v>
      </c>
      <c r="AB186" s="341">
        <v>2024.352</v>
      </c>
      <c r="AC186" s="341">
        <v>2024.352</v>
      </c>
      <c r="AD186" s="341">
        <v>2024.352</v>
      </c>
      <c r="AE186" s="335" t="s">
        <v>238</v>
      </c>
      <c r="AF186" s="336">
        <f t="shared" si="3"/>
        <v>-0.004526992082</v>
      </c>
      <c r="AG186" s="336"/>
      <c r="AH186" s="336"/>
      <c r="AI186" s="348"/>
      <c r="AJ186" s="312"/>
      <c r="AK186" s="312"/>
      <c r="AL186" s="353">
        <v>45656.0</v>
      </c>
      <c r="AM186" s="343">
        <v>22.387</v>
      </c>
      <c r="AN186" s="343">
        <v>22.387</v>
      </c>
      <c r="AO186" s="343">
        <v>22.387</v>
      </c>
      <c r="AP186" s="343">
        <v>22.387</v>
      </c>
      <c r="AQ186" s="335" t="s">
        <v>238</v>
      </c>
      <c r="AR186" s="336">
        <f t="shared" si="4"/>
        <v>0.001251508678</v>
      </c>
      <c r="AS186" s="336"/>
      <c r="AT186" s="336"/>
      <c r="AU186" s="348"/>
      <c r="AV186" s="312"/>
      <c r="AW186" s="312"/>
      <c r="AX186" s="312"/>
      <c r="AY186" s="312"/>
      <c r="AZ186" s="312"/>
      <c r="BA186" s="312"/>
      <c r="BB186" s="312"/>
      <c r="BC186" s="312"/>
      <c r="BD186" s="316"/>
      <c r="BE186" s="316"/>
      <c r="BF186" s="316"/>
      <c r="BG186" s="316"/>
      <c r="BH186" s="316"/>
      <c r="BI186" s="316"/>
      <c r="BJ186" s="316"/>
      <c r="BK186" s="316"/>
      <c r="BL186" s="316"/>
      <c r="BM186" s="316"/>
      <c r="BN186" s="316"/>
      <c r="BO186" s="316"/>
      <c r="BP186" s="316"/>
      <c r="BQ186" s="316"/>
      <c r="BR186" s="316"/>
      <c r="BS186" s="316"/>
      <c r="BT186" s="316"/>
      <c r="BU186" s="316"/>
      <c r="BV186" s="316"/>
      <c r="BW186" s="316"/>
      <c r="BX186" s="316"/>
      <c r="BY186" s="316"/>
      <c r="BZ186" s="316"/>
      <c r="CA186" s="316"/>
      <c r="CB186" s="316"/>
      <c r="CC186" s="316"/>
      <c r="CD186" s="316"/>
    </row>
    <row r="187" ht="15.75" customHeight="1">
      <c r="A187" s="308"/>
      <c r="B187" s="362">
        <v>45657.0</v>
      </c>
      <c r="C187" s="335">
        <v>87.673</v>
      </c>
      <c r="D187" s="335">
        <v>87.673</v>
      </c>
      <c r="E187" s="335">
        <v>87.673</v>
      </c>
      <c r="F187" s="335">
        <v>87.673</v>
      </c>
      <c r="G187" s="335" t="s">
        <v>238</v>
      </c>
      <c r="H187" s="336">
        <f t="shared" si="1"/>
        <v>-0.00326818144</v>
      </c>
      <c r="I187" s="336"/>
      <c r="J187" s="336"/>
      <c r="K187" s="348"/>
      <c r="L187" s="312"/>
      <c r="M187" s="312"/>
      <c r="N187" s="340">
        <v>45657.0</v>
      </c>
      <c r="O187" s="341">
        <v>30.963</v>
      </c>
      <c r="P187" s="341">
        <v>30.963</v>
      </c>
      <c r="Q187" s="341">
        <v>30.963</v>
      </c>
      <c r="R187" s="341">
        <v>30.963</v>
      </c>
      <c r="S187" s="335" t="s">
        <v>238</v>
      </c>
      <c r="T187" s="336">
        <f t="shared" si="2"/>
        <v>0.001389719533</v>
      </c>
      <c r="U187" s="336"/>
      <c r="V187" s="336"/>
      <c r="W187" s="348"/>
      <c r="X187" s="312"/>
      <c r="Y187" s="312"/>
      <c r="Z187" s="363">
        <v>45657.0</v>
      </c>
      <c r="AA187" s="341">
        <v>2026.154</v>
      </c>
      <c r="AB187" s="341">
        <v>2026.154</v>
      </c>
      <c r="AC187" s="341">
        <v>2026.154</v>
      </c>
      <c r="AD187" s="341">
        <v>2026.154</v>
      </c>
      <c r="AE187" s="335" t="s">
        <v>238</v>
      </c>
      <c r="AF187" s="336">
        <f t="shared" si="3"/>
        <v>0.0008897654362</v>
      </c>
      <c r="AG187" s="336"/>
      <c r="AH187" s="336"/>
      <c r="AI187" s="348"/>
      <c r="AJ187" s="312"/>
      <c r="AK187" s="312"/>
      <c r="AL187" s="353">
        <v>45657.0</v>
      </c>
      <c r="AM187" s="343">
        <v>22.404</v>
      </c>
      <c r="AN187" s="343">
        <v>22.404</v>
      </c>
      <c r="AO187" s="343">
        <v>22.404</v>
      </c>
      <c r="AP187" s="343">
        <v>22.404</v>
      </c>
      <c r="AQ187" s="335" t="s">
        <v>238</v>
      </c>
      <c r="AR187" s="336">
        <f t="shared" si="4"/>
        <v>0.0007590811018</v>
      </c>
      <c r="AS187" s="336"/>
      <c r="AT187" s="336"/>
      <c r="AU187" s="348"/>
      <c r="AV187" s="312"/>
      <c r="AW187" s="312"/>
      <c r="AX187" s="312"/>
      <c r="AY187" s="312"/>
      <c r="AZ187" s="312"/>
      <c r="BA187" s="312"/>
      <c r="BB187" s="312"/>
      <c r="BC187" s="312"/>
      <c r="BD187" s="316"/>
      <c r="BE187" s="316"/>
      <c r="BF187" s="316"/>
      <c r="BG187" s="316"/>
      <c r="BH187" s="316"/>
      <c r="BI187" s="316"/>
      <c r="BJ187" s="316"/>
      <c r="BK187" s="316"/>
      <c r="BL187" s="316"/>
      <c r="BM187" s="316"/>
      <c r="BN187" s="316"/>
      <c r="BO187" s="316"/>
      <c r="BP187" s="316"/>
      <c r="BQ187" s="316"/>
      <c r="BR187" s="316"/>
      <c r="BS187" s="316"/>
      <c r="BT187" s="316"/>
      <c r="BU187" s="316"/>
      <c r="BV187" s="316"/>
      <c r="BW187" s="316"/>
      <c r="BX187" s="316"/>
      <c r="BY187" s="316"/>
      <c r="BZ187" s="316"/>
      <c r="CA187" s="316"/>
      <c r="CB187" s="316"/>
      <c r="CC187" s="316"/>
      <c r="CD187" s="316"/>
    </row>
    <row r="188" ht="15.75" customHeight="1">
      <c r="A188" s="308"/>
      <c r="B188" s="362">
        <v>45658.0</v>
      </c>
      <c r="C188" s="335">
        <v>87.946</v>
      </c>
      <c r="D188" s="335">
        <v>87.946</v>
      </c>
      <c r="E188" s="335">
        <v>87.946</v>
      </c>
      <c r="F188" s="335">
        <v>87.946</v>
      </c>
      <c r="G188" s="335" t="s">
        <v>238</v>
      </c>
      <c r="H188" s="336">
        <f t="shared" si="1"/>
        <v>0.003109005516</v>
      </c>
      <c r="I188" s="336"/>
      <c r="J188" s="336"/>
      <c r="K188" s="348"/>
      <c r="L188" s="312"/>
      <c r="M188" s="312"/>
      <c r="N188" s="363">
        <v>45658.0</v>
      </c>
      <c r="O188" s="341">
        <v>31.088</v>
      </c>
      <c r="P188" s="341">
        <v>31.088</v>
      </c>
      <c r="Q188" s="341">
        <v>31.088</v>
      </c>
      <c r="R188" s="341">
        <v>31.088</v>
      </c>
      <c r="S188" s="335" t="s">
        <v>238</v>
      </c>
      <c r="T188" s="336">
        <f t="shared" si="2"/>
        <v>0.004028949383</v>
      </c>
      <c r="U188" s="336"/>
      <c r="V188" s="336"/>
      <c r="W188" s="348"/>
      <c r="X188" s="312"/>
      <c r="Y188" s="312"/>
      <c r="Z188" s="363">
        <v>45658.0</v>
      </c>
      <c r="AA188" s="341">
        <v>2033.148</v>
      </c>
      <c r="AB188" s="341">
        <v>2033.148</v>
      </c>
      <c r="AC188" s="341">
        <v>2033.148</v>
      </c>
      <c r="AD188" s="341">
        <v>2033.148</v>
      </c>
      <c r="AE188" s="335" t="s">
        <v>238</v>
      </c>
      <c r="AF188" s="336">
        <f t="shared" si="3"/>
        <v>0.003445916032</v>
      </c>
      <c r="AG188" s="336"/>
      <c r="AH188" s="336"/>
      <c r="AI188" s="348"/>
      <c r="AJ188" s="312"/>
      <c r="AK188" s="312"/>
      <c r="AL188" s="342">
        <v>45658.0</v>
      </c>
      <c r="AM188" s="343">
        <v>22.422</v>
      </c>
      <c r="AN188" s="343">
        <v>22.422</v>
      </c>
      <c r="AO188" s="343">
        <v>22.422</v>
      </c>
      <c r="AP188" s="343">
        <v>22.422</v>
      </c>
      <c r="AQ188" s="335" t="s">
        <v>238</v>
      </c>
      <c r="AR188" s="336">
        <f t="shared" si="4"/>
        <v>0.0008031053838</v>
      </c>
      <c r="AS188" s="336"/>
      <c r="AT188" s="336"/>
      <c r="AU188" s="348"/>
      <c r="AV188" s="312"/>
      <c r="AW188" s="312"/>
      <c r="AX188" s="312"/>
      <c r="AY188" s="312"/>
      <c r="AZ188" s="312"/>
      <c r="BA188" s="312"/>
      <c r="BB188" s="312"/>
      <c r="BC188" s="312"/>
      <c r="BD188" s="316"/>
      <c r="BE188" s="316"/>
      <c r="BF188" s="316"/>
      <c r="BG188" s="316"/>
      <c r="BH188" s="316"/>
      <c r="BI188" s="316"/>
      <c r="BJ188" s="316"/>
      <c r="BK188" s="316"/>
      <c r="BL188" s="316"/>
      <c r="BM188" s="316"/>
      <c r="BN188" s="316"/>
      <c r="BO188" s="316"/>
      <c r="BP188" s="316"/>
      <c r="BQ188" s="316"/>
      <c r="BR188" s="316"/>
      <c r="BS188" s="316"/>
      <c r="BT188" s="316"/>
      <c r="BU188" s="316"/>
      <c r="BV188" s="316"/>
      <c r="BW188" s="316"/>
      <c r="BX188" s="316"/>
      <c r="BY188" s="316"/>
      <c r="BZ188" s="316"/>
      <c r="CA188" s="316"/>
      <c r="CB188" s="316"/>
      <c r="CC188" s="316"/>
      <c r="CD188" s="316"/>
    </row>
    <row r="189" ht="15.75" customHeight="1">
      <c r="A189" s="308"/>
      <c r="B189" s="362">
        <v>45659.0</v>
      </c>
      <c r="C189" s="335">
        <v>89.011</v>
      </c>
      <c r="D189" s="335">
        <v>89.011</v>
      </c>
      <c r="E189" s="335">
        <v>89.011</v>
      </c>
      <c r="F189" s="335">
        <v>89.011</v>
      </c>
      <c r="G189" s="335" t="s">
        <v>238</v>
      </c>
      <c r="H189" s="336">
        <f t="shared" si="1"/>
        <v>0.01203696784</v>
      </c>
      <c r="I189" s="336"/>
      <c r="J189" s="336"/>
      <c r="K189" s="348"/>
      <c r="L189" s="312"/>
      <c r="M189" s="312"/>
      <c r="N189" s="363">
        <v>45659.0</v>
      </c>
      <c r="O189" s="341">
        <v>31.209</v>
      </c>
      <c r="P189" s="341">
        <v>31.209</v>
      </c>
      <c r="Q189" s="341">
        <v>31.209</v>
      </c>
      <c r="R189" s="341">
        <v>31.209</v>
      </c>
      <c r="S189" s="335" t="s">
        <v>238</v>
      </c>
      <c r="T189" s="336">
        <f t="shared" si="2"/>
        <v>0.003884622122</v>
      </c>
      <c r="U189" s="336"/>
      <c r="V189" s="336"/>
      <c r="W189" s="348"/>
      <c r="X189" s="312"/>
      <c r="Y189" s="312"/>
      <c r="Z189" s="363">
        <v>45659.0</v>
      </c>
      <c r="AA189" s="341">
        <v>2060.709</v>
      </c>
      <c r="AB189" s="341">
        <v>2060.709</v>
      </c>
      <c r="AC189" s="341">
        <v>2060.709</v>
      </c>
      <c r="AD189" s="341">
        <v>2060.709</v>
      </c>
      <c r="AE189" s="335" t="s">
        <v>238</v>
      </c>
      <c r="AF189" s="336">
        <f t="shared" si="3"/>
        <v>0.01346476753</v>
      </c>
      <c r="AG189" s="336"/>
      <c r="AH189" s="336"/>
      <c r="AI189" s="348"/>
      <c r="AJ189" s="312"/>
      <c r="AK189" s="312"/>
      <c r="AL189" s="342">
        <v>45659.0</v>
      </c>
      <c r="AM189" s="343">
        <v>22.445</v>
      </c>
      <c r="AN189" s="343">
        <v>22.445</v>
      </c>
      <c r="AO189" s="343">
        <v>22.445</v>
      </c>
      <c r="AP189" s="343">
        <v>22.445</v>
      </c>
      <c r="AQ189" s="335" t="s">
        <v>238</v>
      </c>
      <c r="AR189" s="336">
        <f t="shared" si="4"/>
        <v>0.001025252502</v>
      </c>
      <c r="AS189" s="336"/>
      <c r="AT189" s="336"/>
      <c r="AU189" s="348"/>
      <c r="AV189" s="312"/>
      <c r="AW189" s="312"/>
      <c r="AX189" s="312"/>
      <c r="AY189" s="312"/>
      <c r="AZ189" s="312"/>
      <c r="BA189" s="312"/>
      <c r="BB189" s="312"/>
      <c r="BC189" s="312"/>
      <c r="BD189" s="316"/>
      <c r="BE189" s="316"/>
      <c r="BF189" s="316"/>
      <c r="BG189" s="316"/>
      <c r="BH189" s="316"/>
      <c r="BI189" s="316"/>
      <c r="BJ189" s="316"/>
      <c r="BK189" s="316"/>
      <c r="BL189" s="316"/>
      <c r="BM189" s="316"/>
      <c r="BN189" s="316"/>
      <c r="BO189" s="316"/>
      <c r="BP189" s="316"/>
      <c r="BQ189" s="316"/>
      <c r="BR189" s="316"/>
      <c r="BS189" s="316"/>
      <c r="BT189" s="316"/>
      <c r="BU189" s="316"/>
      <c r="BV189" s="316"/>
      <c r="BW189" s="316"/>
      <c r="BX189" s="316"/>
      <c r="BY189" s="316"/>
      <c r="BZ189" s="316"/>
      <c r="CA189" s="316"/>
      <c r="CB189" s="316"/>
      <c r="CC189" s="316"/>
      <c r="CD189" s="316"/>
    </row>
    <row r="190" ht="15.75" customHeight="1">
      <c r="A190" s="308"/>
      <c r="B190" s="362">
        <v>45660.0</v>
      </c>
      <c r="C190" s="335">
        <v>88.499</v>
      </c>
      <c r="D190" s="335">
        <v>88.499</v>
      </c>
      <c r="E190" s="335">
        <v>88.499</v>
      </c>
      <c r="F190" s="335">
        <v>88.499</v>
      </c>
      <c r="G190" s="335" t="s">
        <v>238</v>
      </c>
      <c r="H190" s="336">
        <f t="shared" si="1"/>
        <v>-0.005768705085</v>
      </c>
      <c r="I190" s="336"/>
      <c r="J190" s="336"/>
      <c r="K190" s="348"/>
      <c r="L190" s="312"/>
      <c r="M190" s="312"/>
      <c r="N190" s="363">
        <v>45660.0</v>
      </c>
      <c r="O190" s="341">
        <v>31.436</v>
      </c>
      <c r="P190" s="341">
        <v>31.436</v>
      </c>
      <c r="Q190" s="341">
        <v>31.436</v>
      </c>
      <c r="R190" s="341">
        <v>31.436</v>
      </c>
      <c r="S190" s="335" t="s">
        <v>238</v>
      </c>
      <c r="T190" s="336">
        <f t="shared" si="2"/>
        <v>0.007247218247</v>
      </c>
      <c r="U190" s="336"/>
      <c r="V190" s="336"/>
      <c r="W190" s="348"/>
      <c r="X190" s="312"/>
      <c r="Y190" s="312"/>
      <c r="Z190" s="363">
        <v>45660.0</v>
      </c>
      <c r="AA190" s="341">
        <v>2046.525</v>
      </c>
      <c r="AB190" s="341">
        <v>2046.525</v>
      </c>
      <c r="AC190" s="341">
        <v>2046.525</v>
      </c>
      <c r="AD190" s="341">
        <v>2046.525</v>
      </c>
      <c r="AE190" s="335" t="s">
        <v>238</v>
      </c>
      <c r="AF190" s="336">
        <f t="shared" si="3"/>
        <v>-0.00690686549</v>
      </c>
      <c r="AG190" s="336"/>
      <c r="AH190" s="336"/>
      <c r="AI190" s="348"/>
      <c r="AJ190" s="312"/>
      <c r="AK190" s="312"/>
      <c r="AL190" s="342">
        <v>45660.0</v>
      </c>
      <c r="AM190" s="343">
        <v>22.452</v>
      </c>
      <c r="AN190" s="343">
        <v>22.452</v>
      </c>
      <c r="AO190" s="343">
        <v>22.452</v>
      </c>
      <c r="AP190" s="343">
        <v>22.452</v>
      </c>
      <c r="AQ190" s="335" t="s">
        <v>238</v>
      </c>
      <c r="AR190" s="336">
        <f t="shared" si="4"/>
        <v>0.0003118248461</v>
      </c>
      <c r="AS190" s="336"/>
      <c r="AT190" s="336"/>
      <c r="AU190" s="348"/>
      <c r="AV190" s="312"/>
      <c r="AW190" s="312"/>
      <c r="AX190" s="312"/>
      <c r="AY190" s="312"/>
      <c r="AZ190" s="312"/>
      <c r="BA190" s="312"/>
      <c r="BB190" s="312"/>
      <c r="BC190" s="312"/>
      <c r="BD190" s="316"/>
      <c r="BE190" s="316"/>
      <c r="BF190" s="316"/>
      <c r="BG190" s="316"/>
      <c r="BH190" s="316"/>
      <c r="BI190" s="316"/>
      <c r="BJ190" s="316"/>
      <c r="BK190" s="316"/>
      <c r="BL190" s="316"/>
      <c r="BM190" s="316"/>
      <c r="BN190" s="316"/>
      <c r="BO190" s="316"/>
      <c r="BP190" s="316"/>
      <c r="BQ190" s="316"/>
      <c r="BR190" s="316"/>
      <c r="BS190" s="316"/>
      <c r="BT190" s="316"/>
      <c r="BU190" s="316"/>
      <c r="BV190" s="316"/>
      <c r="BW190" s="316"/>
      <c r="BX190" s="316"/>
      <c r="BY190" s="316"/>
      <c r="BZ190" s="316"/>
      <c r="CA190" s="316"/>
      <c r="CB190" s="316"/>
      <c r="CC190" s="316"/>
      <c r="CD190" s="316"/>
    </row>
    <row r="191" ht="15.75" customHeight="1">
      <c r="A191" s="308"/>
      <c r="B191" s="362">
        <v>45663.0</v>
      </c>
      <c r="C191" s="335">
        <v>87.346</v>
      </c>
      <c r="D191" s="335">
        <v>87.346</v>
      </c>
      <c r="E191" s="335">
        <v>87.346</v>
      </c>
      <c r="F191" s="335">
        <v>87.346</v>
      </c>
      <c r="G191" s="335" t="s">
        <v>238</v>
      </c>
      <c r="H191" s="336">
        <f t="shared" si="1"/>
        <v>-0.01311400977</v>
      </c>
      <c r="I191" s="336"/>
      <c r="J191" s="336"/>
      <c r="K191" s="348"/>
      <c r="L191" s="312"/>
      <c r="M191" s="312"/>
      <c r="N191" s="363">
        <v>45663.0</v>
      </c>
      <c r="O191" s="341">
        <v>31.213</v>
      </c>
      <c r="P191" s="341">
        <v>31.213</v>
      </c>
      <c r="Q191" s="341">
        <v>31.213</v>
      </c>
      <c r="R191" s="341">
        <v>31.213</v>
      </c>
      <c r="S191" s="335" t="s">
        <v>238</v>
      </c>
      <c r="T191" s="336">
        <f t="shared" si="2"/>
        <v>-0.007119058303</v>
      </c>
      <c r="U191" s="336"/>
      <c r="V191" s="336"/>
      <c r="W191" s="348"/>
      <c r="X191" s="312"/>
      <c r="Y191" s="312"/>
      <c r="Z191" s="363">
        <v>45663.0</v>
      </c>
      <c r="AA191" s="341">
        <v>2020.487</v>
      </c>
      <c r="AB191" s="341">
        <v>2020.487</v>
      </c>
      <c r="AC191" s="341">
        <v>2020.487</v>
      </c>
      <c r="AD191" s="341">
        <v>2020.487</v>
      </c>
      <c r="AE191" s="335" t="s">
        <v>238</v>
      </c>
      <c r="AF191" s="336">
        <f t="shared" si="3"/>
        <v>-0.01280466139</v>
      </c>
      <c r="AG191" s="336"/>
      <c r="AH191" s="336"/>
      <c r="AI191" s="348"/>
      <c r="AJ191" s="312"/>
      <c r="AK191" s="312"/>
      <c r="AL191" s="342">
        <v>45663.0</v>
      </c>
      <c r="AM191" s="343">
        <v>22.468</v>
      </c>
      <c r="AN191" s="343">
        <v>22.468</v>
      </c>
      <c r="AO191" s="343">
        <v>22.468</v>
      </c>
      <c r="AP191" s="343">
        <v>22.468</v>
      </c>
      <c r="AQ191" s="335" t="s">
        <v>238</v>
      </c>
      <c r="AR191" s="336">
        <f t="shared" si="4"/>
        <v>0.0007123775902</v>
      </c>
      <c r="AS191" s="336"/>
      <c r="AT191" s="336"/>
      <c r="AU191" s="348"/>
      <c r="AV191" s="312"/>
      <c r="AW191" s="312"/>
      <c r="AX191" s="312"/>
      <c r="AY191" s="312"/>
      <c r="AZ191" s="312"/>
      <c r="BA191" s="312"/>
      <c r="BB191" s="312"/>
      <c r="BC191" s="312"/>
      <c r="BD191" s="316"/>
      <c r="BE191" s="316"/>
      <c r="BF191" s="316"/>
      <c r="BG191" s="316"/>
      <c r="BH191" s="316"/>
      <c r="BI191" s="316"/>
      <c r="BJ191" s="316"/>
      <c r="BK191" s="316"/>
      <c r="BL191" s="316"/>
      <c r="BM191" s="316"/>
      <c r="BN191" s="316"/>
      <c r="BO191" s="316"/>
      <c r="BP191" s="316"/>
      <c r="BQ191" s="316"/>
      <c r="BR191" s="316"/>
      <c r="BS191" s="316"/>
      <c r="BT191" s="316"/>
      <c r="BU191" s="316"/>
      <c r="BV191" s="316"/>
      <c r="BW191" s="316"/>
      <c r="BX191" s="316"/>
      <c r="BY191" s="316"/>
      <c r="BZ191" s="316"/>
      <c r="CA191" s="316"/>
      <c r="CB191" s="316"/>
      <c r="CC191" s="316"/>
      <c r="CD191" s="316"/>
    </row>
    <row r="192" ht="15.75" customHeight="1">
      <c r="A192" s="308"/>
      <c r="B192" s="334">
        <v>45664.0</v>
      </c>
      <c r="C192" s="335">
        <v>87.294</v>
      </c>
      <c r="D192" s="335">
        <v>87.294</v>
      </c>
      <c r="E192" s="335">
        <v>87.294</v>
      </c>
      <c r="F192" s="335">
        <v>87.294</v>
      </c>
      <c r="G192" s="335" t="s">
        <v>238</v>
      </c>
      <c r="H192" s="336">
        <f t="shared" si="1"/>
        <v>-0.0005955107826</v>
      </c>
      <c r="I192" s="336"/>
      <c r="J192" s="336"/>
      <c r="K192" s="348"/>
      <c r="L192" s="312"/>
      <c r="M192" s="312"/>
      <c r="N192" s="363">
        <v>45664.0</v>
      </c>
      <c r="O192" s="341">
        <v>31.291</v>
      </c>
      <c r="P192" s="341">
        <v>31.291</v>
      </c>
      <c r="Q192" s="341">
        <v>31.291</v>
      </c>
      <c r="R192" s="341">
        <v>31.291</v>
      </c>
      <c r="S192" s="335" t="s">
        <v>238</v>
      </c>
      <c r="T192" s="336">
        <f t="shared" si="2"/>
        <v>0.002495841562</v>
      </c>
      <c r="U192" s="336"/>
      <c r="V192" s="336"/>
      <c r="W192" s="348"/>
      <c r="X192" s="312"/>
      <c r="Y192" s="312"/>
      <c r="Z192" s="340">
        <v>45664.0</v>
      </c>
      <c r="AA192" s="341">
        <v>2027.412</v>
      </c>
      <c r="AB192" s="341">
        <v>2027.412</v>
      </c>
      <c r="AC192" s="341">
        <v>2027.412</v>
      </c>
      <c r="AD192" s="341">
        <v>2027.412</v>
      </c>
      <c r="AE192" s="335" t="s">
        <v>238</v>
      </c>
      <c r="AF192" s="336">
        <f t="shared" si="3"/>
        <v>0.003421531395</v>
      </c>
      <c r="AG192" s="336"/>
      <c r="AH192" s="336"/>
      <c r="AI192" s="348"/>
      <c r="AJ192" s="312"/>
      <c r="AK192" s="312"/>
      <c r="AL192" s="342">
        <v>45664.0</v>
      </c>
      <c r="AM192" s="343">
        <v>22.487</v>
      </c>
      <c r="AN192" s="343">
        <v>22.487</v>
      </c>
      <c r="AO192" s="343">
        <v>22.487</v>
      </c>
      <c r="AP192" s="343">
        <v>22.487</v>
      </c>
      <c r="AQ192" s="335" t="s">
        <v>238</v>
      </c>
      <c r="AR192" s="336">
        <f t="shared" si="4"/>
        <v>0.0008452897845</v>
      </c>
      <c r="AS192" s="336"/>
      <c r="AT192" s="336"/>
      <c r="AU192" s="348"/>
      <c r="AV192" s="312"/>
      <c r="AW192" s="312"/>
      <c r="AX192" s="312"/>
      <c r="AY192" s="312"/>
      <c r="AZ192" s="312"/>
      <c r="BA192" s="312"/>
      <c r="BB192" s="312"/>
      <c r="BC192" s="312"/>
      <c r="BD192" s="316"/>
      <c r="BE192" s="316"/>
      <c r="BF192" s="316"/>
      <c r="BG192" s="316"/>
      <c r="BH192" s="316"/>
      <c r="BI192" s="316"/>
      <c r="BJ192" s="316"/>
      <c r="BK192" s="316"/>
      <c r="BL192" s="316"/>
      <c r="BM192" s="316"/>
      <c r="BN192" s="316"/>
      <c r="BO192" s="316"/>
      <c r="BP192" s="316"/>
      <c r="BQ192" s="316"/>
      <c r="BR192" s="316"/>
      <c r="BS192" s="316"/>
      <c r="BT192" s="316"/>
      <c r="BU192" s="316"/>
      <c r="BV192" s="316"/>
      <c r="BW192" s="316"/>
      <c r="BX192" s="316"/>
      <c r="BY192" s="316"/>
      <c r="BZ192" s="316"/>
      <c r="CA192" s="316"/>
      <c r="CB192" s="316"/>
      <c r="CC192" s="316"/>
      <c r="CD192" s="316"/>
    </row>
    <row r="193" ht="15.75" customHeight="1">
      <c r="A193" s="308"/>
      <c r="B193" s="334">
        <v>45665.0</v>
      </c>
      <c r="C193" s="335">
        <v>87.342</v>
      </c>
      <c r="D193" s="335">
        <v>87.342</v>
      </c>
      <c r="E193" s="335">
        <v>87.342</v>
      </c>
      <c r="F193" s="335">
        <v>87.342</v>
      </c>
      <c r="G193" s="335" t="s">
        <v>238</v>
      </c>
      <c r="H193" s="336">
        <f t="shared" si="1"/>
        <v>0.0005497148493</v>
      </c>
      <c r="I193" s="336"/>
      <c r="J193" s="336"/>
      <c r="K193" s="348"/>
      <c r="L193" s="312"/>
      <c r="M193" s="312"/>
      <c r="N193" s="363">
        <v>45665.0</v>
      </c>
      <c r="O193" s="341">
        <v>31.459</v>
      </c>
      <c r="P193" s="341">
        <v>31.459</v>
      </c>
      <c r="Q193" s="341">
        <v>31.459</v>
      </c>
      <c r="R193" s="341">
        <v>31.459</v>
      </c>
      <c r="S193" s="335" t="s">
        <v>238</v>
      </c>
      <c r="T193" s="336">
        <f t="shared" si="2"/>
        <v>0.005354594467</v>
      </c>
      <c r="U193" s="336"/>
      <c r="V193" s="336"/>
      <c r="W193" s="348"/>
      <c r="X193" s="312"/>
      <c r="Y193" s="312"/>
      <c r="Z193" s="340">
        <v>45665.0</v>
      </c>
      <c r="AA193" s="341">
        <v>2015.48</v>
      </c>
      <c r="AB193" s="341">
        <v>2015.48</v>
      </c>
      <c r="AC193" s="341">
        <v>2015.48</v>
      </c>
      <c r="AD193" s="341">
        <v>2015.48</v>
      </c>
      <c r="AE193" s="335" t="s">
        <v>238</v>
      </c>
      <c r="AF193" s="336">
        <f t="shared" si="3"/>
        <v>-0.00590272243</v>
      </c>
      <c r="AG193" s="336"/>
      <c r="AH193" s="336"/>
      <c r="AI193" s="348"/>
      <c r="AJ193" s="312"/>
      <c r="AK193" s="312"/>
      <c r="AL193" s="342">
        <v>45665.0</v>
      </c>
      <c r="AM193" s="343">
        <v>22.473</v>
      </c>
      <c r="AN193" s="343">
        <v>22.473</v>
      </c>
      <c r="AO193" s="343">
        <v>22.473</v>
      </c>
      <c r="AP193" s="343">
        <v>22.473</v>
      </c>
      <c r="AQ193" s="335" t="s">
        <v>238</v>
      </c>
      <c r="AR193" s="336">
        <f t="shared" si="4"/>
        <v>-0.0006227758208</v>
      </c>
      <c r="AS193" s="336"/>
      <c r="AT193" s="336"/>
      <c r="AU193" s="348"/>
      <c r="AV193" s="312"/>
      <c r="AW193" s="312"/>
      <c r="AX193" s="312"/>
      <c r="AY193" s="312"/>
      <c r="AZ193" s="312"/>
      <c r="BA193" s="312"/>
      <c r="BB193" s="312"/>
      <c r="BC193" s="312"/>
      <c r="BD193" s="316"/>
      <c r="BE193" s="316"/>
      <c r="BF193" s="316"/>
      <c r="BG193" s="316"/>
      <c r="BH193" s="316"/>
      <c r="BI193" s="316"/>
      <c r="BJ193" s="316"/>
      <c r="BK193" s="316"/>
      <c r="BL193" s="316"/>
      <c r="BM193" s="316"/>
      <c r="BN193" s="316"/>
      <c r="BO193" s="316"/>
      <c r="BP193" s="316"/>
      <c r="BQ193" s="316"/>
      <c r="BR193" s="316"/>
      <c r="BS193" s="316"/>
      <c r="BT193" s="316"/>
      <c r="BU193" s="316"/>
      <c r="BV193" s="316"/>
      <c r="BW193" s="316"/>
      <c r="BX193" s="316"/>
      <c r="BY193" s="316"/>
      <c r="BZ193" s="316"/>
      <c r="CA193" s="316"/>
      <c r="CB193" s="316"/>
      <c r="CC193" s="316"/>
      <c r="CD193" s="316"/>
    </row>
    <row r="194" ht="15.75" customHeight="1">
      <c r="A194" s="308"/>
      <c r="B194" s="334">
        <v>45666.0</v>
      </c>
      <c r="C194" s="335">
        <v>86.991</v>
      </c>
      <c r="D194" s="335">
        <v>86.991</v>
      </c>
      <c r="E194" s="335">
        <v>86.991</v>
      </c>
      <c r="F194" s="335">
        <v>86.991</v>
      </c>
      <c r="G194" s="335" t="s">
        <v>238</v>
      </c>
      <c r="H194" s="336">
        <f t="shared" si="1"/>
        <v>-0.004026781783</v>
      </c>
      <c r="I194" s="336"/>
      <c r="J194" s="336"/>
      <c r="K194" s="348"/>
      <c r="L194" s="312"/>
      <c r="M194" s="312"/>
      <c r="N194" s="363">
        <v>45666.0</v>
      </c>
      <c r="O194" s="341">
        <v>31.594</v>
      </c>
      <c r="P194" s="341">
        <v>31.594</v>
      </c>
      <c r="Q194" s="341">
        <v>31.594</v>
      </c>
      <c r="R194" s="341">
        <v>31.594</v>
      </c>
      <c r="S194" s="335" t="s">
        <v>238</v>
      </c>
      <c r="T194" s="336">
        <f t="shared" si="2"/>
        <v>0.004282118417</v>
      </c>
      <c r="U194" s="336"/>
      <c r="V194" s="336"/>
      <c r="W194" s="348"/>
      <c r="X194" s="312"/>
      <c r="Y194" s="312"/>
      <c r="Z194" s="340">
        <v>45666.0</v>
      </c>
      <c r="AA194" s="341">
        <v>2006.445</v>
      </c>
      <c r="AB194" s="341">
        <v>2006.445</v>
      </c>
      <c r="AC194" s="341">
        <v>2006.445</v>
      </c>
      <c r="AD194" s="341">
        <v>2006.445</v>
      </c>
      <c r="AE194" s="335" t="s">
        <v>238</v>
      </c>
      <c r="AF194" s="336">
        <f t="shared" si="3"/>
        <v>-0.004492880995</v>
      </c>
      <c r="AG194" s="336"/>
      <c r="AH194" s="336"/>
      <c r="AI194" s="348"/>
      <c r="AJ194" s="312"/>
      <c r="AK194" s="312"/>
      <c r="AL194" s="342">
        <v>45666.0</v>
      </c>
      <c r="AM194" s="343">
        <v>22.484</v>
      </c>
      <c r="AN194" s="343">
        <v>22.484</v>
      </c>
      <c r="AO194" s="343">
        <v>22.484</v>
      </c>
      <c r="AP194" s="343">
        <v>22.484</v>
      </c>
      <c r="AQ194" s="335" t="s">
        <v>238</v>
      </c>
      <c r="AR194" s="336">
        <f t="shared" si="4"/>
        <v>0.000489356506</v>
      </c>
      <c r="AS194" s="336"/>
      <c r="AT194" s="336"/>
      <c r="AU194" s="348"/>
      <c r="AV194" s="312"/>
      <c r="AW194" s="312"/>
      <c r="AX194" s="312"/>
      <c r="AY194" s="312"/>
      <c r="AZ194" s="312"/>
      <c r="BA194" s="312"/>
      <c r="BB194" s="312"/>
      <c r="BC194" s="312"/>
      <c r="BD194" s="316"/>
      <c r="BE194" s="316"/>
      <c r="BF194" s="316"/>
      <c r="BG194" s="316"/>
      <c r="BH194" s="316"/>
      <c r="BI194" s="316"/>
      <c r="BJ194" s="316"/>
      <c r="BK194" s="316"/>
      <c r="BL194" s="316"/>
      <c r="BM194" s="316"/>
      <c r="BN194" s="316"/>
      <c r="BO194" s="316"/>
      <c r="BP194" s="316"/>
      <c r="BQ194" s="316"/>
      <c r="BR194" s="316"/>
      <c r="BS194" s="316"/>
      <c r="BT194" s="316"/>
      <c r="BU194" s="316"/>
      <c r="BV194" s="316"/>
      <c r="BW194" s="316"/>
      <c r="BX194" s="316"/>
      <c r="BY194" s="316"/>
      <c r="BZ194" s="316"/>
      <c r="CA194" s="316"/>
      <c r="CB194" s="316"/>
      <c r="CC194" s="316"/>
      <c r="CD194" s="316"/>
    </row>
    <row r="195" ht="15.75" customHeight="1">
      <c r="A195" s="308"/>
      <c r="B195" s="334">
        <v>45667.0</v>
      </c>
      <c r="C195" s="335">
        <v>86.278</v>
      </c>
      <c r="D195" s="335">
        <v>86.278</v>
      </c>
      <c r="E195" s="335">
        <v>86.278</v>
      </c>
      <c r="F195" s="335">
        <v>86.278</v>
      </c>
      <c r="G195" s="335" t="s">
        <v>238</v>
      </c>
      <c r="H195" s="336">
        <f t="shared" si="1"/>
        <v>-0.008230024118</v>
      </c>
      <c r="I195" s="336"/>
      <c r="J195" s="336"/>
      <c r="K195" s="348"/>
      <c r="L195" s="312"/>
      <c r="M195" s="312"/>
      <c r="N195" s="363">
        <v>45667.0</v>
      </c>
      <c r="O195" s="341">
        <v>31.85</v>
      </c>
      <c r="P195" s="341">
        <v>31.85</v>
      </c>
      <c r="Q195" s="341">
        <v>31.85</v>
      </c>
      <c r="R195" s="341">
        <v>31.85</v>
      </c>
      <c r="S195" s="335" t="s">
        <v>238</v>
      </c>
      <c r="T195" s="336">
        <f t="shared" si="2"/>
        <v>0.008070152871</v>
      </c>
      <c r="U195" s="336"/>
      <c r="V195" s="336"/>
      <c r="W195" s="348"/>
      <c r="X195" s="312"/>
      <c r="Y195" s="312"/>
      <c r="Z195" s="340">
        <v>45667.0</v>
      </c>
      <c r="AA195" s="341">
        <v>1987.678</v>
      </c>
      <c r="AB195" s="341">
        <v>1987.678</v>
      </c>
      <c r="AC195" s="341">
        <v>1987.678</v>
      </c>
      <c r="AD195" s="341">
        <v>1987.678</v>
      </c>
      <c r="AE195" s="335" t="s">
        <v>238</v>
      </c>
      <c r="AF195" s="336">
        <f t="shared" si="3"/>
        <v>-0.00939737615</v>
      </c>
      <c r="AG195" s="336"/>
      <c r="AH195" s="336"/>
      <c r="AI195" s="348"/>
      <c r="AJ195" s="312"/>
      <c r="AK195" s="312"/>
      <c r="AL195" s="353">
        <v>45667.0</v>
      </c>
      <c r="AM195" s="343">
        <v>22.492</v>
      </c>
      <c r="AN195" s="343">
        <v>22.492</v>
      </c>
      <c r="AO195" s="343">
        <v>22.492</v>
      </c>
      <c r="AP195" s="343">
        <v>22.492</v>
      </c>
      <c r="AQ195" s="335" t="s">
        <v>238</v>
      </c>
      <c r="AR195" s="336">
        <f t="shared" si="4"/>
        <v>0.0003557452901</v>
      </c>
      <c r="AS195" s="336"/>
      <c r="AT195" s="336"/>
      <c r="AU195" s="348"/>
      <c r="AV195" s="312"/>
      <c r="AW195" s="312"/>
      <c r="AX195" s="312"/>
      <c r="AY195" s="312"/>
      <c r="AZ195" s="312"/>
      <c r="BA195" s="312"/>
      <c r="BB195" s="312"/>
      <c r="BC195" s="312"/>
      <c r="BD195" s="316"/>
      <c r="BE195" s="316"/>
      <c r="BF195" s="316"/>
      <c r="BG195" s="316"/>
      <c r="BH195" s="316"/>
      <c r="BI195" s="316"/>
      <c r="BJ195" s="316"/>
      <c r="BK195" s="316"/>
      <c r="BL195" s="316"/>
      <c r="BM195" s="316"/>
      <c r="BN195" s="316"/>
      <c r="BO195" s="316"/>
      <c r="BP195" s="316"/>
      <c r="BQ195" s="316"/>
      <c r="BR195" s="316"/>
      <c r="BS195" s="316"/>
      <c r="BT195" s="316"/>
      <c r="BU195" s="316"/>
      <c r="BV195" s="316"/>
      <c r="BW195" s="316"/>
      <c r="BX195" s="316"/>
      <c r="BY195" s="316"/>
      <c r="BZ195" s="316"/>
      <c r="CA195" s="316"/>
      <c r="CB195" s="316"/>
      <c r="CC195" s="316"/>
      <c r="CD195" s="316"/>
    </row>
    <row r="196" ht="15.75" customHeight="1">
      <c r="A196" s="308"/>
      <c r="B196" s="334">
        <v>45670.0</v>
      </c>
      <c r="C196" s="335">
        <v>85.094</v>
      </c>
      <c r="D196" s="335">
        <v>85.094</v>
      </c>
      <c r="E196" s="335">
        <v>85.094</v>
      </c>
      <c r="F196" s="335">
        <v>85.094</v>
      </c>
      <c r="G196" s="335" t="s">
        <v>238</v>
      </c>
      <c r="H196" s="336">
        <f t="shared" si="1"/>
        <v>-0.0138181131</v>
      </c>
      <c r="I196" s="336"/>
      <c r="J196" s="336"/>
      <c r="K196" s="348"/>
      <c r="L196" s="312"/>
      <c r="M196" s="312"/>
      <c r="N196" s="363">
        <v>45670.0</v>
      </c>
      <c r="O196" s="341">
        <v>32.004</v>
      </c>
      <c r="P196" s="341">
        <v>32.004</v>
      </c>
      <c r="Q196" s="341">
        <v>32.004</v>
      </c>
      <c r="R196" s="341">
        <v>32.004</v>
      </c>
      <c r="S196" s="335" t="s">
        <v>238</v>
      </c>
      <c r="T196" s="336">
        <f t="shared" si="2"/>
        <v>0.00482351297</v>
      </c>
      <c r="U196" s="336"/>
      <c r="V196" s="336"/>
      <c r="W196" s="348"/>
      <c r="X196" s="312"/>
      <c r="Y196" s="312"/>
      <c r="Z196" s="340">
        <v>45670.0</v>
      </c>
      <c r="AA196" s="341">
        <v>1963.278</v>
      </c>
      <c r="AB196" s="341">
        <v>1963.278</v>
      </c>
      <c r="AC196" s="341">
        <v>1963.278</v>
      </c>
      <c r="AD196" s="341">
        <v>1963.278</v>
      </c>
      <c r="AE196" s="335" t="s">
        <v>238</v>
      </c>
      <c r="AF196" s="336">
        <f t="shared" si="3"/>
        <v>-0.01235159805</v>
      </c>
      <c r="AG196" s="336"/>
      <c r="AH196" s="336"/>
      <c r="AI196" s="348"/>
      <c r="AJ196" s="312"/>
      <c r="AK196" s="312"/>
      <c r="AL196" s="353">
        <v>45670.0</v>
      </c>
      <c r="AM196" s="343">
        <v>22.453</v>
      </c>
      <c r="AN196" s="343">
        <v>22.453</v>
      </c>
      <c r="AO196" s="343">
        <v>22.453</v>
      </c>
      <c r="AP196" s="343">
        <v>22.453</v>
      </c>
      <c r="AQ196" s="335" t="s">
        <v>238</v>
      </c>
      <c r="AR196" s="336">
        <f t="shared" si="4"/>
        <v>-0.00173545488</v>
      </c>
      <c r="AS196" s="336"/>
      <c r="AT196" s="336"/>
      <c r="AU196" s="348"/>
      <c r="AV196" s="312"/>
      <c r="AW196" s="312"/>
      <c r="AX196" s="312"/>
      <c r="AY196" s="312"/>
      <c r="AZ196" s="312"/>
      <c r="BA196" s="312"/>
      <c r="BB196" s="312"/>
      <c r="BC196" s="312"/>
      <c r="BD196" s="316"/>
      <c r="BE196" s="316"/>
      <c r="BF196" s="316"/>
      <c r="BG196" s="316"/>
      <c r="BH196" s="316"/>
      <c r="BI196" s="316"/>
      <c r="BJ196" s="316"/>
      <c r="BK196" s="316"/>
      <c r="BL196" s="316"/>
      <c r="BM196" s="316"/>
      <c r="BN196" s="316"/>
      <c r="BO196" s="316"/>
      <c r="BP196" s="316"/>
      <c r="BQ196" s="316"/>
      <c r="BR196" s="316"/>
      <c r="BS196" s="316"/>
      <c r="BT196" s="316"/>
      <c r="BU196" s="316"/>
      <c r="BV196" s="316"/>
      <c r="BW196" s="316"/>
      <c r="BX196" s="316"/>
      <c r="BY196" s="316"/>
      <c r="BZ196" s="316"/>
      <c r="CA196" s="316"/>
      <c r="CB196" s="316"/>
      <c r="CC196" s="316"/>
      <c r="CD196" s="316"/>
    </row>
    <row r="197" ht="15.75" customHeight="1">
      <c r="A197" s="308"/>
      <c r="B197" s="334">
        <v>45671.0</v>
      </c>
      <c r="C197" s="335">
        <v>85.378</v>
      </c>
      <c r="D197" s="335">
        <v>85.378</v>
      </c>
      <c r="E197" s="335">
        <v>85.378</v>
      </c>
      <c r="F197" s="335">
        <v>85.378</v>
      </c>
      <c r="G197" s="335" t="s">
        <v>238</v>
      </c>
      <c r="H197" s="336">
        <f t="shared" si="1"/>
        <v>0.00333192856</v>
      </c>
      <c r="I197" s="336"/>
      <c r="J197" s="336"/>
      <c r="K197" s="348"/>
      <c r="L197" s="312"/>
      <c r="M197" s="312"/>
      <c r="N197" s="363">
        <v>45671.0</v>
      </c>
      <c r="O197" s="341">
        <v>31.902</v>
      </c>
      <c r="P197" s="341">
        <v>31.902</v>
      </c>
      <c r="Q197" s="341">
        <v>31.902</v>
      </c>
      <c r="R197" s="341">
        <v>31.902</v>
      </c>
      <c r="S197" s="335" t="s">
        <v>238</v>
      </c>
      <c r="T197" s="336">
        <f t="shared" si="2"/>
        <v>-0.003192191238</v>
      </c>
      <c r="U197" s="336"/>
      <c r="V197" s="336"/>
      <c r="W197" s="348"/>
      <c r="X197" s="312"/>
      <c r="Y197" s="312"/>
      <c r="Z197" s="340">
        <v>45671.0</v>
      </c>
      <c r="AA197" s="341">
        <v>1970.17</v>
      </c>
      <c r="AB197" s="341">
        <v>1970.17</v>
      </c>
      <c r="AC197" s="341">
        <v>1970.17</v>
      </c>
      <c r="AD197" s="341">
        <v>1970.17</v>
      </c>
      <c r="AE197" s="335" t="s">
        <v>238</v>
      </c>
      <c r="AF197" s="336">
        <f t="shared" si="3"/>
        <v>0.003504308206</v>
      </c>
      <c r="AG197" s="336"/>
      <c r="AH197" s="336"/>
      <c r="AI197" s="348"/>
      <c r="AJ197" s="312"/>
      <c r="AK197" s="312"/>
      <c r="AL197" s="353">
        <v>45671.0</v>
      </c>
      <c r="AM197" s="343">
        <v>22.472</v>
      </c>
      <c r="AN197" s="343">
        <v>22.472</v>
      </c>
      <c r="AO197" s="343">
        <v>22.472</v>
      </c>
      <c r="AP197" s="343">
        <v>22.472</v>
      </c>
      <c r="AQ197" s="335" t="s">
        <v>238</v>
      </c>
      <c r="AR197" s="336">
        <f t="shared" si="4"/>
        <v>0.0008458542519</v>
      </c>
      <c r="AS197" s="336"/>
      <c r="AT197" s="336"/>
      <c r="AU197" s="348"/>
      <c r="AV197" s="312"/>
      <c r="AW197" s="312"/>
      <c r="AX197" s="312"/>
      <c r="AY197" s="312"/>
      <c r="AZ197" s="312"/>
      <c r="BA197" s="312"/>
      <c r="BB197" s="312"/>
      <c r="BC197" s="312"/>
      <c r="BD197" s="316"/>
      <c r="BE197" s="316"/>
      <c r="BF197" s="316"/>
      <c r="BG197" s="316"/>
      <c r="BH197" s="316"/>
      <c r="BI197" s="316"/>
      <c r="BJ197" s="316"/>
      <c r="BK197" s="316"/>
      <c r="BL197" s="316"/>
      <c r="BM197" s="316"/>
      <c r="BN197" s="316"/>
      <c r="BO197" s="316"/>
      <c r="BP197" s="316"/>
      <c r="BQ197" s="316"/>
      <c r="BR197" s="316"/>
      <c r="BS197" s="316"/>
      <c r="BT197" s="316"/>
      <c r="BU197" s="316"/>
      <c r="BV197" s="316"/>
      <c r="BW197" s="316"/>
      <c r="BX197" s="316"/>
      <c r="BY197" s="316"/>
      <c r="BZ197" s="316"/>
      <c r="CA197" s="316"/>
      <c r="CB197" s="316"/>
      <c r="CC197" s="316"/>
      <c r="CD197" s="316"/>
    </row>
    <row r="198" ht="15.75" customHeight="1">
      <c r="A198" s="308"/>
      <c r="B198" s="334">
        <v>45672.0</v>
      </c>
      <c r="C198" s="335">
        <v>86.019</v>
      </c>
      <c r="D198" s="335">
        <v>86.019</v>
      </c>
      <c r="E198" s="335">
        <v>86.019</v>
      </c>
      <c r="F198" s="335">
        <v>86.019</v>
      </c>
      <c r="G198" s="335" t="s">
        <v>238</v>
      </c>
      <c r="H198" s="336">
        <f t="shared" si="1"/>
        <v>0.007479745719</v>
      </c>
      <c r="I198" s="336"/>
      <c r="J198" s="336"/>
      <c r="K198" s="348"/>
      <c r="L198" s="312"/>
      <c r="M198" s="312"/>
      <c r="N198" s="363">
        <v>45672.0</v>
      </c>
      <c r="O198" s="341">
        <v>32.008</v>
      </c>
      <c r="P198" s="341">
        <v>32.008</v>
      </c>
      <c r="Q198" s="341">
        <v>32.008</v>
      </c>
      <c r="R198" s="341">
        <v>32.008</v>
      </c>
      <c r="S198" s="335" t="s">
        <v>238</v>
      </c>
      <c r="T198" s="336">
        <f t="shared" si="2"/>
        <v>0.003317167805</v>
      </c>
      <c r="U198" s="336"/>
      <c r="V198" s="336"/>
      <c r="W198" s="348"/>
      <c r="X198" s="312"/>
      <c r="Y198" s="312"/>
      <c r="Z198" s="340">
        <v>45672.0</v>
      </c>
      <c r="AA198" s="341">
        <v>1970.698</v>
      </c>
      <c r="AB198" s="341">
        <v>1970.698</v>
      </c>
      <c r="AC198" s="341">
        <v>1970.698</v>
      </c>
      <c r="AD198" s="341">
        <v>1970.698</v>
      </c>
      <c r="AE198" s="335" t="s">
        <v>238</v>
      </c>
      <c r="AF198" s="336">
        <f t="shared" si="3"/>
        <v>0.0002679612731</v>
      </c>
      <c r="AG198" s="336"/>
      <c r="AH198" s="336"/>
      <c r="AI198" s="348"/>
      <c r="AJ198" s="312"/>
      <c r="AK198" s="312"/>
      <c r="AL198" s="353">
        <v>45672.0</v>
      </c>
      <c r="AM198" s="343">
        <v>22.493</v>
      </c>
      <c r="AN198" s="343">
        <v>22.493</v>
      </c>
      <c r="AO198" s="343">
        <v>22.493</v>
      </c>
      <c r="AP198" s="343">
        <v>22.493</v>
      </c>
      <c r="AQ198" s="335" t="s">
        <v>238</v>
      </c>
      <c r="AR198" s="336">
        <f t="shared" si="4"/>
        <v>0.0009340598922</v>
      </c>
      <c r="AS198" s="336"/>
      <c r="AT198" s="336"/>
      <c r="AU198" s="348"/>
      <c r="AV198" s="312"/>
      <c r="AW198" s="312"/>
      <c r="AX198" s="312"/>
      <c r="AY198" s="312"/>
      <c r="AZ198" s="312"/>
      <c r="BA198" s="312"/>
      <c r="BB198" s="312"/>
      <c r="BC198" s="312"/>
      <c r="BD198" s="316"/>
      <c r="BE198" s="316"/>
      <c r="BF198" s="316"/>
      <c r="BG198" s="316"/>
      <c r="BH198" s="316"/>
      <c r="BI198" s="316"/>
      <c r="BJ198" s="316"/>
      <c r="BK198" s="316"/>
      <c r="BL198" s="316"/>
      <c r="BM198" s="316"/>
      <c r="BN198" s="316"/>
      <c r="BO198" s="316"/>
      <c r="BP198" s="316"/>
      <c r="BQ198" s="316"/>
      <c r="BR198" s="316"/>
      <c r="BS198" s="316"/>
      <c r="BT198" s="316"/>
      <c r="BU198" s="316"/>
      <c r="BV198" s="316"/>
      <c r="BW198" s="316"/>
      <c r="BX198" s="316"/>
      <c r="BY198" s="316"/>
      <c r="BZ198" s="316"/>
      <c r="CA198" s="316"/>
      <c r="CB198" s="316"/>
      <c r="CC198" s="316"/>
      <c r="CD198" s="316"/>
    </row>
    <row r="199" ht="15.75" customHeight="1">
      <c r="A199" s="308"/>
      <c r="B199" s="362">
        <v>45673.0</v>
      </c>
      <c r="C199" s="335">
        <v>86.042</v>
      </c>
      <c r="D199" s="335">
        <v>86.042</v>
      </c>
      <c r="E199" s="335">
        <v>86.042</v>
      </c>
      <c r="F199" s="335">
        <v>86.042</v>
      </c>
      <c r="G199" s="335" t="s">
        <v>238</v>
      </c>
      <c r="H199" s="336">
        <f t="shared" si="1"/>
        <v>0.0002673470471</v>
      </c>
      <c r="I199" s="336"/>
      <c r="J199" s="336"/>
      <c r="K199" s="348"/>
      <c r="L199" s="312"/>
      <c r="M199" s="312"/>
      <c r="N199" s="363">
        <v>45673.0</v>
      </c>
      <c r="O199" s="341">
        <v>32.167</v>
      </c>
      <c r="P199" s="341">
        <v>32.167</v>
      </c>
      <c r="Q199" s="341">
        <v>32.167</v>
      </c>
      <c r="R199" s="341">
        <v>32.167</v>
      </c>
      <c r="S199" s="335" t="s">
        <v>238</v>
      </c>
      <c r="T199" s="336">
        <f t="shared" si="2"/>
        <v>0.004955210763</v>
      </c>
      <c r="U199" s="336"/>
      <c r="V199" s="336"/>
      <c r="W199" s="348"/>
      <c r="X199" s="312"/>
      <c r="Y199" s="312"/>
      <c r="Z199" s="363">
        <v>45673.0</v>
      </c>
      <c r="AA199" s="341">
        <v>1983.618</v>
      </c>
      <c r="AB199" s="341">
        <v>1983.618</v>
      </c>
      <c r="AC199" s="341">
        <v>1983.618</v>
      </c>
      <c r="AD199" s="341">
        <v>1983.618</v>
      </c>
      <c r="AE199" s="335" t="s">
        <v>238</v>
      </c>
      <c r="AF199" s="336">
        <f t="shared" si="3"/>
        <v>0.006534655286</v>
      </c>
      <c r="AG199" s="336"/>
      <c r="AH199" s="336"/>
      <c r="AI199" s="348"/>
      <c r="AJ199" s="312"/>
      <c r="AK199" s="312"/>
      <c r="AL199" s="353">
        <v>45673.0</v>
      </c>
      <c r="AM199" s="343">
        <v>22.513</v>
      </c>
      <c r="AN199" s="343">
        <v>22.513</v>
      </c>
      <c r="AO199" s="343">
        <v>22.513</v>
      </c>
      <c r="AP199" s="343">
        <v>22.513</v>
      </c>
      <c r="AQ199" s="335" t="s">
        <v>238</v>
      </c>
      <c r="AR199" s="336">
        <f t="shared" si="4"/>
        <v>0.0008887704447</v>
      </c>
      <c r="AS199" s="336"/>
      <c r="AT199" s="336"/>
      <c r="AU199" s="348"/>
      <c r="AV199" s="312"/>
      <c r="AW199" s="312"/>
      <c r="AX199" s="312"/>
      <c r="AY199" s="312"/>
      <c r="AZ199" s="312"/>
      <c r="BA199" s="312"/>
      <c r="BB199" s="312"/>
      <c r="BC199" s="312"/>
      <c r="BD199" s="316"/>
      <c r="BE199" s="316"/>
      <c r="BF199" s="316"/>
      <c r="BG199" s="316"/>
      <c r="BH199" s="316"/>
      <c r="BI199" s="316"/>
      <c r="BJ199" s="316"/>
      <c r="BK199" s="316"/>
      <c r="BL199" s="316"/>
      <c r="BM199" s="316"/>
      <c r="BN199" s="316"/>
      <c r="BO199" s="316"/>
      <c r="BP199" s="316"/>
      <c r="BQ199" s="316"/>
      <c r="BR199" s="316"/>
      <c r="BS199" s="316"/>
      <c r="BT199" s="316"/>
      <c r="BU199" s="316"/>
      <c r="BV199" s="316"/>
      <c r="BW199" s="316"/>
      <c r="BX199" s="316"/>
      <c r="BY199" s="316"/>
      <c r="BZ199" s="316"/>
      <c r="CA199" s="316"/>
      <c r="CB199" s="316"/>
      <c r="CC199" s="316"/>
      <c r="CD199" s="316"/>
    </row>
    <row r="200" ht="15.75" customHeight="1">
      <c r="A200" s="308"/>
      <c r="B200" s="362">
        <v>45674.0</v>
      </c>
      <c r="C200" s="335">
        <v>85.924</v>
      </c>
      <c r="D200" s="335">
        <v>85.924</v>
      </c>
      <c r="E200" s="335">
        <v>85.924</v>
      </c>
      <c r="F200" s="335">
        <v>85.924</v>
      </c>
      <c r="G200" s="335" t="s">
        <v>238</v>
      </c>
      <c r="H200" s="336">
        <f t="shared" si="1"/>
        <v>-0.00137236452</v>
      </c>
      <c r="I200" s="336"/>
      <c r="J200" s="336"/>
      <c r="K200" s="348"/>
      <c r="L200" s="312"/>
      <c r="M200" s="312"/>
      <c r="N200" s="363">
        <v>45674.0</v>
      </c>
      <c r="O200" s="341">
        <v>32.201</v>
      </c>
      <c r="P200" s="341">
        <v>32.201</v>
      </c>
      <c r="Q200" s="341">
        <v>32.201</v>
      </c>
      <c r="R200" s="341">
        <v>32.201</v>
      </c>
      <c r="S200" s="335" t="s">
        <v>238</v>
      </c>
      <c r="T200" s="336">
        <f t="shared" si="2"/>
        <v>0.001056425651</v>
      </c>
      <c r="U200" s="336"/>
      <c r="V200" s="336"/>
      <c r="W200" s="348"/>
      <c r="X200" s="312"/>
      <c r="Y200" s="312"/>
      <c r="Z200" s="363">
        <v>45674.0</v>
      </c>
      <c r="AA200" s="341">
        <v>1969.037</v>
      </c>
      <c r="AB200" s="341">
        <v>1969.037</v>
      </c>
      <c r="AC200" s="341">
        <v>1969.037</v>
      </c>
      <c r="AD200" s="341">
        <v>1969.037</v>
      </c>
      <c r="AE200" s="335" t="s">
        <v>238</v>
      </c>
      <c r="AF200" s="336">
        <f t="shared" si="3"/>
        <v>-0.007377859257</v>
      </c>
      <c r="AG200" s="336"/>
      <c r="AH200" s="336"/>
      <c r="AI200" s="348"/>
      <c r="AJ200" s="312"/>
      <c r="AK200" s="312"/>
      <c r="AL200" s="353">
        <v>45674.0</v>
      </c>
      <c r="AM200" s="343">
        <v>22.516</v>
      </c>
      <c r="AN200" s="343">
        <v>22.516</v>
      </c>
      <c r="AO200" s="343">
        <v>22.516</v>
      </c>
      <c r="AP200" s="343">
        <v>22.516</v>
      </c>
      <c r="AQ200" s="335" t="s">
        <v>238</v>
      </c>
      <c r="AR200" s="336">
        <f t="shared" si="4"/>
        <v>0.0001332474629</v>
      </c>
      <c r="AS200" s="336"/>
      <c r="AT200" s="336"/>
      <c r="AU200" s="348"/>
      <c r="AV200" s="312"/>
      <c r="AW200" s="312"/>
      <c r="AX200" s="312"/>
      <c r="AY200" s="312"/>
      <c r="AZ200" s="312"/>
      <c r="BA200" s="312"/>
      <c r="BB200" s="312"/>
      <c r="BC200" s="312"/>
      <c r="BD200" s="316"/>
      <c r="BE200" s="316"/>
      <c r="BF200" s="316"/>
      <c r="BG200" s="316"/>
      <c r="BH200" s="316"/>
      <c r="BI200" s="316"/>
      <c r="BJ200" s="316"/>
      <c r="BK200" s="316"/>
      <c r="BL200" s="316"/>
      <c r="BM200" s="316"/>
      <c r="BN200" s="316"/>
      <c r="BO200" s="316"/>
      <c r="BP200" s="316"/>
      <c r="BQ200" s="316"/>
      <c r="BR200" s="316"/>
      <c r="BS200" s="316"/>
      <c r="BT200" s="316"/>
      <c r="BU200" s="316"/>
      <c r="BV200" s="316"/>
      <c r="BW200" s="316"/>
      <c r="BX200" s="316"/>
      <c r="BY200" s="316"/>
      <c r="BZ200" s="316"/>
      <c r="CA200" s="316"/>
      <c r="CB200" s="316"/>
      <c r="CC200" s="316"/>
      <c r="CD200" s="316"/>
    </row>
    <row r="201" ht="15.75" customHeight="1">
      <c r="A201" s="308"/>
      <c r="B201" s="362">
        <v>45677.0</v>
      </c>
      <c r="C201" s="335">
        <v>86.356</v>
      </c>
      <c r="D201" s="335">
        <v>86.356</v>
      </c>
      <c r="E201" s="335">
        <v>86.356</v>
      </c>
      <c r="F201" s="335">
        <v>86.356</v>
      </c>
      <c r="G201" s="335" t="s">
        <v>238</v>
      </c>
      <c r="H201" s="336">
        <f t="shared" si="1"/>
        <v>0.005015102222</v>
      </c>
      <c r="I201" s="336"/>
      <c r="J201" s="336"/>
      <c r="K201" s="348"/>
      <c r="L201" s="312"/>
      <c r="M201" s="312"/>
      <c r="N201" s="363">
        <v>45677.0</v>
      </c>
      <c r="O201" s="341">
        <v>32.167</v>
      </c>
      <c r="P201" s="341">
        <v>32.167</v>
      </c>
      <c r="Q201" s="341">
        <v>32.167</v>
      </c>
      <c r="R201" s="341">
        <v>32.167</v>
      </c>
      <c r="S201" s="335" t="s">
        <v>238</v>
      </c>
      <c r="T201" s="336">
        <f t="shared" si="2"/>
        <v>-0.001056425651</v>
      </c>
      <c r="U201" s="336"/>
      <c r="V201" s="336"/>
      <c r="W201" s="348"/>
      <c r="X201" s="312"/>
      <c r="Y201" s="312"/>
      <c r="Z201" s="363">
        <v>45677.0</v>
      </c>
      <c r="AA201" s="341">
        <v>1981.497</v>
      </c>
      <c r="AB201" s="341">
        <v>1981.497</v>
      </c>
      <c r="AC201" s="341">
        <v>1981.497</v>
      </c>
      <c r="AD201" s="341">
        <v>1981.497</v>
      </c>
      <c r="AE201" s="335" t="s">
        <v>238</v>
      </c>
      <c r="AF201" s="336">
        <f t="shared" si="3"/>
        <v>0.006308028898</v>
      </c>
      <c r="AG201" s="336"/>
      <c r="AH201" s="336"/>
      <c r="AI201" s="348"/>
      <c r="AJ201" s="312"/>
      <c r="AK201" s="312"/>
      <c r="AL201" s="353">
        <v>45677.0</v>
      </c>
      <c r="AM201" s="343">
        <v>22.523</v>
      </c>
      <c r="AN201" s="343">
        <v>22.523</v>
      </c>
      <c r="AO201" s="343">
        <v>22.523</v>
      </c>
      <c r="AP201" s="343">
        <v>22.523</v>
      </c>
      <c r="AQ201" s="335" t="s">
        <v>238</v>
      </c>
      <c r="AR201" s="336">
        <f t="shared" si="4"/>
        <v>0.0003108417175</v>
      </c>
      <c r="AS201" s="336"/>
      <c r="AT201" s="336"/>
      <c r="AU201" s="348"/>
      <c r="AV201" s="312"/>
      <c r="AW201" s="312"/>
      <c r="AX201" s="312"/>
      <c r="AY201" s="312"/>
      <c r="AZ201" s="312"/>
      <c r="BA201" s="312"/>
      <c r="BB201" s="312"/>
      <c r="BC201" s="312"/>
      <c r="BD201" s="316"/>
      <c r="BE201" s="316"/>
      <c r="BF201" s="316"/>
      <c r="BG201" s="316"/>
      <c r="BH201" s="316"/>
      <c r="BI201" s="316"/>
      <c r="BJ201" s="316"/>
      <c r="BK201" s="316"/>
      <c r="BL201" s="316"/>
      <c r="BM201" s="316"/>
      <c r="BN201" s="316"/>
      <c r="BO201" s="316"/>
      <c r="BP201" s="316"/>
      <c r="BQ201" s="316"/>
      <c r="BR201" s="316"/>
      <c r="BS201" s="316"/>
      <c r="BT201" s="316"/>
      <c r="BU201" s="316"/>
      <c r="BV201" s="316"/>
      <c r="BW201" s="316"/>
      <c r="BX201" s="316"/>
      <c r="BY201" s="316"/>
      <c r="BZ201" s="316"/>
      <c r="CA201" s="316"/>
      <c r="CB201" s="316"/>
      <c r="CC201" s="316"/>
      <c r="CD201" s="316"/>
    </row>
    <row r="202" ht="15.75" customHeight="1">
      <c r="A202" s="308"/>
      <c r="B202" s="362">
        <v>45678.0</v>
      </c>
      <c r="C202" s="335">
        <v>85.725</v>
      </c>
      <c r="D202" s="335">
        <v>85.725</v>
      </c>
      <c r="E202" s="335">
        <v>85.725</v>
      </c>
      <c r="F202" s="335">
        <v>85.725</v>
      </c>
      <c r="G202" s="335" t="s">
        <v>238</v>
      </c>
      <c r="H202" s="336">
        <f t="shared" si="1"/>
        <v>-0.007333788485</v>
      </c>
      <c r="I202" s="336"/>
      <c r="J202" s="336"/>
      <c r="K202" s="348"/>
      <c r="L202" s="312"/>
      <c r="M202" s="312"/>
      <c r="N202" s="363">
        <v>45678.0</v>
      </c>
      <c r="O202" s="341">
        <v>32.341</v>
      </c>
      <c r="P202" s="341">
        <v>32.341</v>
      </c>
      <c r="Q202" s="341">
        <v>32.341</v>
      </c>
      <c r="R202" s="341">
        <v>32.341</v>
      </c>
      <c r="S202" s="335" t="s">
        <v>238</v>
      </c>
      <c r="T202" s="336">
        <f t="shared" si="2"/>
        <v>0.005394692813</v>
      </c>
      <c r="U202" s="336"/>
      <c r="V202" s="336"/>
      <c r="W202" s="348"/>
      <c r="X202" s="312"/>
      <c r="Y202" s="312"/>
      <c r="Z202" s="363">
        <v>45678.0</v>
      </c>
      <c r="AA202" s="341">
        <v>1956.585</v>
      </c>
      <c r="AB202" s="341">
        <v>1956.585</v>
      </c>
      <c r="AC202" s="341">
        <v>1956.585</v>
      </c>
      <c r="AD202" s="341">
        <v>1956.585</v>
      </c>
      <c r="AE202" s="335" t="s">
        <v>238</v>
      </c>
      <c r="AF202" s="336">
        <f t="shared" si="3"/>
        <v>-0.01265201299</v>
      </c>
      <c r="AG202" s="336"/>
      <c r="AH202" s="336"/>
      <c r="AI202" s="348"/>
      <c r="AJ202" s="312"/>
      <c r="AK202" s="312"/>
      <c r="AL202" s="353">
        <v>45678.0</v>
      </c>
      <c r="AM202" s="343">
        <v>22.53</v>
      </c>
      <c r="AN202" s="343">
        <v>22.53</v>
      </c>
      <c r="AO202" s="343">
        <v>22.53</v>
      </c>
      <c r="AP202" s="343">
        <v>22.53</v>
      </c>
      <c r="AQ202" s="335" t="s">
        <v>238</v>
      </c>
      <c r="AR202" s="336">
        <f t="shared" si="4"/>
        <v>0.0003107451249</v>
      </c>
      <c r="AS202" s="336"/>
      <c r="AT202" s="336"/>
      <c r="AU202" s="348"/>
      <c r="AV202" s="312"/>
      <c r="AW202" s="312"/>
      <c r="AX202" s="312"/>
      <c r="AY202" s="312"/>
      <c r="AZ202" s="312"/>
      <c r="BA202" s="312"/>
      <c r="BB202" s="312"/>
      <c r="BC202" s="312"/>
      <c r="BD202" s="316"/>
      <c r="BE202" s="316"/>
      <c r="BF202" s="316"/>
      <c r="BG202" s="316"/>
      <c r="BH202" s="316"/>
      <c r="BI202" s="316"/>
      <c r="BJ202" s="316"/>
      <c r="BK202" s="316"/>
      <c r="BL202" s="316"/>
      <c r="BM202" s="316"/>
      <c r="BN202" s="316"/>
      <c r="BO202" s="316"/>
      <c r="BP202" s="316"/>
      <c r="BQ202" s="316"/>
      <c r="BR202" s="316"/>
      <c r="BS202" s="316"/>
      <c r="BT202" s="316"/>
      <c r="BU202" s="316"/>
      <c r="BV202" s="316"/>
      <c r="BW202" s="316"/>
      <c r="BX202" s="316"/>
      <c r="BY202" s="316"/>
      <c r="BZ202" s="316"/>
      <c r="CA202" s="316"/>
      <c r="CB202" s="316"/>
      <c r="CC202" s="316"/>
      <c r="CD202" s="316"/>
    </row>
    <row r="203" ht="15.75" customHeight="1">
      <c r="A203" s="308"/>
      <c r="B203" s="362">
        <v>45679.0</v>
      </c>
      <c r="C203" s="335">
        <v>86.3</v>
      </c>
      <c r="D203" s="335">
        <v>86.3</v>
      </c>
      <c r="E203" s="335">
        <v>86.3</v>
      </c>
      <c r="F203" s="335">
        <v>86.3</v>
      </c>
      <c r="G203" s="335" t="s">
        <v>238</v>
      </c>
      <c r="H203" s="336">
        <f t="shared" si="1"/>
        <v>0.00668509974</v>
      </c>
      <c r="I203" s="336"/>
      <c r="J203" s="336"/>
      <c r="K203" s="348"/>
      <c r="L203" s="312"/>
      <c r="M203" s="312"/>
      <c r="N203" s="363">
        <v>45679.0</v>
      </c>
      <c r="O203" s="341">
        <v>32.664</v>
      </c>
      <c r="P203" s="341">
        <v>32.664</v>
      </c>
      <c r="Q203" s="341">
        <v>32.664</v>
      </c>
      <c r="R203" s="341">
        <v>32.664</v>
      </c>
      <c r="S203" s="335" t="s">
        <v>238</v>
      </c>
      <c r="T203" s="336">
        <f t="shared" si="2"/>
        <v>0.009937778887</v>
      </c>
      <c r="U203" s="336"/>
      <c r="V203" s="336"/>
      <c r="W203" s="348"/>
      <c r="X203" s="312"/>
      <c r="Y203" s="312"/>
      <c r="Z203" s="363">
        <v>45679.0</v>
      </c>
      <c r="AA203" s="341">
        <v>1960.22</v>
      </c>
      <c r="AB203" s="341">
        <v>1960.22</v>
      </c>
      <c r="AC203" s="341">
        <v>1960.22</v>
      </c>
      <c r="AD203" s="341">
        <v>1960.22</v>
      </c>
      <c r="AE203" s="335" t="s">
        <v>238</v>
      </c>
      <c r="AF203" s="336">
        <f t="shared" si="3"/>
        <v>0.00185610519</v>
      </c>
      <c r="AG203" s="336"/>
      <c r="AH203" s="336"/>
      <c r="AI203" s="348"/>
      <c r="AJ203" s="312"/>
      <c r="AK203" s="312"/>
      <c r="AL203" s="353">
        <v>45679.0</v>
      </c>
      <c r="AM203" s="343">
        <v>22.543</v>
      </c>
      <c r="AN203" s="343">
        <v>22.543</v>
      </c>
      <c r="AO203" s="343">
        <v>22.543</v>
      </c>
      <c r="AP203" s="343">
        <v>22.543</v>
      </c>
      <c r="AQ203" s="335" t="s">
        <v>238</v>
      </c>
      <c r="AR203" s="336">
        <f t="shared" si="4"/>
        <v>0.0005768420278</v>
      </c>
      <c r="AS203" s="336"/>
      <c r="AT203" s="336"/>
      <c r="AU203" s="348"/>
      <c r="AV203" s="312"/>
      <c r="AW203" s="312"/>
      <c r="AX203" s="312"/>
      <c r="AY203" s="312"/>
      <c r="AZ203" s="312"/>
      <c r="BA203" s="312"/>
      <c r="BB203" s="312"/>
      <c r="BC203" s="312"/>
      <c r="BD203" s="316"/>
      <c r="BE203" s="316"/>
      <c r="BF203" s="316"/>
      <c r="BG203" s="316"/>
      <c r="BH203" s="316"/>
      <c r="BI203" s="316"/>
      <c r="BJ203" s="316"/>
      <c r="BK203" s="316"/>
      <c r="BL203" s="316"/>
      <c r="BM203" s="316"/>
      <c r="BN203" s="316"/>
      <c r="BO203" s="316"/>
      <c r="BP203" s="316"/>
      <c r="BQ203" s="316"/>
      <c r="BR203" s="316"/>
      <c r="BS203" s="316"/>
      <c r="BT203" s="316"/>
      <c r="BU203" s="316"/>
      <c r="BV203" s="316"/>
      <c r="BW203" s="316"/>
      <c r="BX203" s="316"/>
      <c r="BY203" s="316"/>
      <c r="BZ203" s="316"/>
      <c r="CA203" s="316"/>
      <c r="CB203" s="316"/>
      <c r="CC203" s="316"/>
      <c r="CD203" s="316"/>
    </row>
    <row r="204" ht="15.75" customHeight="1">
      <c r="A204" s="308"/>
      <c r="B204" s="362">
        <v>45680.0</v>
      </c>
      <c r="C204" s="335">
        <v>86.411</v>
      </c>
      <c r="D204" s="335">
        <v>86.411</v>
      </c>
      <c r="E204" s="335">
        <v>86.411</v>
      </c>
      <c r="F204" s="335">
        <v>86.411</v>
      </c>
      <c r="G204" s="335" t="s">
        <v>238</v>
      </c>
      <c r="H204" s="336">
        <f t="shared" si="1"/>
        <v>0.001285384432</v>
      </c>
      <c r="I204" s="336"/>
      <c r="J204" s="336"/>
      <c r="K204" s="348"/>
      <c r="L204" s="312"/>
      <c r="M204" s="312"/>
      <c r="N204" s="340">
        <v>45680.0</v>
      </c>
      <c r="O204" s="341">
        <v>32.572</v>
      </c>
      <c r="P204" s="341">
        <v>32.572</v>
      </c>
      <c r="Q204" s="341">
        <v>32.572</v>
      </c>
      <c r="R204" s="341">
        <v>32.572</v>
      </c>
      <c r="S204" s="335" t="s">
        <v>238</v>
      </c>
      <c r="T204" s="336">
        <f t="shared" si="2"/>
        <v>-0.002820530412</v>
      </c>
      <c r="U204" s="336"/>
      <c r="V204" s="336"/>
      <c r="W204" s="348"/>
      <c r="X204" s="312"/>
      <c r="Y204" s="312"/>
      <c r="Z204" s="363">
        <v>45680.0</v>
      </c>
      <c r="AA204" s="341">
        <v>1961.392</v>
      </c>
      <c r="AB204" s="341">
        <v>1961.392</v>
      </c>
      <c r="AC204" s="341">
        <v>1961.392</v>
      </c>
      <c r="AD204" s="341">
        <v>1961.392</v>
      </c>
      <c r="AE204" s="335" t="s">
        <v>238</v>
      </c>
      <c r="AF204" s="336">
        <f t="shared" si="3"/>
        <v>0.0005977134071</v>
      </c>
      <c r="AG204" s="336"/>
      <c r="AH204" s="336"/>
      <c r="AI204" s="348"/>
      <c r="AJ204" s="312"/>
      <c r="AK204" s="312"/>
      <c r="AL204" s="353">
        <v>45680.0</v>
      </c>
      <c r="AM204" s="343">
        <v>22.529</v>
      </c>
      <c r="AN204" s="343">
        <v>22.529</v>
      </c>
      <c r="AO204" s="343">
        <v>22.529</v>
      </c>
      <c r="AP204" s="343">
        <v>22.529</v>
      </c>
      <c r="AQ204" s="335" t="s">
        <v>238</v>
      </c>
      <c r="AR204" s="336">
        <f t="shared" si="4"/>
        <v>-0.000621228277</v>
      </c>
      <c r="AS204" s="336"/>
      <c r="AT204" s="336"/>
      <c r="AU204" s="348"/>
      <c r="AV204" s="312"/>
      <c r="AW204" s="312"/>
      <c r="AX204" s="312"/>
      <c r="AY204" s="312"/>
      <c r="AZ204" s="312"/>
      <c r="BA204" s="312"/>
      <c r="BB204" s="312"/>
      <c r="BC204" s="312"/>
      <c r="BD204" s="316"/>
      <c r="BE204" s="316"/>
      <c r="BF204" s="316"/>
      <c r="BG204" s="316"/>
      <c r="BH204" s="316"/>
      <c r="BI204" s="316"/>
      <c r="BJ204" s="316"/>
      <c r="BK204" s="316"/>
      <c r="BL204" s="316"/>
      <c r="BM204" s="316"/>
      <c r="BN204" s="316"/>
      <c r="BO204" s="316"/>
      <c r="BP204" s="316"/>
      <c r="BQ204" s="316"/>
      <c r="BR204" s="316"/>
      <c r="BS204" s="316"/>
      <c r="BT204" s="316"/>
      <c r="BU204" s="316"/>
      <c r="BV204" s="316"/>
      <c r="BW204" s="316"/>
      <c r="BX204" s="316"/>
      <c r="BY204" s="316"/>
      <c r="BZ204" s="316"/>
      <c r="CA204" s="316"/>
      <c r="CB204" s="316"/>
      <c r="CC204" s="316"/>
      <c r="CD204" s="316"/>
    </row>
    <row r="205" ht="15.75" customHeight="1">
      <c r="A205" s="308"/>
      <c r="B205" s="362">
        <v>45681.0</v>
      </c>
      <c r="C205" s="335">
        <v>86.12</v>
      </c>
      <c r="D205" s="335">
        <v>86.12</v>
      </c>
      <c r="E205" s="335">
        <v>86.12</v>
      </c>
      <c r="F205" s="335">
        <v>86.12</v>
      </c>
      <c r="G205" s="335" t="s">
        <v>238</v>
      </c>
      <c r="H205" s="336">
        <f t="shared" si="1"/>
        <v>-0.003373310025</v>
      </c>
      <c r="I205" s="336"/>
      <c r="J205" s="336"/>
      <c r="K205" s="348"/>
      <c r="L205" s="312"/>
      <c r="M205" s="312"/>
      <c r="N205" s="340">
        <v>45681.0</v>
      </c>
      <c r="O205" s="341">
        <v>32.736</v>
      </c>
      <c r="P205" s="341">
        <v>32.736</v>
      </c>
      <c r="Q205" s="341">
        <v>32.736</v>
      </c>
      <c r="R205" s="341">
        <v>32.736</v>
      </c>
      <c r="S205" s="335" t="s">
        <v>238</v>
      </c>
      <c r="T205" s="336">
        <f t="shared" si="2"/>
        <v>0.005022366164</v>
      </c>
      <c r="U205" s="336"/>
      <c r="V205" s="336"/>
      <c r="W205" s="348"/>
      <c r="X205" s="312"/>
      <c r="Y205" s="312"/>
      <c r="Z205" s="363">
        <v>45681.0</v>
      </c>
      <c r="AA205" s="341">
        <v>1946.643</v>
      </c>
      <c r="AB205" s="341">
        <v>1946.643</v>
      </c>
      <c r="AC205" s="341">
        <v>1946.643</v>
      </c>
      <c r="AD205" s="341">
        <v>1946.643</v>
      </c>
      <c r="AE205" s="335" t="s">
        <v>238</v>
      </c>
      <c r="AF205" s="336">
        <f t="shared" si="3"/>
        <v>-0.007548074685</v>
      </c>
      <c r="AG205" s="336"/>
      <c r="AH205" s="336"/>
      <c r="AI205" s="348"/>
      <c r="AJ205" s="312"/>
      <c r="AK205" s="312"/>
      <c r="AL205" s="353">
        <v>45681.0</v>
      </c>
      <c r="AM205" s="343">
        <v>22.541</v>
      </c>
      <c r="AN205" s="343">
        <v>22.541</v>
      </c>
      <c r="AO205" s="343">
        <v>22.541</v>
      </c>
      <c r="AP205" s="343">
        <v>22.541</v>
      </c>
      <c r="AQ205" s="335" t="s">
        <v>238</v>
      </c>
      <c r="AR205" s="336">
        <f t="shared" si="4"/>
        <v>0.0005325050048</v>
      </c>
      <c r="AS205" s="336"/>
      <c r="AT205" s="336"/>
      <c r="AU205" s="348"/>
      <c r="AV205" s="312"/>
      <c r="AW205" s="312"/>
      <c r="AX205" s="312"/>
      <c r="AY205" s="312"/>
      <c r="AZ205" s="312"/>
      <c r="BA205" s="312"/>
      <c r="BB205" s="312"/>
      <c r="BC205" s="312"/>
      <c r="BD205" s="316"/>
      <c r="BE205" s="316"/>
      <c r="BF205" s="316"/>
      <c r="BG205" s="316"/>
      <c r="BH205" s="316"/>
      <c r="BI205" s="316"/>
      <c r="BJ205" s="316"/>
      <c r="BK205" s="316"/>
      <c r="BL205" s="316"/>
      <c r="BM205" s="316"/>
      <c r="BN205" s="316"/>
      <c r="BO205" s="316"/>
      <c r="BP205" s="316"/>
      <c r="BQ205" s="316"/>
      <c r="BR205" s="316"/>
      <c r="BS205" s="316"/>
      <c r="BT205" s="316"/>
      <c r="BU205" s="316"/>
      <c r="BV205" s="316"/>
      <c r="BW205" s="316"/>
      <c r="BX205" s="316"/>
      <c r="BY205" s="316"/>
      <c r="BZ205" s="316"/>
      <c r="CA205" s="316"/>
      <c r="CB205" s="316"/>
      <c r="CC205" s="316"/>
      <c r="CD205" s="316"/>
    </row>
    <row r="206" ht="15.75" customHeight="1">
      <c r="A206" s="308"/>
      <c r="B206" s="362">
        <v>45684.0</v>
      </c>
      <c r="C206" s="335">
        <v>85.271</v>
      </c>
      <c r="D206" s="335">
        <v>85.271</v>
      </c>
      <c r="E206" s="335">
        <v>85.271</v>
      </c>
      <c r="F206" s="335">
        <v>85.271</v>
      </c>
      <c r="G206" s="335" t="s">
        <v>238</v>
      </c>
      <c r="H206" s="336">
        <f t="shared" si="1"/>
        <v>-0.009907252357</v>
      </c>
      <c r="I206" s="336"/>
      <c r="J206" s="336"/>
      <c r="K206" s="348"/>
      <c r="L206" s="312"/>
      <c r="M206" s="312"/>
      <c r="N206" s="340">
        <v>45684.0</v>
      </c>
      <c r="O206" s="341">
        <v>32.697</v>
      </c>
      <c r="P206" s="341">
        <v>32.697</v>
      </c>
      <c r="Q206" s="341">
        <v>32.697</v>
      </c>
      <c r="R206" s="341">
        <v>32.697</v>
      </c>
      <c r="S206" s="335" t="s">
        <v>238</v>
      </c>
      <c r="T206" s="336">
        <f t="shared" si="2"/>
        <v>-0.001192059194</v>
      </c>
      <c r="U206" s="336"/>
      <c r="V206" s="336"/>
      <c r="W206" s="348"/>
      <c r="X206" s="312"/>
      <c r="Y206" s="312"/>
      <c r="Z206" s="363">
        <v>45684.0</v>
      </c>
      <c r="AA206" s="341">
        <v>1926.203</v>
      </c>
      <c r="AB206" s="341">
        <v>1926.203</v>
      </c>
      <c r="AC206" s="341">
        <v>1926.203</v>
      </c>
      <c r="AD206" s="341">
        <v>1926.203</v>
      </c>
      <c r="AE206" s="335" t="s">
        <v>238</v>
      </c>
      <c r="AF206" s="336">
        <f t="shared" si="3"/>
        <v>-0.01055564295</v>
      </c>
      <c r="AG206" s="336"/>
      <c r="AH206" s="336"/>
      <c r="AI206" s="348"/>
      <c r="AJ206" s="312"/>
      <c r="AK206" s="312"/>
      <c r="AL206" s="353">
        <v>45684.0</v>
      </c>
      <c r="AM206" s="343">
        <v>22.561</v>
      </c>
      <c r="AN206" s="343">
        <v>22.561</v>
      </c>
      <c r="AO206" s="343">
        <v>22.561</v>
      </c>
      <c r="AP206" s="343">
        <v>22.561</v>
      </c>
      <c r="AQ206" s="335" t="s">
        <v>238</v>
      </c>
      <c r="AR206" s="336">
        <f t="shared" si="4"/>
        <v>0.0008868786888</v>
      </c>
      <c r="AS206" s="336"/>
      <c r="AT206" s="336"/>
      <c r="AU206" s="348"/>
      <c r="AV206" s="312"/>
      <c r="AW206" s="312"/>
      <c r="AX206" s="312"/>
      <c r="AY206" s="312"/>
      <c r="AZ206" s="312"/>
      <c r="BA206" s="312"/>
      <c r="BB206" s="312"/>
      <c r="BC206" s="312"/>
      <c r="BD206" s="316"/>
      <c r="BE206" s="316"/>
      <c r="BF206" s="316"/>
      <c r="BG206" s="316"/>
      <c r="BH206" s="316"/>
      <c r="BI206" s="316"/>
      <c r="BJ206" s="316"/>
      <c r="BK206" s="316"/>
      <c r="BL206" s="316"/>
      <c r="BM206" s="316"/>
      <c r="BN206" s="316"/>
      <c r="BO206" s="316"/>
      <c r="BP206" s="316"/>
      <c r="BQ206" s="316"/>
      <c r="BR206" s="316"/>
      <c r="BS206" s="316"/>
      <c r="BT206" s="316"/>
      <c r="BU206" s="316"/>
      <c r="BV206" s="316"/>
      <c r="BW206" s="316"/>
      <c r="BX206" s="316"/>
      <c r="BY206" s="316"/>
      <c r="BZ206" s="316"/>
      <c r="CA206" s="316"/>
      <c r="CB206" s="316"/>
      <c r="CC206" s="316"/>
      <c r="CD206" s="316"/>
    </row>
    <row r="207" ht="15.75" customHeight="1">
      <c r="A207" s="308"/>
      <c r="B207" s="362">
        <v>45685.0</v>
      </c>
      <c r="C207" s="335">
        <v>85.674</v>
      </c>
      <c r="D207" s="335">
        <v>85.674</v>
      </c>
      <c r="E207" s="335">
        <v>85.674</v>
      </c>
      <c r="F207" s="335">
        <v>85.674</v>
      </c>
      <c r="G207" s="335" t="s">
        <v>238</v>
      </c>
      <c r="H207" s="336">
        <f t="shared" si="1"/>
        <v>0.004714975537</v>
      </c>
      <c r="I207" s="336"/>
      <c r="J207" s="336"/>
      <c r="K207" s="348"/>
      <c r="L207" s="312"/>
      <c r="M207" s="312"/>
      <c r="N207" s="340">
        <v>45685.0</v>
      </c>
      <c r="O207" s="341">
        <v>32.644</v>
      </c>
      <c r="P207" s="341">
        <v>32.644</v>
      </c>
      <c r="Q207" s="341">
        <v>32.644</v>
      </c>
      <c r="R207" s="341">
        <v>32.644</v>
      </c>
      <c r="S207" s="335" t="s">
        <v>238</v>
      </c>
      <c r="T207" s="336">
        <f t="shared" si="2"/>
        <v>-0.001622258968</v>
      </c>
      <c r="U207" s="336"/>
      <c r="V207" s="336"/>
      <c r="W207" s="348"/>
      <c r="X207" s="312"/>
      <c r="Y207" s="312"/>
      <c r="Z207" s="363">
        <v>45685.0</v>
      </c>
      <c r="AA207" s="341">
        <v>1940.085</v>
      </c>
      <c r="AB207" s="341">
        <v>1940.085</v>
      </c>
      <c r="AC207" s="341">
        <v>1940.085</v>
      </c>
      <c r="AD207" s="341">
        <v>1940.085</v>
      </c>
      <c r="AE207" s="335" t="s">
        <v>238</v>
      </c>
      <c r="AF207" s="336">
        <f t="shared" si="3"/>
        <v>0.007181078934</v>
      </c>
      <c r="AG207" s="336"/>
      <c r="AH207" s="336"/>
      <c r="AI207" s="348"/>
      <c r="AJ207" s="312"/>
      <c r="AK207" s="312"/>
      <c r="AL207" s="353">
        <v>45685.0</v>
      </c>
      <c r="AM207" s="343">
        <v>22.56</v>
      </c>
      <c r="AN207" s="343">
        <v>22.56</v>
      </c>
      <c r="AO207" s="343">
        <v>22.56</v>
      </c>
      <c r="AP207" s="343">
        <v>22.56</v>
      </c>
      <c r="AQ207" s="335" t="s">
        <v>238</v>
      </c>
      <c r="AR207" s="336">
        <f t="shared" si="4"/>
        <v>-0.00004432525876</v>
      </c>
      <c r="AS207" s="336"/>
      <c r="AT207" s="336"/>
      <c r="AU207" s="348"/>
      <c r="AV207" s="312"/>
      <c r="AW207" s="312"/>
      <c r="AX207" s="312"/>
      <c r="AY207" s="312"/>
      <c r="AZ207" s="312"/>
      <c r="BA207" s="312"/>
      <c r="BB207" s="312"/>
      <c r="BC207" s="312"/>
      <c r="BD207" s="316"/>
      <c r="BE207" s="316"/>
      <c r="BF207" s="316"/>
      <c r="BG207" s="316"/>
      <c r="BH207" s="316"/>
      <c r="BI207" s="316"/>
      <c r="BJ207" s="316"/>
      <c r="BK207" s="316"/>
      <c r="BL207" s="316"/>
      <c r="BM207" s="316"/>
      <c r="BN207" s="316"/>
      <c r="BO207" s="316"/>
      <c r="BP207" s="316"/>
      <c r="BQ207" s="316"/>
      <c r="BR207" s="316"/>
      <c r="BS207" s="316"/>
      <c r="BT207" s="316"/>
      <c r="BU207" s="316"/>
      <c r="BV207" s="316"/>
      <c r="BW207" s="316"/>
      <c r="BX207" s="316"/>
      <c r="BY207" s="316"/>
      <c r="BZ207" s="316"/>
      <c r="CA207" s="316"/>
      <c r="CB207" s="316"/>
      <c r="CC207" s="316"/>
      <c r="CD207" s="316"/>
    </row>
    <row r="208" ht="15.75" customHeight="1">
      <c r="A208" s="308"/>
      <c r="B208" s="362">
        <v>45686.0</v>
      </c>
      <c r="C208" s="335">
        <v>86.324</v>
      </c>
      <c r="D208" s="335">
        <v>86.324</v>
      </c>
      <c r="E208" s="335">
        <v>86.324</v>
      </c>
      <c r="F208" s="335">
        <v>86.324</v>
      </c>
      <c r="G208" s="335" t="s">
        <v>238</v>
      </c>
      <c r="H208" s="336">
        <f t="shared" si="1"/>
        <v>0.007558263403</v>
      </c>
      <c r="I208" s="336"/>
      <c r="J208" s="336"/>
      <c r="K208" s="348"/>
      <c r="L208" s="312"/>
      <c r="M208" s="312"/>
      <c r="N208" s="340">
        <v>45686.0</v>
      </c>
      <c r="O208" s="341">
        <v>32.779</v>
      </c>
      <c r="P208" s="341">
        <v>32.779</v>
      </c>
      <c r="Q208" s="341">
        <v>32.779</v>
      </c>
      <c r="R208" s="341">
        <v>32.779</v>
      </c>
      <c r="S208" s="335" t="s">
        <v>238</v>
      </c>
      <c r="T208" s="336">
        <f t="shared" si="2"/>
        <v>0.004126994837</v>
      </c>
      <c r="U208" s="336"/>
      <c r="V208" s="336"/>
      <c r="W208" s="348"/>
      <c r="X208" s="312"/>
      <c r="Y208" s="312"/>
      <c r="Z208" s="363">
        <v>45686.0</v>
      </c>
      <c r="AA208" s="341">
        <v>1958.902</v>
      </c>
      <c r="AB208" s="341">
        <v>1958.902</v>
      </c>
      <c r="AC208" s="341">
        <v>1958.902</v>
      </c>
      <c r="AD208" s="341">
        <v>1958.902</v>
      </c>
      <c r="AE208" s="335" t="s">
        <v>238</v>
      </c>
      <c r="AF208" s="336">
        <f t="shared" si="3"/>
        <v>0.009652325639</v>
      </c>
      <c r="AG208" s="336"/>
      <c r="AH208" s="336"/>
      <c r="AI208" s="348"/>
      <c r="AJ208" s="312"/>
      <c r="AK208" s="312"/>
      <c r="AL208" s="353">
        <v>45686.0</v>
      </c>
      <c r="AM208" s="343">
        <v>22.575</v>
      </c>
      <c r="AN208" s="343">
        <v>22.575</v>
      </c>
      <c r="AO208" s="343">
        <v>22.575</v>
      </c>
      <c r="AP208" s="343">
        <v>22.575</v>
      </c>
      <c r="AQ208" s="335" t="s">
        <v>238</v>
      </c>
      <c r="AR208" s="336">
        <f t="shared" si="4"/>
        <v>0.0006646726732</v>
      </c>
      <c r="AS208" s="336"/>
      <c r="AT208" s="336"/>
      <c r="AU208" s="348"/>
      <c r="AV208" s="312"/>
      <c r="AW208" s="312"/>
      <c r="AX208" s="312"/>
      <c r="AY208" s="312"/>
      <c r="AZ208" s="312"/>
      <c r="BA208" s="312"/>
      <c r="BB208" s="312"/>
      <c r="BC208" s="312"/>
      <c r="BD208" s="316"/>
      <c r="BE208" s="316"/>
      <c r="BF208" s="316"/>
      <c r="BG208" s="316"/>
      <c r="BH208" s="316"/>
      <c r="BI208" s="316"/>
      <c r="BJ208" s="316"/>
      <c r="BK208" s="316"/>
      <c r="BL208" s="316"/>
      <c r="BM208" s="316"/>
      <c r="BN208" s="316"/>
      <c r="BO208" s="316"/>
      <c r="BP208" s="316"/>
      <c r="BQ208" s="316"/>
      <c r="BR208" s="316"/>
      <c r="BS208" s="316"/>
      <c r="BT208" s="316"/>
      <c r="BU208" s="316"/>
      <c r="BV208" s="316"/>
      <c r="BW208" s="316"/>
      <c r="BX208" s="316"/>
      <c r="BY208" s="316"/>
      <c r="BZ208" s="316"/>
      <c r="CA208" s="316"/>
      <c r="CB208" s="316"/>
      <c r="CC208" s="316"/>
      <c r="CD208" s="316"/>
    </row>
    <row r="209" ht="15.75" customHeight="1">
      <c r="A209" s="308"/>
      <c r="B209" s="362">
        <v>45687.0</v>
      </c>
      <c r="C209" s="335">
        <v>86.455</v>
      </c>
      <c r="D209" s="335">
        <v>86.455</v>
      </c>
      <c r="E209" s="335">
        <v>86.455</v>
      </c>
      <c r="F209" s="335">
        <v>86.455</v>
      </c>
      <c r="G209" s="335" t="s">
        <v>238</v>
      </c>
      <c r="H209" s="336">
        <f t="shared" si="1"/>
        <v>0.001516388278</v>
      </c>
      <c r="I209" s="336"/>
      <c r="J209" s="336"/>
      <c r="K209" s="348"/>
      <c r="L209" s="312"/>
      <c r="M209" s="312"/>
      <c r="N209" s="340">
        <v>45687.0</v>
      </c>
      <c r="O209" s="341">
        <v>32.89</v>
      </c>
      <c r="P209" s="341">
        <v>32.89</v>
      </c>
      <c r="Q209" s="341">
        <v>32.89</v>
      </c>
      <c r="R209" s="341">
        <v>32.89</v>
      </c>
      <c r="S209" s="335" t="s">
        <v>238</v>
      </c>
      <c r="T209" s="336">
        <f t="shared" si="2"/>
        <v>0.003380593757</v>
      </c>
      <c r="U209" s="336"/>
      <c r="V209" s="336"/>
      <c r="W209" s="348"/>
      <c r="X209" s="312"/>
      <c r="Y209" s="312"/>
      <c r="Z209" s="363">
        <v>45687.0</v>
      </c>
      <c r="AA209" s="341">
        <v>1965.022</v>
      </c>
      <c r="AB209" s="341">
        <v>1965.022</v>
      </c>
      <c r="AC209" s="341">
        <v>1965.022</v>
      </c>
      <c r="AD209" s="341">
        <v>1965.022</v>
      </c>
      <c r="AE209" s="335" t="s">
        <v>238</v>
      </c>
      <c r="AF209" s="336">
        <f t="shared" si="3"/>
        <v>0.003119328999</v>
      </c>
      <c r="AG209" s="336"/>
      <c r="AH209" s="336"/>
      <c r="AI209" s="348"/>
      <c r="AJ209" s="312"/>
      <c r="AK209" s="312"/>
      <c r="AL209" s="353">
        <v>45687.0</v>
      </c>
      <c r="AM209" s="343">
        <v>22.575</v>
      </c>
      <c r="AN209" s="343">
        <v>22.575</v>
      </c>
      <c r="AO209" s="343">
        <v>22.575</v>
      </c>
      <c r="AP209" s="343">
        <v>22.575</v>
      </c>
      <c r="AQ209" s="335" t="s">
        <v>238</v>
      </c>
      <c r="AR209" s="336">
        <f t="shared" si="4"/>
        <v>0</v>
      </c>
      <c r="AS209" s="336"/>
      <c r="AT209" s="336"/>
      <c r="AU209" s="348"/>
      <c r="AV209" s="312"/>
      <c r="AW209" s="312"/>
      <c r="AX209" s="312"/>
      <c r="AY209" s="312"/>
      <c r="AZ209" s="312"/>
      <c r="BA209" s="312"/>
      <c r="BB209" s="312"/>
      <c r="BC209" s="312"/>
      <c r="BD209" s="316"/>
      <c r="BE209" s="316"/>
      <c r="BF209" s="316"/>
      <c r="BG209" s="316"/>
      <c r="BH209" s="316"/>
      <c r="BI209" s="316"/>
      <c r="BJ209" s="316"/>
      <c r="BK209" s="316"/>
      <c r="BL209" s="316"/>
      <c r="BM209" s="316"/>
      <c r="BN209" s="316"/>
      <c r="BO209" s="316"/>
      <c r="BP209" s="316"/>
      <c r="BQ209" s="316"/>
      <c r="BR209" s="316"/>
      <c r="BS209" s="316"/>
      <c r="BT209" s="316"/>
      <c r="BU209" s="316"/>
      <c r="BV209" s="316"/>
      <c r="BW209" s="316"/>
      <c r="BX209" s="316"/>
      <c r="BY209" s="316"/>
      <c r="BZ209" s="316"/>
      <c r="CA209" s="316"/>
      <c r="CB209" s="316"/>
      <c r="CC209" s="316"/>
      <c r="CD209" s="316"/>
    </row>
    <row r="210" ht="15.75" customHeight="1">
      <c r="A210" s="308"/>
      <c r="B210" s="362">
        <v>45688.0</v>
      </c>
      <c r="C210" s="335">
        <v>87.435</v>
      </c>
      <c r="D210" s="335">
        <v>87.435</v>
      </c>
      <c r="E210" s="335">
        <v>87.435</v>
      </c>
      <c r="F210" s="335">
        <v>87.435</v>
      </c>
      <c r="G210" s="335" t="s">
        <v>238</v>
      </c>
      <c r="H210" s="336">
        <f t="shared" si="1"/>
        <v>0.01127161281</v>
      </c>
      <c r="I210" s="336"/>
      <c r="J210" s="336"/>
      <c r="K210" s="348"/>
      <c r="L210" s="312"/>
      <c r="M210" s="312"/>
      <c r="N210" s="340">
        <v>45688.0</v>
      </c>
      <c r="O210" s="341">
        <v>33.368</v>
      </c>
      <c r="P210" s="341">
        <v>33.368</v>
      </c>
      <c r="Q210" s="341">
        <v>33.368</v>
      </c>
      <c r="R210" s="341">
        <v>33.368</v>
      </c>
      <c r="S210" s="335" t="s">
        <v>238</v>
      </c>
      <c r="T210" s="336">
        <f t="shared" si="2"/>
        <v>0.01442869669</v>
      </c>
      <c r="U210" s="336"/>
      <c r="V210" s="336"/>
      <c r="W210" s="348"/>
      <c r="X210" s="312"/>
      <c r="Y210" s="312"/>
      <c r="Z210" s="363">
        <v>45688.0</v>
      </c>
      <c r="AA210" s="341">
        <v>1977.706</v>
      </c>
      <c r="AB210" s="341">
        <v>1977.706</v>
      </c>
      <c r="AC210" s="341">
        <v>1977.706</v>
      </c>
      <c r="AD210" s="341">
        <v>1977.706</v>
      </c>
      <c r="AE210" s="335" t="s">
        <v>238</v>
      </c>
      <c r="AF210" s="336">
        <f t="shared" si="3"/>
        <v>0.006434145981</v>
      </c>
      <c r="AG210" s="336"/>
      <c r="AH210" s="336"/>
      <c r="AI210" s="348"/>
      <c r="AJ210" s="312"/>
      <c r="AK210" s="312"/>
      <c r="AL210" s="353">
        <v>45688.0</v>
      </c>
      <c r="AM210" s="343">
        <v>22.593</v>
      </c>
      <c r="AN210" s="343">
        <v>22.593</v>
      </c>
      <c r="AO210" s="343">
        <v>22.593</v>
      </c>
      <c r="AP210" s="343">
        <v>22.593</v>
      </c>
      <c r="AQ210" s="335" t="s">
        <v>238</v>
      </c>
      <c r="AR210" s="336">
        <f t="shared" si="4"/>
        <v>0.0007970244843</v>
      </c>
      <c r="AS210" s="336"/>
      <c r="AT210" s="336"/>
      <c r="AU210" s="348"/>
      <c r="AV210" s="312"/>
      <c r="AW210" s="312"/>
      <c r="AX210" s="312"/>
      <c r="AY210" s="312"/>
      <c r="AZ210" s="312"/>
      <c r="BA210" s="312"/>
      <c r="BB210" s="312"/>
      <c r="BC210" s="312"/>
      <c r="BD210" s="316"/>
      <c r="BE210" s="316"/>
      <c r="BF210" s="316"/>
      <c r="BG210" s="316"/>
      <c r="BH210" s="316"/>
      <c r="BI210" s="316"/>
      <c r="BJ210" s="316"/>
      <c r="BK210" s="316"/>
      <c r="BL210" s="316"/>
      <c r="BM210" s="316"/>
      <c r="BN210" s="316"/>
      <c r="BO210" s="316"/>
      <c r="BP210" s="316"/>
      <c r="BQ210" s="316"/>
      <c r="BR210" s="316"/>
      <c r="BS210" s="316"/>
      <c r="BT210" s="316"/>
      <c r="BU210" s="316"/>
      <c r="BV210" s="316"/>
      <c r="BW210" s="316"/>
      <c r="BX210" s="316"/>
      <c r="BY210" s="316"/>
      <c r="BZ210" s="316"/>
      <c r="CA210" s="316"/>
      <c r="CB210" s="316"/>
      <c r="CC210" s="316"/>
      <c r="CD210" s="316"/>
    </row>
    <row r="211" ht="15.75" customHeight="1">
      <c r="A211" s="308"/>
      <c r="B211" s="362">
        <v>45691.0</v>
      </c>
      <c r="C211" s="335">
        <v>87.379</v>
      </c>
      <c r="D211" s="335">
        <v>87.379</v>
      </c>
      <c r="E211" s="335">
        <v>87.379</v>
      </c>
      <c r="F211" s="335">
        <v>87.379</v>
      </c>
      <c r="G211" s="335" t="s">
        <v>238</v>
      </c>
      <c r="H211" s="336">
        <f t="shared" si="1"/>
        <v>-0.0006406809742</v>
      </c>
      <c r="I211" s="336"/>
      <c r="J211" s="336"/>
      <c r="K211" s="348"/>
      <c r="L211" s="312"/>
      <c r="M211" s="312"/>
      <c r="N211" s="363">
        <v>45691.0</v>
      </c>
      <c r="O211" s="341">
        <v>33.638</v>
      </c>
      <c r="P211" s="341">
        <v>33.638</v>
      </c>
      <c r="Q211" s="341">
        <v>33.638</v>
      </c>
      <c r="R211" s="341">
        <v>33.638</v>
      </c>
      <c r="S211" s="335" t="s">
        <v>238</v>
      </c>
      <c r="T211" s="336">
        <f t="shared" si="2"/>
        <v>0.008059023411</v>
      </c>
      <c r="U211" s="336"/>
      <c r="V211" s="336"/>
      <c r="W211" s="348"/>
      <c r="X211" s="312"/>
      <c r="Y211" s="312"/>
      <c r="Z211" s="363">
        <v>45691.0</v>
      </c>
      <c r="AA211" s="341">
        <v>1977.297</v>
      </c>
      <c r="AB211" s="341">
        <v>1977.297</v>
      </c>
      <c r="AC211" s="341">
        <v>1977.297</v>
      </c>
      <c r="AD211" s="341">
        <v>1977.297</v>
      </c>
      <c r="AE211" s="335" t="s">
        <v>238</v>
      </c>
      <c r="AF211" s="336">
        <f t="shared" si="3"/>
        <v>-0.0002068266454</v>
      </c>
      <c r="AG211" s="336"/>
      <c r="AH211" s="336"/>
      <c r="AI211" s="348"/>
      <c r="AJ211" s="312"/>
      <c r="AK211" s="312"/>
      <c r="AL211" s="342">
        <v>45691.0</v>
      </c>
      <c r="AM211" s="343">
        <v>22.627</v>
      </c>
      <c r="AN211" s="343">
        <v>22.627</v>
      </c>
      <c r="AO211" s="343">
        <v>22.627</v>
      </c>
      <c r="AP211" s="343">
        <v>22.627</v>
      </c>
      <c r="AQ211" s="335" t="s">
        <v>238</v>
      </c>
      <c r="AR211" s="336">
        <f t="shared" si="4"/>
        <v>0.001503759682</v>
      </c>
      <c r="AS211" s="336"/>
      <c r="AT211" s="336"/>
      <c r="AU211" s="348"/>
      <c r="AV211" s="312"/>
      <c r="AW211" s="312"/>
      <c r="AX211" s="312"/>
      <c r="AY211" s="312"/>
      <c r="AZ211" s="312"/>
      <c r="BA211" s="312"/>
      <c r="BB211" s="312"/>
      <c r="BC211" s="312"/>
      <c r="BD211" s="316"/>
      <c r="BE211" s="316"/>
      <c r="BF211" s="316"/>
      <c r="BG211" s="316"/>
      <c r="BH211" s="316"/>
      <c r="BI211" s="316"/>
      <c r="BJ211" s="316"/>
      <c r="BK211" s="316"/>
      <c r="BL211" s="316"/>
      <c r="BM211" s="316"/>
      <c r="BN211" s="316"/>
      <c r="BO211" s="316"/>
      <c r="BP211" s="316"/>
      <c r="BQ211" s="316"/>
      <c r="BR211" s="316"/>
      <c r="BS211" s="316"/>
      <c r="BT211" s="316"/>
      <c r="BU211" s="316"/>
      <c r="BV211" s="316"/>
      <c r="BW211" s="316"/>
      <c r="BX211" s="316"/>
      <c r="BY211" s="316"/>
      <c r="BZ211" s="316"/>
      <c r="CA211" s="316"/>
      <c r="CB211" s="316"/>
      <c r="CC211" s="316"/>
      <c r="CD211" s="316"/>
    </row>
    <row r="212" ht="15.75" customHeight="1">
      <c r="A212" s="308"/>
      <c r="B212" s="362">
        <v>45692.0</v>
      </c>
      <c r="C212" s="335">
        <v>87.992</v>
      </c>
      <c r="D212" s="335">
        <v>87.992</v>
      </c>
      <c r="E212" s="335">
        <v>87.992</v>
      </c>
      <c r="F212" s="335">
        <v>87.992</v>
      </c>
      <c r="G212" s="335" t="s">
        <v>238</v>
      </c>
      <c r="H212" s="336">
        <f t="shared" si="1"/>
        <v>0.006990922063</v>
      </c>
      <c r="I212" s="336"/>
      <c r="J212" s="336"/>
      <c r="K212" s="348"/>
      <c r="L212" s="312"/>
      <c r="M212" s="312"/>
      <c r="N212" s="363">
        <v>45692.0</v>
      </c>
      <c r="O212" s="341">
        <v>33.85</v>
      </c>
      <c r="P212" s="341">
        <v>33.85</v>
      </c>
      <c r="Q212" s="341">
        <v>33.85</v>
      </c>
      <c r="R212" s="341">
        <v>33.85</v>
      </c>
      <c r="S212" s="335" t="s">
        <v>238</v>
      </c>
      <c r="T212" s="336">
        <f t="shared" si="2"/>
        <v>0.006282619053</v>
      </c>
      <c r="U212" s="336"/>
      <c r="V212" s="336"/>
      <c r="W212" s="348"/>
      <c r="X212" s="312"/>
      <c r="Y212" s="312"/>
      <c r="Z212" s="363">
        <v>45692.0</v>
      </c>
      <c r="AA212" s="341">
        <v>1998.658</v>
      </c>
      <c r="AB212" s="341">
        <v>1998.658</v>
      </c>
      <c r="AC212" s="341">
        <v>1998.658</v>
      </c>
      <c r="AD212" s="341">
        <v>1998.658</v>
      </c>
      <c r="AE212" s="335" t="s">
        <v>238</v>
      </c>
      <c r="AF212" s="336">
        <f t="shared" si="3"/>
        <v>0.01074519482</v>
      </c>
      <c r="AG212" s="336"/>
      <c r="AH212" s="336"/>
      <c r="AI212" s="348"/>
      <c r="AJ212" s="312"/>
      <c r="AK212" s="312"/>
      <c r="AL212" s="342">
        <v>45692.0</v>
      </c>
      <c r="AM212" s="343">
        <v>22.62</v>
      </c>
      <c r="AN212" s="343">
        <v>22.62</v>
      </c>
      <c r="AO212" s="343">
        <v>22.62</v>
      </c>
      <c r="AP212" s="343">
        <v>22.62</v>
      </c>
      <c r="AQ212" s="335" t="s">
        <v>238</v>
      </c>
      <c r="AR212" s="336">
        <f t="shared" si="4"/>
        <v>-0.0003094127812</v>
      </c>
      <c r="AS212" s="336"/>
      <c r="AT212" s="336"/>
      <c r="AU212" s="348"/>
      <c r="AV212" s="312"/>
      <c r="AW212" s="312"/>
      <c r="AX212" s="312"/>
      <c r="AY212" s="312"/>
      <c r="AZ212" s="312"/>
      <c r="BA212" s="312"/>
      <c r="BB212" s="312"/>
      <c r="BC212" s="312"/>
      <c r="BD212" s="316"/>
      <c r="BE212" s="316"/>
      <c r="BF212" s="316"/>
      <c r="BG212" s="316"/>
      <c r="BH212" s="316"/>
      <c r="BI212" s="316"/>
      <c r="BJ212" s="316"/>
      <c r="BK212" s="316"/>
      <c r="BL212" s="316"/>
      <c r="BM212" s="316"/>
      <c r="BN212" s="316"/>
      <c r="BO212" s="316"/>
      <c r="BP212" s="316"/>
      <c r="BQ212" s="316"/>
      <c r="BR212" s="316"/>
      <c r="BS212" s="316"/>
      <c r="BT212" s="316"/>
      <c r="BU212" s="316"/>
      <c r="BV212" s="316"/>
      <c r="BW212" s="316"/>
      <c r="BX212" s="316"/>
      <c r="BY212" s="316"/>
      <c r="BZ212" s="316"/>
      <c r="CA212" s="316"/>
      <c r="CB212" s="316"/>
      <c r="CC212" s="316"/>
      <c r="CD212" s="316"/>
    </row>
    <row r="213" ht="15.75" customHeight="1">
      <c r="A213" s="308"/>
      <c r="B213" s="362">
        <v>45693.0</v>
      </c>
      <c r="C213" s="335">
        <v>87.715</v>
      </c>
      <c r="D213" s="335">
        <v>87.715</v>
      </c>
      <c r="E213" s="335">
        <v>87.715</v>
      </c>
      <c r="F213" s="335">
        <v>87.715</v>
      </c>
      <c r="G213" s="335" t="s">
        <v>238</v>
      </c>
      <c r="H213" s="336">
        <f t="shared" si="1"/>
        <v>-0.003152978874</v>
      </c>
      <c r="I213" s="336"/>
      <c r="J213" s="336"/>
      <c r="K213" s="348"/>
      <c r="L213" s="312"/>
      <c r="M213" s="312"/>
      <c r="N213" s="363">
        <v>45693.0</v>
      </c>
      <c r="O213" s="341">
        <v>34.57</v>
      </c>
      <c r="P213" s="341">
        <v>34.57</v>
      </c>
      <c r="Q213" s="341">
        <v>34.57</v>
      </c>
      <c r="R213" s="341">
        <v>34.57</v>
      </c>
      <c r="S213" s="335" t="s">
        <v>238</v>
      </c>
      <c r="T213" s="336">
        <f t="shared" si="2"/>
        <v>0.02104725458</v>
      </c>
      <c r="U213" s="336"/>
      <c r="V213" s="336"/>
      <c r="W213" s="348"/>
      <c r="X213" s="312"/>
      <c r="Y213" s="312"/>
      <c r="Z213" s="363">
        <v>45693.0</v>
      </c>
      <c r="AA213" s="341">
        <v>1999.625</v>
      </c>
      <c r="AB213" s="341">
        <v>1999.625</v>
      </c>
      <c r="AC213" s="341">
        <v>1999.625</v>
      </c>
      <c r="AD213" s="341">
        <v>1999.625</v>
      </c>
      <c r="AE213" s="335" t="s">
        <v>238</v>
      </c>
      <c r="AF213" s="336">
        <f t="shared" si="3"/>
        <v>0.0004837076409</v>
      </c>
      <c r="AG213" s="336"/>
      <c r="AH213" s="336"/>
      <c r="AI213" s="348"/>
      <c r="AJ213" s="312"/>
      <c r="AK213" s="312"/>
      <c r="AL213" s="342">
        <v>45693.0</v>
      </c>
      <c r="AM213" s="343">
        <v>22.629</v>
      </c>
      <c r="AN213" s="343">
        <v>22.629</v>
      </c>
      <c r="AO213" s="343">
        <v>22.629</v>
      </c>
      <c r="AP213" s="343">
        <v>22.629</v>
      </c>
      <c r="AQ213" s="335" t="s">
        <v>238</v>
      </c>
      <c r="AR213" s="336">
        <f t="shared" si="4"/>
        <v>0.0003977988516</v>
      </c>
      <c r="AS213" s="336"/>
      <c r="AT213" s="336"/>
      <c r="AU213" s="348"/>
      <c r="AV213" s="312"/>
      <c r="AW213" s="312"/>
      <c r="AX213" s="312"/>
      <c r="AY213" s="312"/>
      <c r="AZ213" s="312"/>
      <c r="BA213" s="312"/>
      <c r="BB213" s="312"/>
      <c r="BC213" s="312"/>
      <c r="BD213" s="316"/>
      <c r="BE213" s="316"/>
      <c r="BF213" s="316"/>
      <c r="BG213" s="316"/>
      <c r="BH213" s="316"/>
      <c r="BI213" s="316"/>
      <c r="BJ213" s="316"/>
      <c r="BK213" s="316"/>
      <c r="BL213" s="316"/>
      <c r="BM213" s="316"/>
      <c r="BN213" s="316"/>
      <c r="BO213" s="316"/>
      <c r="BP213" s="316"/>
      <c r="BQ213" s="316"/>
      <c r="BR213" s="316"/>
      <c r="BS213" s="316"/>
      <c r="BT213" s="316"/>
      <c r="BU213" s="316"/>
      <c r="BV213" s="316"/>
      <c r="BW213" s="316"/>
      <c r="BX213" s="316"/>
      <c r="BY213" s="316"/>
      <c r="BZ213" s="316"/>
      <c r="CA213" s="316"/>
      <c r="CB213" s="316"/>
      <c r="CC213" s="316"/>
      <c r="CD213" s="316"/>
    </row>
    <row r="214" ht="15.75" customHeight="1">
      <c r="A214" s="308"/>
      <c r="B214" s="362">
        <v>45694.0</v>
      </c>
      <c r="C214" s="335">
        <v>87.744</v>
      </c>
      <c r="D214" s="335">
        <v>87.744</v>
      </c>
      <c r="E214" s="335">
        <v>87.744</v>
      </c>
      <c r="F214" s="335">
        <v>87.744</v>
      </c>
      <c r="G214" s="335" t="s">
        <v>238</v>
      </c>
      <c r="H214" s="336">
        <f t="shared" si="1"/>
        <v>0.0003305615587</v>
      </c>
      <c r="I214" s="336"/>
      <c r="J214" s="336"/>
      <c r="K214" s="348"/>
      <c r="L214" s="312"/>
      <c r="M214" s="312"/>
      <c r="N214" s="363">
        <v>45694.0</v>
      </c>
      <c r="O214" s="341">
        <v>34.502</v>
      </c>
      <c r="P214" s="341">
        <v>34.502</v>
      </c>
      <c r="Q214" s="341">
        <v>34.502</v>
      </c>
      <c r="R214" s="341">
        <v>34.502</v>
      </c>
      <c r="S214" s="335" t="s">
        <v>238</v>
      </c>
      <c r="T214" s="336">
        <f t="shared" si="2"/>
        <v>-0.001968960562</v>
      </c>
      <c r="U214" s="336"/>
      <c r="V214" s="336"/>
      <c r="W214" s="348"/>
      <c r="X214" s="312"/>
      <c r="Y214" s="312"/>
      <c r="Z214" s="363">
        <v>45694.0</v>
      </c>
      <c r="AA214" s="341">
        <v>1998.871</v>
      </c>
      <c r="AB214" s="341">
        <v>1998.871</v>
      </c>
      <c r="AC214" s="341">
        <v>1998.871</v>
      </c>
      <c r="AD214" s="341">
        <v>1998.871</v>
      </c>
      <c r="AE214" s="335" t="s">
        <v>238</v>
      </c>
      <c r="AF214" s="336">
        <f t="shared" si="3"/>
        <v>-0.0003771418098</v>
      </c>
      <c r="AG214" s="336"/>
      <c r="AH214" s="336"/>
      <c r="AI214" s="348"/>
      <c r="AJ214" s="312"/>
      <c r="AK214" s="312"/>
      <c r="AL214" s="342">
        <v>45694.0</v>
      </c>
      <c r="AM214" s="343">
        <v>22.642</v>
      </c>
      <c r="AN214" s="343">
        <v>22.642</v>
      </c>
      <c r="AO214" s="343">
        <v>22.642</v>
      </c>
      <c r="AP214" s="343">
        <v>22.642</v>
      </c>
      <c r="AQ214" s="335" t="s">
        <v>238</v>
      </c>
      <c r="AR214" s="336">
        <f t="shared" si="4"/>
        <v>0.0005743191163</v>
      </c>
      <c r="AS214" s="336"/>
      <c r="AT214" s="336"/>
      <c r="AU214" s="348"/>
      <c r="AV214" s="312"/>
      <c r="AW214" s="312"/>
      <c r="AX214" s="312"/>
      <c r="AY214" s="312"/>
      <c r="AZ214" s="312"/>
      <c r="BA214" s="312"/>
      <c r="BB214" s="312"/>
      <c r="BC214" s="312"/>
      <c r="BD214" s="316"/>
      <c r="BE214" s="316"/>
      <c r="BF214" s="316"/>
      <c r="BG214" s="316"/>
      <c r="BH214" s="316"/>
      <c r="BI214" s="316"/>
      <c r="BJ214" s="316"/>
      <c r="BK214" s="316"/>
      <c r="BL214" s="316"/>
      <c r="BM214" s="316"/>
      <c r="BN214" s="316"/>
      <c r="BO214" s="316"/>
      <c r="BP214" s="316"/>
      <c r="BQ214" s="316"/>
      <c r="BR214" s="316"/>
      <c r="BS214" s="316"/>
      <c r="BT214" s="316"/>
      <c r="BU214" s="316"/>
      <c r="BV214" s="316"/>
      <c r="BW214" s="316"/>
      <c r="BX214" s="316"/>
      <c r="BY214" s="316"/>
      <c r="BZ214" s="316"/>
      <c r="CA214" s="316"/>
      <c r="CB214" s="316"/>
      <c r="CC214" s="316"/>
      <c r="CD214" s="316"/>
    </row>
    <row r="215" ht="15.75" customHeight="1">
      <c r="A215" s="308"/>
      <c r="B215" s="334">
        <v>45695.0</v>
      </c>
      <c r="C215" s="335">
        <v>87.236</v>
      </c>
      <c r="D215" s="335">
        <v>87.236</v>
      </c>
      <c r="E215" s="335">
        <v>87.236</v>
      </c>
      <c r="F215" s="335">
        <v>87.236</v>
      </c>
      <c r="G215" s="335" t="s">
        <v>238</v>
      </c>
      <c r="H215" s="336">
        <f t="shared" si="1"/>
        <v>-0.005806394185</v>
      </c>
      <c r="I215" s="336"/>
      <c r="J215" s="336"/>
      <c r="K215" s="348"/>
      <c r="L215" s="312"/>
      <c r="M215" s="312"/>
      <c r="N215" s="363">
        <v>45695.0</v>
      </c>
      <c r="O215" s="341">
        <v>34.555</v>
      </c>
      <c r="P215" s="341">
        <v>34.555</v>
      </c>
      <c r="Q215" s="341">
        <v>34.555</v>
      </c>
      <c r="R215" s="341">
        <v>34.555</v>
      </c>
      <c r="S215" s="335" t="s">
        <v>238</v>
      </c>
      <c r="T215" s="336">
        <f t="shared" si="2"/>
        <v>0.001534964172</v>
      </c>
      <c r="U215" s="336"/>
      <c r="V215" s="336"/>
      <c r="W215" s="348"/>
      <c r="X215" s="312"/>
      <c r="Y215" s="312"/>
      <c r="Z215" s="340">
        <v>45695.0</v>
      </c>
      <c r="AA215" s="341">
        <v>2002.229</v>
      </c>
      <c r="AB215" s="341">
        <v>2002.229</v>
      </c>
      <c r="AC215" s="341">
        <v>2002.229</v>
      </c>
      <c r="AD215" s="341">
        <v>2002.229</v>
      </c>
      <c r="AE215" s="335" t="s">
        <v>238</v>
      </c>
      <c r="AF215" s="336">
        <f t="shared" si="3"/>
        <v>0.001678538796</v>
      </c>
      <c r="AG215" s="336"/>
      <c r="AH215" s="336"/>
      <c r="AI215" s="348"/>
      <c r="AJ215" s="312"/>
      <c r="AK215" s="312"/>
      <c r="AL215" s="342">
        <v>45695.0</v>
      </c>
      <c r="AM215" s="343">
        <v>22.625</v>
      </c>
      <c r="AN215" s="343">
        <v>22.625</v>
      </c>
      <c r="AO215" s="343">
        <v>22.625</v>
      </c>
      <c r="AP215" s="343">
        <v>22.625</v>
      </c>
      <c r="AQ215" s="335" t="s">
        <v>238</v>
      </c>
      <c r="AR215" s="336">
        <f t="shared" si="4"/>
        <v>-0.0007510990699</v>
      </c>
      <c r="AS215" s="336"/>
      <c r="AT215" s="336"/>
      <c r="AU215" s="348"/>
      <c r="AV215" s="312"/>
      <c r="AW215" s="312"/>
      <c r="AX215" s="312"/>
      <c r="AY215" s="312"/>
      <c r="AZ215" s="312"/>
      <c r="BA215" s="312"/>
      <c r="BB215" s="312"/>
      <c r="BC215" s="312"/>
      <c r="BD215" s="316"/>
      <c r="BE215" s="316"/>
      <c r="BF215" s="316"/>
      <c r="BG215" s="316"/>
      <c r="BH215" s="316"/>
      <c r="BI215" s="316"/>
      <c r="BJ215" s="316"/>
      <c r="BK215" s="316"/>
      <c r="BL215" s="316"/>
      <c r="BM215" s="316"/>
      <c r="BN215" s="316"/>
      <c r="BO215" s="316"/>
      <c r="BP215" s="316"/>
      <c r="BQ215" s="316"/>
      <c r="BR215" s="316"/>
      <c r="BS215" s="316"/>
      <c r="BT215" s="316"/>
      <c r="BU215" s="316"/>
      <c r="BV215" s="316"/>
      <c r="BW215" s="316"/>
      <c r="BX215" s="316"/>
      <c r="BY215" s="316"/>
      <c r="BZ215" s="316"/>
      <c r="CA215" s="316"/>
      <c r="CB215" s="316"/>
      <c r="CC215" s="316"/>
      <c r="CD215" s="316"/>
    </row>
    <row r="216" ht="15.75" customHeight="1">
      <c r="A216" s="308"/>
      <c r="B216" s="334">
        <v>45698.0</v>
      </c>
      <c r="C216" s="335">
        <v>86.868</v>
      </c>
      <c r="D216" s="335">
        <v>86.868</v>
      </c>
      <c r="E216" s="335">
        <v>86.868</v>
      </c>
      <c r="F216" s="335">
        <v>86.868</v>
      </c>
      <c r="G216" s="335" t="s">
        <v>238</v>
      </c>
      <c r="H216" s="336">
        <f t="shared" si="1"/>
        <v>-0.004227364656</v>
      </c>
      <c r="I216" s="336"/>
      <c r="J216" s="336"/>
      <c r="K216" s="348"/>
      <c r="L216" s="312"/>
      <c r="M216" s="312"/>
      <c r="N216" s="363">
        <v>45698.0</v>
      </c>
      <c r="O216" s="341">
        <v>35.026</v>
      </c>
      <c r="P216" s="341">
        <v>35.026</v>
      </c>
      <c r="Q216" s="341">
        <v>35.026</v>
      </c>
      <c r="R216" s="341">
        <v>35.026</v>
      </c>
      <c r="S216" s="335" t="s">
        <v>238</v>
      </c>
      <c r="T216" s="336">
        <f t="shared" si="2"/>
        <v>0.01353838531</v>
      </c>
      <c r="U216" s="336"/>
      <c r="V216" s="336"/>
      <c r="W216" s="348"/>
      <c r="X216" s="312"/>
      <c r="Y216" s="312"/>
      <c r="Z216" s="340">
        <v>45698.0</v>
      </c>
      <c r="AA216" s="341">
        <v>1987.619</v>
      </c>
      <c r="AB216" s="341">
        <v>1987.619</v>
      </c>
      <c r="AC216" s="341">
        <v>1987.619</v>
      </c>
      <c r="AD216" s="341">
        <v>1987.619</v>
      </c>
      <c r="AE216" s="335" t="s">
        <v>238</v>
      </c>
      <c r="AF216" s="336">
        <f t="shared" si="3"/>
        <v>-0.007323619998</v>
      </c>
      <c r="AG216" s="336"/>
      <c r="AH216" s="336"/>
      <c r="AI216" s="348"/>
      <c r="AJ216" s="312"/>
      <c r="AK216" s="312"/>
      <c r="AL216" s="353">
        <v>45698.0</v>
      </c>
      <c r="AM216" s="343">
        <v>22.623</v>
      </c>
      <c r="AN216" s="343">
        <v>22.623</v>
      </c>
      <c r="AO216" s="343">
        <v>22.623</v>
      </c>
      <c r="AP216" s="343">
        <v>22.623</v>
      </c>
      <c r="AQ216" s="335" t="s">
        <v>238</v>
      </c>
      <c r="AR216" s="336">
        <f t="shared" si="4"/>
        <v>-0.00008840169737</v>
      </c>
      <c r="AS216" s="336"/>
      <c r="AT216" s="336"/>
      <c r="AU216" s="348"/>
      <c r="AV216" s="312"/>
      <c r="AW216" s="312"/>
      <c r="AX216" s="312"/>
      <c r="AY216" s="312"/>
      <c r="AZ216" s="312"/>
      <c r="BA216" s="312"/>
      <c r="BB216" s="312"/>
      <c r="BC216" s="312"/>
      <c r="BD216" s="316"/>
      <c r="BE216" s="316"/>
      <c r="BF216" s="316"/>
      <c r="BG216" s="316"/>
      <c r="BH216" s="316"/>
      <c r="BI216" s="316"/>
      <c r="BJ216" s="316"/>
      <c r="BK216" s="316"/>
      <c r="BL216" s="316"/>
      <c r="BM216" s="316"/>
      <c r="BN216" s="316"/>
      <c r="BO216" s="316"/>
      <c r="BP216" s="316"/>
      <c r="BQ216" s="316"/>
      <c r="BR216" s="316"/>
      <c r="BS216" s="316"/>
      <c r="BT216" s="316"/>
      <c r="BU216" s="316"/>
      <c r="BV216" s="316"/>
      <c r="BW216" s="316"/>
      <c r="BX216" s="316"/>
      <c r="BY216" s="316"/>
      <c r="BZ216" s="316"/>
      <c r="CA216" s="316"/>
      <c r="CB216" s="316"/>
      <c r="CC216" s="316"/>
      <c r="CD216" s="316"/>
    </row>
    <row r="217" ht="15.75" customHeight="1">
      <c r="A217" s="308"/>
      <c r="B217" s="334">
        <v>45699.0</v>
      </c>
      <c r="C217" s="335">
        <v>85.931</v>
      </c>
      <c r="D217" s="335">
        <v>85.931</v>
      </c>
      <c r="E217" s="335">
        <v>85.931</v>
      </c>
      <c r="F217" s="335">
        <v>85.931</v>
      </c>
      <c r="G217" s="335" t="s">
        <v>238</v>
      </c>
      <c r="H217" s="336">
        <f t="shared" si="1"/>
        <v>-0.01084507646</v>
      </c>
      <c r="I217" s="336"/>
      <c r="J217" s="336"/>
      <c r="K217" s="348"/>
      <c r="L217" s="312"/>
      <c r="M217" s="312"/>
      <c r="N217" s="363">
        <v>45699.0</v>
      </c>
      <c r="O217" s="341">
        <v>34.765</v>
      </c>
      <c r="P217" s="341">
        <v>34.765</v>
      </c>
      <c r="Q217" s="341">
        <v>34.765</v>
      </c>
      <c r="R217" s="341">
        <v>34.765</v>
      </c>
      <c r="S217" s="335" t="s">
        <v>238</v>
      </c>
      <c r="T217" s="336">
        <f t="shared" si="2"/>
        <v>-0.007479509299</v>
      </c>
      <c r="U217" s="336"/>
      <c r="V217" s="336"/>
      <c r="W217" s="348"/>
      <c r="X217" s="312"/>
      <c r="Y217" s="312"/>
      <c r="Z217" s="340">
        <v>45699.0</v>
      </c>
      <c r="AA217" s="341">
        <v>1957.674</v>
      </c>
      <c r="AB217" s="341">
        <v>1957.674</v>
      </c>
      <c r="AC217" s="341">
        <v>1957.674</v>
      </c>
      <c r="AD217" s="341">
        <v>1957.674</v>
      </c>
      <c r="AE217" s="335" t="s">
        <v>238</v>
      </c>
      <c r="AF217" s="336">
        <f t="shared" si="3"/>
        <v>-0.01518040615</v>
      </c>
      <c r="AG217" s="336"/>
      <c r="AH217" s="336"/>
      <c r="AI217" s="348"/>
      <c r="AJ217" s="312"/>
      <c r="AK217" s="312"/>
      <c r="AL217" s="353">
        <v>45699.0</v>
      </c>
      <c r="AM217" s="343">
        <v>22.629</v>
      </c>
      <c r="AN217" s="343">
        <v>22.629</v>
      </c>
      <c r="AO217" s="343">
        <v>22.629</v>
      </c>
      <c r="AP217" s="343">
        <v>22.629</v>
      </c>
      <c r="AQ217" s="335" t="s">
        <v>238</v>
      </c>
      <c r="AR217" s="336">
        <f t="shared" si="4"/>
        <v>0.000265181651</v>
      </c>
      <c r="AS217" s="336"/>
      <c r="AT217" s="336"/>
      <c r="AU217" s="348"/>
      <c r="AV217" s="312"/>
      <c r="AW217" s="312"/>
      <c r="AX217" s="312"/>
      <c r="AY217" s="312"/>
      <c r="AZ217" s="312"/>
      <c r="BA217" s="312"/>
      <c r="BB217" s="312"/>
      <c r="BC217" s="312"/>
      <c r="BD217" s="316"/>
      <c r="BE217" s="316"/>
      <c r="BF217" s="316"/>
      <c r="BG217" s="316"/>
      <c r="BH217" s="316"/>
      <c r="BI217" s="316"/>
      <c r="BJ217" s="316"/>
      <c r="BK217" s="316"/>
      <c r="BL217" s="316"/>
      <c r="BM217" s="316"/>
      <c r="BN217" s="316"/>
      <c r="BO217" s="316"/>
      <c r="BP217" s="316"/>
      <c r="BQ217" s="316"/>
      <c r="BR217" s="316"/>
      <c r="BS217" s="316"/>
      <c r="BT217" s="316"/>
      <c r="BU217" s="316"/>
      <c r="BV217" s="316"/>
      <c r="BW217" s="316"/>
      <c r="BX217" s="316"/>
      <c r="BY217" s="316"/>
      <c r="BZ217" s="316"/>
      <c r="CA217" s="316"/>
      <c r="CB217" s="316"/>
      <c r="CC217" s="316"/>
      <c r="CD217" s="316"/>
    </row>
    <row r="218" ht="15.75" customHeight="1">
      <c r="A218" s="308"/>
      <c r="B218" s="334">
        <v>45700.0</v>
      </c>
      <c r="C218" s="335">
        <v>85.958</v>
      </c>
      <c r="D218" s="335">
        <v>85.958</v>
      </c>
      <c r="E218" s="335">
        <v>85.958</v>
      </c>
      <c r="F218" s="335">
        <v>85.958</v>
      </c>
      <c r="G218" s="335" t="s">
        <v>238</v>
      </c>
      <c r="H218" s="336">
        <f t="shared" si="1"/>
        <v>0.0003141562313</v>
      </c>
      <c r="I218" s="336"/>
      <c r="J218" s="336"/>
      <c r="K218" s="348"/>
      <c r="L218" s="312"/>
      <c r="M218" s="312"/>
      <c r="N218" s="363">
        <v>45700.0</v>
      </c>
      <c r="O218" s="341">
        <v>34.519</v>
      </c>
      <c r="P218" s="341">
        <v>34.519</v>
      </c>
      <c r="Q218" s="341">
        <v>34.519</v>
      </c>
      <c r="R218" s="341">
        <v>34.519</v>
      </c>
      <c r="S218" s="335" t="s">
        <v>238</v>
      </c>
      <c r="T218" s="336">
        <f t="shared" si="2"/>
        <v>-0.007101236469</v>
      </c>
      <c r="U218" s="336"/>
      <c r="V218" s="336"/>
      <c r="W218" s="348"/>
      <c r="X218" s="312"/>
      <c r="Y218" s="312"/>
      <c r="Z218" s="340">
        <v>45700.0</v>
      </c>
      <c r="AA218" s="341">
        <v>1954.866</v>
      </c>
      <c r="AB218" s="341">
        <v>1954.866</v>
      </c>
      <c r="AC218" s="341">
        <v>1954.866</v>
      </c>
      <c r="AD218" s="341">
        <v>1954.866</v>
      </c>
      <c r="AE218" s="335" t="s">
        <v>238</v>
      </c>
      <c r="AF218" s="336">
        <f t="shared" si="3"/>
        <v>-0.001435384933</v>
      </c>
      <c r="AG218" s="336"/>
      <c r="AH218" s="336"/>
      <c r="AI218" s="348"/>
      <c r="AJ218" s="312"/>
      <c r="AK218" s="312"/>
      <c r="AL218" s="353">
        <v>45700.0</v>
      </c>
      <c r="AM218" s="343">
        <v>22.632</v>
      </c>
      <c r="AN218" s="343">
        <v>22.632</v>
      </c>
      <c r="AO218" s="343">
        <v>22.632</v>
      </c>
      <c r="AP218" s="343">
        <v>22.632</v>
      </c>
      <c r="AQ218" s="335" t="s">
        <v>238</v>
      </c>
      <c r="AR218" s="336">
        <f t="shared" si="4"/>
        <v>0.0001325644597</v>
      </c>
      <c r="AS218" s="336"/>
      <c r="AT218" s="336"/>
      <c r="AU218" s="348"/>
      <c r="AV218" s="312"/>
      <c r="AW218" s="312"/>
      <c r="AX218" s="312"/>
      <c r="AY218" s="312"/>
      <c r="AZ218" s="312"/>
      <c r="BA218" s="312"/>
      <c r="BB218" s="312"/>
      <c r="BC218" s="312"/>
      <c r="BD218" s="316"/>
      <c r="BE218" s="316"/>
      <c r="BF218" s="316"/>
      <c r="BG218" s="316"/>
      <c r="BH218" s="316"/>
      <c r="BI218" s="316"/>
      <c r="BJ218" s="316"/>
      <c r="BK218" s="316"/>
      <c r="BL218" s="316"/>
      <c r="BM218" s="316"/>
      <c r="BN218" s="316"/>
      <c r="BO218" s="316"/>
      <c r="BP218" s="316"/>
      <c r="BQ218" s="316"/>
      <c r="BR218" s="316"/>
      <c r="BS218" s="316"/>
      <c r="BT218" s="316"/>
      <c r="BU218" s="316"/>
      <c r="BV218" s="316"/>
      <c r="BW218" s="316"/>
      <c r="BX218" s="316"/>
      <c r="BY218" s="316"/>
      <c r="BZ218" s="316"/>
      <c r="CA218" s="316"/>
      <c r="CB218" s="316"/>
      <c r="CC218" s="316"/>
      <c r="CD218" s="316"/>
    </row>
    <row r="219" ht="15.75" customHeight="1">
      <c r="A219" s="308"/>
      <c r="B219" s="334">
        <v>45701.0</v>
      </c>
      <c r="C219" s="335">
        <v>86.198</v>
      </c>
      <c r="D219" s="335">
        <v>86.198</v>
      </c>
      <c r="E219" s="335">
        <v>86.198</v>
      </c>
      <c r="F219" s="335">
        <v>86.198</v>
      </c>
      <c r="G219" s="335" t="s">
        <v>238</v>
      </c>
      <c r="H219" s="336">
        <f t="shared" si="1"/>
        <v>0.002788170676</v>
      </c>
      <c r="I219" s="336"/>
      <c r="J219" s="336"/>
      <c r="K219" s="348"/>
      <c r="L219" s="312"/>
      <c r="M219" s="312"/>
      <c r="N219" s="363">
        <v>45701.0</v>
      </c>
      <c r="O219" s="341">
        <v>34.712</v>
      </c>
      <c r="P219" s="341">
        <v>34.712</v>
      </c>
      <c r="Q219" s="341">
        <v>34.712</v>
      </c>
      <c r="R219" s="341">
        <v>34.712</v>
      </c>
      <c r="S219" s="335" t="s">
        <v>238</v>
      </c>
      <c r="T219" s="336">
        <f t="shared" si="2"/>
        <v>0.005575551414</v>
      </c>
      <c r="U219" s="336"/>
      <c r="V219" s="336"/>
      <c r="W219" s="348"/>
      <c r="X219" s="312"/>
      <c r="Y219" s="312"/>
      <c r="Z219" s="340">
        <v>45701.0</v>
      </c>
      <c r="AA219" s="341">
        <v>1958.049</v>
      </c>
      <c r="AB219" s="341">
        <v>1958.049</v>
      </c>
      <c r="AC219" s="341">
        <v>1958.049</v>
      </c>
      <c r="AD219" s="341">
        <v>1958.049</v>
      </c>
      <c r="AE219" s="335" t="s">
        <v>238</v>
      </c>
      <c r="AF219" s="336">
        <f t="shared" si="3"/>
        <v>0.001626920443</v>
      </c>
      <c r="AG219" s="336"/>
      <c r="AH219" s="336"/>
      <c r="AI219" s="348"/>
      <c r="AJ219" s="312"/>
      <c r="AK219" s="312"/>
      <c r="AL219" s="353">
        <v>45701.0</v>
      </c>
      <c r="AM219" s="343">
        <v>23.443</v>
      </c>
      <c r="AN219" s="343">
        <v>23.443</v>
      </c>
      <c r="AO219" s="343">
        <v>23.443</v>
      </c>
      <c r="AP219" s="343">
        <v>23.443</v>
      </c>
      <c r="AQ219" s="335" t="s">
        <v>238</v>
      </c>
      <c r="AR219" s="336">
        <f t="shared" si="4"/>
        <v>0.03520710887</v>
      </c>
      <c r="AS219" s="336"/>
      <c r="AT219" s="336"/>
      <c r="AU219" s="348"/>
      <c r="AV219" s="312"/>
      <c r="AW219" s="312"/>
      <c r="AX219" s="312"/>
      <c r="AY219" s="312"/>
      <c r="AZ219" s="312"/>
      <c r="BA219" s="312"/>
      <c r="BB219" s="312"/>
      <c r="BC219" s="312"/>
      <c r="BD219" s="316"/>
      <c r="BE219" s="316"/>
      <c r="BF219" s="316"/>
      <c r="BG219" s="316"/>
      <c r="BH219" s="316"/>
      <c r="BI219" s="316"/>
      <c r="BJ219" s="316"/>
      <c r="BK219" s="316"/>
      <c r="BL219" s="316"/>
      <c r="BM219" s="316"/>
      <c r="BN219" s="316"/>
      <c r="BO219" s="316"/>
      <c r="BP219" s="316"/>
      <c r="BQ219" s="316"/>
      <c r="BR219" s="316"/>
      <c r="BS219" s="316"/>
      <c r="BT219" s="316"/>
      <c r="BU219" s="316"/>
      <c r="BV219" s="316"/>
      <c r="BW219" s="316"/>
      <c r="BX219" s="316"/>
      <c r="BY219" s="316"/>
      <c r="BZ219" s="316"/>
      <c r="CA219" s="316"/>
      <c r="CB219" s="316"/>
      <c r="CC219" s="316"/>
      <c r="CD219" s="316"/>
    </row>
    <row r="220" ht="15.75" customHeight="1">
      <c r="A220" s="308"/>
      <c r="B220" s="362">
        <v>45702.0</v>
      </c>
      <c r="C220" s="335">
        <v>85.811</v>
      </c>
      <c r="D220" s="335">
        <v>85.811</v>
      </c>
      <c r="E220" s="335">
        <v>85.811</v>
      </c>
      <c r="F220" s="335">
        <v>85.811</v>
      </c>
      <c r="G220" s="335" t="s">
        <v>238</v>
      </c>
      <c r="H220" s="336">
        <f t="shared" si="1"/>
        <v>-0.00449977214</v>
      </c>
      <c r="I220" s="336"/>
      <c r="J220" s="336"/>
      <c r="K220" s="348"/>
      <c r="L220" s="312"/>
      <c r="M220" s="312"/>
      <c r="N220" s="363">
        <v>45702.0</v>
      </c>
      <c r="O220" s="341">
        <v>34.881</v>
      </c>
      <c r="P220" s="341">
        <v>34.881</v>
      </c>
      <c r="Q220" s="341">
        <v>34.881</v>
      </c>
      <c r="R220" s="341">
        <v>34.881</v>
      </c>
      <c r="S220" s="335" t="s">
        <v>238</v>
      </c>
      <c r="T220" s="336">
        <f t="shared" si="2"/>
        <v>0.004856819859</v>
      </c>
      <c r="U220" s="336"/>
      <c r="V220" s="336"/>
      <c r="W220" s="348"/>
      <c r="X220" s="312"/>
      <c r="Y220" s="312"/>
      <c r="Z220" s="363">
        <v>45702.0</v>
      </c>
      <c r="AA220" s="341">
        <v>1941.778</v>
      </c>
      <c r="AB220" s="341">
        <v>1941.778</v>
      </c>
      <c r="AC220" s="341">
        <v>1941.778</v>
      </c>
      <c r="AD220" s="341">
        <v>1941.778</v>
      </c>
      <c r="AE220" s="335" t="s">
        <v>238</v>
      </c>
      <c r="AF220" s="336">
        <f t="shared" si="3"/>
        <v>-0.008344521136</v>
      </c>
      <c r="AG220" s="336"/>
      <c r="AH220" s="336"/>
      <c r="AI220" s="348"/>
      <c r="AJ220" s="312"/>
      <c r="AK220" s="312"/>
      <c r="AL220" s="353">
        <v>45702.0</v>
      </c>
      <c r="AM220" s="343">
        <v>23.441</v>
      </c>
      <c r="AN220" s="343">
        <v>23.441</v>
      </c>
      <c r="AO220" s="343">
        <v>23.441</v>
      </c>
      <c r="AP220" s="343">
        <v>23.441</v>
      </c>
      <c r="AQ220" s="335" t="s">
        <v>238</v>
      </c>
      <c r="AR220" s="336">
        <f t="shared" si="4"/>
        <v>-0.00008531695253</v>
      </c>
      <c r="AS220" s="336"/>
      <c r="AT220" s="336"/>
      <c r="AU220" s="348"/>
      <c r="AV220" s="312"/>
      <c r="AW220" s="312"/>
      <c r="AX220" s="312"/>
      <c r="AY220" s="312"/>
      <c r="AZ220" s="312"/>
      <c r="BA220" s="312"/>
      <c r="BB220" s="312"/>
      <c r="BC220" s="312"/>
      <c r="BD220" s="316"/>
      <c r="BE220" s="316"/>
      <c r="BF220" s="316"/>
      <c r="BG220" s="316"/>
      <c r="BH220" s="316"/>
      <c r="BI220" s="316"/>
      <c r="BJ220" s="316"/>
      <c r="BK220" s="316"/>
      <c r="BL220" s="316"/>
      <c r="BM220" s="316"/>
      <c r="BN220" s="316"/>
      <c r="BO220" s="316"/>
      <c r="BP220" s="316"/>
      <c r="BQ220" s="316"/>
      <c r="BR220" s="316"/>
      <c r="BS220" s="316"/>
      <c r="BT220" s="316"/>
      <c r="BU220" s="316"/>
      <c r="BV220" s="316"/>
      <c r="BW220" s="316"/>
      <c r="BX220" s="316"/>
      <c r="BY220" s="316"/>
      <c r="BZ220" s="316"/>
      <c r="CA220" s="316"/>
      <c r="CB220" s="316"/>
      <c r="CC220" s="316"/>
      <c r="CD220" s="316"/>
    </row>
    <row r="221" ht="15.75" customHeight="1">
      <c r="A221" s="308"/>
      <c r="B221" s="362">
        <v>45705.0</v>
      </c>
      <c r="C221" s="335">
        <v>85.972</v>
      </c>
      <c r="D221" s="335">
        <v>85.972</v>
      </c>
      <c r="E221" s="335">
        <v>85.972</v>
      </c>
      <c r="F221" s="335">
        <v>85.972</v>
      </c>
      <c r="G221" s="335" t="s">
        <v>238</v>
      </c>
      <c r="H221" s="336">
        <f t="shared" si="1"/>
        <v>0.00187445844</v>
      </c>
      <c r="I221" s="336"/>
      <c r="J221" s="336"/>
      <c r="K221" s="348"/>
      <c r="L221" s="312"/>
      <c r="M221" s="312"/>
      <c r="N221" s="363">
        <v>45705.0</v>
      </c>
      <c r="O221" s="341">
        <v>34.606</v>
      </c>
      <c r="P221" s="341">
        <v>34.606</v>
      </c>
      <c r="Q221" s="341">
        <v>34.606</v>
      </c>
      <c r="R221" s="341">
        <v>34.606</v>
      </c>
      <c r="S221" s="335" t="s">
        <v>238</v>
      </c>
      <c r="T221" s="336">
        <f t="shared" si="2"/>
        <v>-0.00791519092</v>
      </c>
      <c r="U221" s="336"/>
      <c r="V221" s="336"/>
      <c r="W221" s="348"/>
      <c r="X221" s="312"/>
      <c r="Y221" s="312"/>
      <c r="Z221" s="363">
        <v>45705.0</v>
      </c>
      <c r="AA221" s="341">
        <v>1948.278</v>
      </c>
      <c r="AB221" s="341">
        <v>1948.278</v>
      </c>
      <c r="AC221" s="341">
        <v>1948.278</v>
      </c>
      <c r="AD221" s="341">
        <v>1948.278</v>
      </c>
      <c r="AE221" s="335" t="s">
        <v>238</v>
      </c>
      <c r="AF221" s="336">
        <f t="shared" si="3"/>
        <v>0.003341857315</v>
      </c>
      <c r="AG221" s="336"/>
      <c r="AH221" s="336"/>
      <c r="AI221" s="348"/>
      <c r="AJ221" s="312"/>
      <c r="AK221" s="312"/>
      <c r="AL221" s="353">
        <v>45705.0</v>
      </c>
      <c r="AM221" s="343">
        <v>23.454</v>
      </c>
      <c r="AN221" s="343">
        <v>23.454</v>
      </c>
      <c r="AO221" s="343">
        <v>23.454</v>
      </c>
      <c r="AP221" s="343">
        <v>23.454</v>
      </c>
      <c r="AQ221" s="335" t="s">
        <v>238</v>
      </c>
      <c r="AR221" s="336">
        <f t="shared" si="4"/>
        <v>0.000554430124</v>
      </c>
      <c r="AS221" s="336"/>
      <c r="AT221" s="336"/>
      <c r="AU221" s="348"/>
      <c r="AV221" s="312"/>
      <c r="AW221" s="312"/>
      <c r="AX221" s="312"/>
      <c r="AY221" s="312"/>
      <c r="AZ221" s="312"/>
      <c r="BA221" s="312"/>
      <c r="BB221" s="312"/>
      <c r="BC221" s="312"/>
      <c r="BD221" s="316"/>
      <c r="BE221" s="316"/>
      <c r="BF221" s="316"/>
      <c r="BG221" s="316"/>
      <c r="BH221" s="316"/>
      <c r="BI221" s="316"/>
      <c r="BJ221" s="316"/>
      <c r="BK221" s="316"/>
      <c r="BL221" s="316"/>
      <c r="BM221" s="316"/>
      <c r="BN221" s="316"/>
      <c r="BO221" s="316"/>
      <c r="BP221" s="316"/>
      <c r="BQ221" s="316"/>
      <c r="BR221" s="316"/>
      <c r="BS221" s="316"/>
      <c r="BT221" s="316"/>
      <c r="BU221" s="316"/>
      <c r="BV221" s="316"/>
      <c r="BW221" s="316"/>
      <c r="BX221" s="316"/>
      <c r="BY221" s="316"/>
      <c r="BZ221" s="316"/>
      <c r="CA221" s="316"/>
      <c r="CB221" s="316"/>
      <c r="CC221" s="316"/>
      <c r="CD221" s="316"/>
    </row>
    <row r="222" ht="15.75" customHeight="1">
      <c r="A222" s="308"/>
      <c r="B222" s="362">
        <v>45706.0</v>
      </c>
      <c r="C222" s="335">
        <v>85.893</v>
      </c>
      <c r="D222" s="335">
        <v>85.893</v>
      </c>
      <c r="E222" s="335">
        <v>85.893</v>
      </c>
      <c r="F222" s="335">
        <v>85.893</v>
      </c>
      <c r="G222" s="335" t="s">
        <v>238</v>
      </c>
      <c r="H222" s="336">
        <f t="shared" si="1"/>
        <v>-0.0009193262801</v>
      </c>
      <c r="I222" s="336"/>
      <c r="J222" s="336"/>
      <c r="K222" s="348"/>
      <c r="L222" s="312"/>
      <c r="M222" s="312"/>
      <c r="N222" s="363">
        <v>45706.0</v>
      </c>
      <c r="O222" s="341">
        <v>34.765</v>
      </c>
      <c r="P222" s="341">
        <v>34.765</v>
      </c>
      <c r="Q222" s="341">
        <v>34.765</v>
      </c>
      <c r="R222" s="341">
        <v>34.765</v>
      </c>
      <c r="S222" s="335" t="s">
        <v>238</v>
      </c>
      <c r="T222" s="336">
        <f t="shared" si="2"/>
        <v>0.004584056117</v>
      </c>
      <c r="U222" s="336"/>
      <c r="V222" s="336"/>
      <c r="W222" s="348"/>
      <c r="X222" s="312"/>
      <c r="Y222" s="312"/>
      <c r="Z222" s="363">
        <v>45706.0</v>
      </c>
      <c r="AA222" s="341">
        <v>1946.569</v>
      </c>
      <c r="AB222" s="341">
        <v>1946.569</v>
      </c>
      <c r="AC222" s="341">
        <v>1946.569</v>
      </c>
      <c r="AD222" s="341">
        <v>1946.569</v>
      </c>
      <c r="AE222" s="335" t="s">
        <v>238</v>
      </c>
      <c r="AF222" s="336">
        <f t="shared" si="3"/>
        <v>-0.0008775698299</v>
      </c>
      <c r="AG222" s="336"/>
      <c r="AH222" s="336"/>
      <c r="AI222" s="348"/>
      <c r="AJ222" s="312"/>
      <c r="AK222" s="312"/>
      <c r="AL222" s="353">
        <v>45706.0</v>
      </c>
      <c r="AM222" s="343">
        <v>23.452</v>
      </c>
      <c r="AN222" s="343">
        <v>23.452</v>
      </c>
      <c r="AO222" s="343">
        <v>23.452</v>
      </c>
      <c r="AP222" s="343">
        <v>23.452</v>
      </c>
      <c r="AQ222" s="335" t="s">
        <v>238</v>
      </c>
      <c r="AR222" s="336">
        <f t="shared" si="4"/>
        <v>-0.0000852769369</v>
      </c>
      <c r="AS222" s="336"/>
      <c r="AT222" s="336"/>
      <c r="AU222" s="348"/>
      <c r="AV222" s="312"/>
      <c r="AW222" s="312"/>
      <c r="AX222" s="312"/>
      <c r="AY222" s="312"/>
      <c r="AZ222" s="312"/>
      <c r="BA222" s="312"/>
      <c r="BB222" s="312"/>
      <c r="BC222" s="312"/>
      <c r="BD222" s="316"/>
      <c r="BE222" s="316"/>
      <c r="BF222" s="316"/>
      <c r="BG222" s="316"/>
      <c r="BH222" s="316"/>
      <c r="BI222" s="316"/>
      <c r="BJ222" s="316"/>
      <c r="BK222" s="316"/>
      <c r="BL222" s="316"/>
      <c r="BM222" s="316"/>
      <c r="BN222" s="316"/>
      <c r="BO222" s="316"/>
      <c r="BP222" s="316"/>
      <c r="BQ222" s="316"/>
      <c r="BR222" s="316"/>
      <c r="BS222" s="316"/>
      <c r="BT222" s="316"/>
      <c r="BU222" s="316"/>
      <c r="BV222" s="316"/>
      <c r="BW222" s="316"/>
      <c r="BX222" s="316"/>
      <c r="BY222" s="316"/>
      <c r="BZ222" s="316"/>
      <c r="CA222" s="316"/>
      <c r="CB222" s="316"/>
      <c r="CC222" s="316"/>
      <c r="CD222" s="316"/>
    </row>
    <row r="223" ht="15.75" customHeight="1">
      <c r="A223" s="308"/>
      <c r="B223" s="362">
        <v>45708.0</v>
      </c>
      <c r="C223" s="335">
        <v>85.927</v>
      </c>
      <c r="D223" s="335">
        <v>85.927</v>
      </c>
      <c r="E223" s="335">
        <v>85.927</v>
      </c>
      <c r="F223" s="335">
        <v>85.927</v>
      </c>
      <c r="G223" s="335" t="s">
        <v>238</v>
      </c>
      <c r="H223" s="336">
        <f t="shared" si="1"/>
        <v>0.000395763013</v>
      </c>
      <c r="I223" s="336"/>
      <c r="J223" s="336"/>
      <c r="K223" s="348"/>
      <c r="L223" s="312"/>
      <c r="M223" s="312"/>
      <c r="N223" s="363">
        <v>45708.0</v>
      </c>
      <c r="O223" s="341">
        <v>35.011</v>
      </c>
      <c r="P223" s="341">
        <v>35.011</v>
      </c>
      <c r="Q223" s="341">
        <v>35.011</v>
      </c>
      <c r="R223" s="341">
        <v>35.011</v>
      </c>
      <c r="S223" s="335" t="s">
        <v>238</v>
      </c>
      <c r="T223" s="336">
        <f t="shared" si="2"/>
        <v>0.007051164275</v>
      </c>
      <c r="U223" s="336"/>
      <c r="V223" s="336"/>
      <c r="W223" s="348"/>
      <c r="X223" s="312"/>
      <c r="Y223" s="312"/>
      <c r="Z223" s="363">
        <v>45708.0</v>
      </c>
      <c r="AA223" s="341">
        <v>1956.715</v>
      </c>
      <c r="AB223" s="341">
        <v>1956.715</v>
      </c>
      <c r="AC223" s="341">
        <v>1956.715</v>
      </c>
      <c r="AD223" s="341">
        <v>1956.715</v>
      </c>
      <c r="AE223" s="335" t="s">
        <v>238</v>
      </c>
      <c r="AF223" s="336">
        <f t="shared" si="3"/>
        <v>0.00519871106</v>
      </c>
      <c r="AG223" s="336"/>
      <c r="AH223" s="336"/>
      <c r="AI223" s="348"/>
      <c r="AJ223" s="312"/>
      <c r="AK223" s="312"/>
      <c r="AL223" s="353">
        <v>45708.0</v>
      </c>
      <c r="AM223" s="343">
        <v>23.473</v>
      </c>
      <c r="AN223" s="343">
        <v>23.473</v>
      </c>
      <c r="AO223" s="343">
        <v>23.473</v>
      </c>
      <c r="AP223" s="343">
        <v>23.473</v>
      </c>
      <c r="AQ223" s="335" t="s">
        <v>238</v>
      </c>
      <c r="AR223" s="336">
        <f t="shared" si="4"/>
        <v>0.0008950453448</v>
      </c>
      <c r="AS223" s="336"/>
      <c r="AT223" s="336"/>
      <c r="AU223" s="348"/>
      <c r="AV223" s="312"/>
      <c r="AW223" s="312"/>
      <c r="AX223" s="312"/>
      <c r="AY223" s="312"/>
      <c r="AZ223" s="312"/>
      <c r="BA223" s="312"/>
      <c r="BB223" s="312"/>
      <c r="BC223" s="312"/>
      <c r="BD223" s="316"/>
      <c r="BE223" s="316"/>
      <c r="BF223" s="316"/>
      <c r="BG223" s="316"/>
      <c r="BH223" s="316"/>
      <c r="BI223" s="316"/>
      <c r="BJ223" s="316"/>
      <c r="BK223" s="316"/>
      <c r="BL223" s="316"/>
      <c r="BM223" s="316"/>
      <c r="BN223" s="316"/>
      <c r="BO223" s="316"/>
      <c r="BP223" s="316"/>
      <c r="BQ223" s="316"/>
      <c r="BR223" s="316"/>
      <c r="BS223" s="316"/>
      <c r="BT223" s="316"/>
      <c r="BU223" s="316"/>
      <c r="BV223" s="316"/>
      <c r="BW223" s="316"/>
      <c r="BX223" s="316"/>
      <c r="BY223" s="316"/>
      <c r="BZ223" s="316"/>
      <c r="CA223" s="316"/>
      <c r="CB223" s="316"/>
      <c r="CC223" s="316"/>
      <c r="CD223" s="316"/>
    </row>
    <row r="224" ht="15.75" customHeight="1">
      <c r="A224" s="308"/>
      <c r="B224" s="362">
        <v>45709.0</v>
      </c>
      <c r="C224" s="335">
        <v>85.157</v>
      </c>
      <c r="D224" s="335">
        <v>85.157</v>
      </c>
      <c r="E224" s="335">
        <v>85.157</v>
      </c>
      <c r="F224" s="335">
        <v>85.157</v>
      </c>
      <c r="G224" s="335" t="s">
        <v>238</v>
      </c>
      <c r="H224" s="336">
        <f t="shared" si="1"/>
        <v>-0.00900148698</v>
      </c>
      <c r="I224" s="336"/>
      <c r="J224" s="336"/>
      <c r="K224" s="348"/>
      <c r="L224" s="312"/>
      <c r="M224" s="312"/>
      <c r="N224" s="363">
        <v>45709.0</v>
      </c>
      <c r="O224" s="341">
        <v>34.813</v>
      </c>
      <c r="P224" s="341">
        <v>34.813</v>
      </c>
      <c r="Q224" s="341">
        <v>34.813</v>
      </c>
      <c r="R224" s="341">
        <v>34.813</v>
      </c>
      <c r="S224" s="335" t="s">
        <v>238</v>
      </c>
      <c r="T224" s="336">
        <f t="shared" si="2"/>
        <v>-0.005671417585</v>
      </c>
      <c r="U224" s="336"/>
      <c r="V224" s="336"/>
      <c r="W224" s="348"/>
      <c r="X224" s="312"/>
      <c r="Y224" s="312"/>
      <c r="Z224" s="363">
        <v>45709.0</v>
      </c>
      <c r="AA224" s="341">
        <v>1946.613</v>
      </c>
      <c r="AB224" s="341">
        <v>1946.613</v>
      </c>
      <c r="AC224" s="341">
        <v>1946.613</v>
      </c>
      <c r="AD224" s="341">
        <v>1946.613</v>
      </c>
      <c r="AE224" s="335" t="s">
        <v>238</v>
      </c>
      <c r="AF224" s="336">
        <f t="shared" si="3"/>
        <v>-0.005176107442</v>
      </c>
      <c r="AG224" s="336"/>
      <c r="AH224" s="336"/>
      <c r="AI224" s="348"/>
      <c r="AJ224" s="312"/>
      <c r="AK224" s="312"/>
      <c r="AL224" s="353">
        <v>45709.0</v>
      </c>
      <c r="AM224" s="343">
        <v>23.49</v>
      </c>
      <c r="AN224" s="343">
        <v>23.49</v>
      </c>
      <c r="AO224" s="343">
        <v>23.49</v>
      </c>
      <c r="AP224" s="343">
        <v>23.49</v>
      </c>
      <c r="AQ224" s="335" t="s">
        <v>238</v>
      </c>
      <c r="AR224" s="336">
        <f t="shared" si="4"/>
        <v>0.0007239742241</v>
      </c>
      <c r="AS224" s="336"/>
      <c r="AT224" s="336"/>
      <c r="AU224" s="348"/>
      <c r="AV224" s="312"/>
      <c r="AW224" s="312"/>
      <c r="AX224" s="312"/>
      <c r="AY224" s="312"/>
      <c r="AZ224" s="312"/>
      <c r="BA224" s="312"/>
      <c r="BB224" s="312"/>
      <c r="BC224" s="312"/>
      <c r="BD224" s="316"/>
      <c r="BE224" s="316"/>
      <c r="BF224" s="316"/>
      <c r="BG224" s="316"/>
      <c r="BH224" s="316"/>
      <c r="BI224" s="316"/>
      <c r="BJ224" s="316"/>
      <c r="BK224" s="316"/>
      <c r="BL224" s="316"/>
      <c r="BM224" s="316"/>
      <c r="BN224" s="316"/>
      <c r="BO224" s="316"/>
      <c r="BP224" s="316"/>
      <c r="BQ224" s="316"/>
      <c r="BR224" s="316"/>
      <c r="BS224" s="316"/>
      <c r="BT224" s="316"/>
      <c r="BU224" s="316"/>
      <c r="BV224" s="316"/>
      <c r="BW224" s="316"/>
      <c r="BX224" s="316"/>
      <c r="BY224" s="316"/>
      <c r="BZ224" s="316"/>
      <c r="CA224" s="316"/>
      <c r="CB224" s="316"/>
      <c r="CC224" s="316"/>
      <c r="CD224" s="316"/>
    </row>
    <row r="225" ht="15.75" customHeight="1">
      <c r="A225" s="308"/>
      <c r="B225" s="362">
        <v>45712.0</v>
      </c>
      <c r="C225" s="335">
        <v>84.563</v>
      </c>
      <c r="D225" s="335">
        <v>84.563</v>
      </c>
      <c r="E225" s="335">
        <v>84.563</v>
      </c>
      <c r="F225" s="335">
        <v>84.563</v>
      </c>
      <c r="G225" s="335" t="s">
        <v>238</v>
      </c>
      <c r="H225" s="336">
        <f t="shared" si="1"/>
        <v>-0.006999792898</v>
      </c>
      <c r="I225" s="336"/>
      <c r="J225" s="336"/>
      <c r="K225" s="348"/>
      <c r="L225" s="312"/>
      <c r="M225" s="312"/>
      <c r="N225" s="363">
        <v>45712.0</v>
      </c>
      <c r="O225" s="341">
        <v>35.063</v>
      </c>
      <c r="P225" s="341">
        <v>35.063</v>
      </c>
      <c r="Q225" s="341">
        <v>35.063</v>
      </c>
      <c r="R225" s="341">
        <v>35.063</v>
      </c>
      <c r="S225" s="335" t="s">
        <v>238</v>
      </c>
      <c r="T225" s="336">
        <f t="shared" si="2"/>
        <v>0.007155563189</v>
      </c>
      <c r="U225" s="336"/>
      <c r="V225" s="336"/>
      <c r="W225" s="348"/>
      <c r="X225" s="312"/>
      <c r="Y225" s="312"/>
      <c r="Z225" s="363">
        <v>45712.0</v>
      </c>
      <c r="AA225" s="341">
        <v>1933.468</v>
      </c>
      <c r="AB225" s="341">
        <v>1933.468</v>
      </c>
      <c r="AC225" s="341">
        <v>1933.468</v>
      </c>
      <c r="AD225" s="341">
        <v>1933.468</v>
      </c>
      <c r="AE225" s="335" t="s">
        <v>238</v>
      </c>
      <c r="AF225" s="336">
        <f t="shared" si="3"/>
        <v>-0.006775657668</v>
      </c>
      <c r="AG225" s="336"/>
      <c r="AH225" s="336"/>
      <c r="AI225" s="348"/>
      <c r="AJ225" s="312"/>
      <c r="AK225" s="312"/>
      <c r="AL225" s="353">
        <v>45712.0</v>
      </c>
      <c r="AM225" s="343">
        <v>23.49</v>
      </c>
      <c r="AN225" s="343">
        <v>23.49</v>
      </c>
      <c r="AO225" s="343">
        <v>23.49</v>
      </c>
      <c r="AP225" s="343">
        <v>23.49</v>
      </c>
      <c r="AQ225" s="335" t="s">
        <v>238</v>
      </c>
      <c r="AR225" s="336">
        <f t="shared" si="4"/>
        <v>0</v>
      </c>
      <c r="AS225" s="336"/>
      <c r="AT225" s="336"/>
      <c r="AU225" s="348"/>
      <c r="AV225" s="312"/>
      <c r="AW225" s="312"/>
      <c r="AX225" s="312"/>
      <c r="AY225" s="312"/>
      <c r="AZ225" s="312"/>
      <c r="BA225" s="312"/>
      <c r="BB225" s="312"/>
      <c r="BC225" s="312"/>
      <c r="BD225" s="316"/>
      <c r="BE225" s="316"/>
      <c r="BF225" s="316"/>
      <c r="BG225" s="316"/>
      <c r="BH225" s="316"/>
      <c r="BI225" s="316"/>
      <c r="BJ225" s="316"/>
      <c r="BK225" s="316"/>
      <c r="BL225" s="316"/>
      <c r="BM225" s="316"/>
      <c r="BN225" s="316"/>
      <c r="BO225" s="316"/>
      <c r="BP225" s="316"/>
      <c r="BQ225" s="316"/>
      <c r="BR225" s="316"/>
      <c r="BS225" s="316"/>
      <c r="BT225" s="316"/>
      <c r="BU225" s="316"/>
      <c r="BV225" s="316"/>
      <c r="BW225" s="316"/>
      <c r="BX225" s="316"/>
      <c r="BY225" s="316"/>
      <c r="BZ225" s="316"/>
      <c r="CA225" s="316"/>
      <c r="CB225" s="316"/>
      <c r="CC225" s="316"/>
      <c r="CD225" s="316"/>
    </row>
    <row r="226" ht="15.75" customHeight="1">
      <c r="A226" s="308"/>
      <c r="B226" s="362">
        <v>45713.0</v>
      </c>
      <c r="C226" s="335">
        <v>84.293</v>
      </c>
      <c r="D226" s="335">
        <v>84.293</v>
      </c>
      <c r="E226" s="335">
        <v>84.293</v>
      </c>
      <c r="F226" s="335">
        <v>84.293</v>
      </c>
      <c r="G226" s="335" t="s">
        <v>238</v>
      </c>
      <c r="H226" s="336">
        <f t="shared" si="1"/>
        <v>-0.003197993913</v>
      </c>
      <c r="I226" s="336"/>
      <c r="J226" s="336"/>
      <c r="K226" s="348"/>
      <c r="L226" s="312"/>
      <c r="M226" s="312"/>
      <c r="N226" s="363">
        <v>45713.0</v>
      </c>
      <c r="O226" s="341">
        <v>35.136</v>
      </c>
      <c r="P226" s="341">
        <v>35.136</v>
      </c>
      <c r="Q226" s="341">
        <v>35.136</v>
      </c>
      <c r="R226" s="341">
        <v>35.136</v>
      </c>
      <c r="S226" s="335" t="s">
        <v>238</v>
      </c>
      <c r="T226" s="336">
        <f t="shared" si="2"/>
        <v>0.002079802456</v>
      </c>
      <c r="U226" s="336"/>
      <c r="V226" s="336"/>
      <c r="W226" s="348"/>
      <c r="X226" s="312"/>
      <c r="Y226" s="312"/>
      <c r="Z226" s="363">
        <v>45713.0</v>
      </c>
      <c r="AA226" s="341">
        <v>1932.861</v>
      </c>
      <c r="AB226" s="341">
        <v>1932.861</v>
      </c>
      <c r="AC226" s="341">
        <v>1932.861</v>
      </c>
      <c r="AD226" s="341">
        <v>1932.861</v>
      </c>
      <c r="AE226" s="335" t="s">
        <v>238</v>
      </c>
      <c r="AF226" s="336">
        <f t="shared" si="3"/>
        <v>-0.0003139929401</v>
      </c>
      <c r="AG226" s="336"/>
      <c r="AH226" s="336"/>
      <c r="AI226" s="348"/>
      <c r="AJ226" s="312"/>
      <c r="AK226" s="312"/>
      <c r="AL226" s="353">
        <v>45713.0</v>
      </c>
      <c r="AM226" s="343">
        <v>23.496</v>
      </c>
      <c r="AN226" s="343">
        <v>23.496</v>
      </c>
      <c r="AO226" s="343">
        <v>23.496</v>
      </c>
      <c r="AP226" s="343">
        <v>23.496</v>
      </c>
      <c r="AQ226" s="335" t="s">
        <v>238</v>
      </c>
      <c r="AR226" s="336">
        <f t="shared" si="4"/>
        <v>0.0002553952255</v>
      </c>
      <c r="AS226" s="336"/>
      <c r="AT226" s="336"/>
      <c r="AU226" s="348"/>
      <c r="AV226" s="312"/>
      <c r="AW226" s="312"/>
      <c r="AX226" s="312"/>
      <c r="AY226" s="312"/>
      <c r="AZ226" s="312"/>
      <c r="BA226" s="312"/>
      <c r="BB226" s="312"/>
      <c r="BC226" s="312"/>
      <c r="BD226" s="316"/>
      <c r="BE226" s="316"/>
      <c r="BF226" s="316"/>
      <c r="BG226" s="316"/>
      <c r="BH226" s="316"/>
      <c r="BI226" s="316"/>
      <c r="BJ226" s="316"/>
      <c r="BK226" s="316"/>
      <c r="BL226" s="316"/>
      <c r="BM226" s="316"/>
      <c r="BN226" s="316"/>
      <c r="BO226" s="316"/>
      <c r="BP226" s="316"/>
      <c r="BQ226" s="316"/>
      <c r="BR226" s="316"/>
      <c r="BS226" s="316"/>
      <c r="BT226" s="316"/>
      <c r="BU226" s="316"/>
      <c r="BV226" s="316"/>
      <c r="BW226" s="316"/>
      <c r="BX226" s="316"/>
      <c r="BY226" s="316"/>
      <c r="BZ226" s="316"/>
      <c r="CA226" s="316"/>
      <c r="CB226" s="316"/>
      <c r="CC226" s="316"/>
      <c r="CD226" s="316"/>
    </row>
    <row r="227" ht="15.75" customHeight="1">
      <c r="A227" s="308"/>
      <c r="B227" s="362">
        <v>45715.0</v>
      </c>
      <c r="C227" s="335">
        <v>84.197</v>
      </c>
      <c r="D227" s="335">
        <v>84.197</v>
      </c>
      <c r="E227" s="335">
        <v>84.197</v>
      </c>
      <c r="F227" s="335">
        <v>84.197</v>
      </c>
      <c r="G227" s="335" t="s">
        <v>238</v>
      </c>
      <c r="H227" s="336">
        <f t="shared" si="1"/>
        <v>-0.001139533627</v>
      </c>
      <c r="I227" s="336"/>
      <c r="J227" s="336"/>
      <c r="K227" s="348"/>
      <c r="L227" s="312"/>
      <c r="M227" s="312"/>
      <c r="N227" s="340">
        <v>45715.0</v>
      </c>
      <c r="O227" s="341">
        <v>34.716</v>
      </c>
      <c r="P227" s="341">
        <v>34.716</v>
      </c>
      <c r="Q227" s="341">
        <v>34.716</v>
      </c>
      <c r="R227" s="341">
        <v>34.716</v>
      </c>
      <c r="S227" s="335" t="s">
        <v>238</v>
      </c>
      <c r="T227" s="336">
        <f t="shared" si="2"/>
        <v>-0.01202557011</v>
      </c>
      <c r="U227" s="336"/>
      <c r="V227" s="336"/>
      <c r="W227" s="348"/>
      <c r="X227" s="312"/>
      <c r="Y227" s="312"/>
      <c r="Z227" s="363">
        <v>45715.0</v>
      </c>
      <c r="AA227" s="341">
        <v>1924.793</v>
      </c>
      <c r="AB227" s="341">
        <v>1924.793</v>
      </c>
      <c r="AC227" s="341">
        <v>1924.793</v>
      </c>
      <c r="AD227" s="341">
        <v>1924.793</v>
      </c>
      <c r="AE227" s="335" t="s">
        <v>238</v>
      </c>
      <c r="AF227" s="336">
        <f t="shared" si="3"/>
        <v>-0.004182859201</v>
      </c>
      <c r="AG227" s="336"/>
      <c r="AH227" s="336"/>
      <c r="AI227" s="348"/>
      <c r="AJ227" s="312"/>
      <c r="AK227" s="312"/>
      <c r="AL227" s="353">
        <v>45715.0</v>
      </c>
      <c r="AM227" s="343">
        <v>23.5</v>
      </c>
      <c r="AN227" s="343">
        <v>23.5</v>
      </c>
      <c r="AO227" s="343">
        <v>23.5</v>
      </c>
      <c r="AP227" s="343">
        <v>23.5</v>
      </c>
      <c r="AQ227" s="335" t="s">
        <v>238</v>
      </c>
      <c r="AR227" s="336">
        <f t="shared" si="4"/>
        <v>0.0001702272538</v>
      </c>
      <c r="AS227" s="336"/>
      <c r="AT227" s="336"/>
      <c r="AU227" s="348"/>
      <c r="AV227" s="312"/>
      <c r="AW227" s="312"/>
      <c r="AX227" s="312"/>
      <c r="AY227" s="312"/>
      <c r="AZ227" s="312"/>
      <c r="BA227" s="312"/>
      <c r="BB227" s="312"/>
      <c r="BC227" s="312"/>
      <c r="BD227" s="316"/>
      <c r="BE227" s="316"/>
      <c r="BF227" s="316"/>
      <c r="BG227" s="316"/>
      <c r="BH227" s="316"/>
      <c r="BI227" s="316"/>
      <c r="BJ227" s="316"/>
      <c r="BK227" s="316"/>
      <c r="BL227" s="316"/>
      <c r="BM227" s="316"/>
      <c r="BN227" s="316"/>
      <c r="BO227" s="316"/>
      <c r="BP227" s="316"/>
      <c r="BQ227" s="316"/>
      <c r="BR227" s="316"/>
      <c r="BS227" s="316"/>
      <c r="BT227" s="316"/>
      <c r="BU227" s="316"/>
      <c r="BV227" s="316"/>
      <c r="BW227" s="316"/>
      <c r="BX227" s="316"/>
      <c r="BY227" s="316"/>
      <c r="BZ227" s="316"/>
      <c r="CA227" s="316"/>
      <c r="CB227" s="316"/>
      <c r="CC227" s="316"/>
      <c r="CD227" s="316"/>
    </row>
    <row r="228" ht="15.75" customHeight="1">
      <c r="A228" s="308"/>
      <c r="B228" s="362">
        <v>45716.0</v>
      </c>
      <c r="C228" s="335">
        <v>83.491</v>
      </c>
      <c r="D228" s="335">
        <v>83.491</v>
      </c>
      <c r="E228" s="335">
        <v>83.491</v>
      </c>
      <c r="F228" s="335">
        <v>83.491</v>
      </c>
      <c r="G228" s="335" t="s">
        <v>238</v>
      </c>
      <c r="H228" s="336">
        <f t="shared" si="1"/>
        <v>-0.008420449543</v>
      </c>
      <c r="I228" s="336"/>
      <c r="J228" s="336"/>
      <c r="K228" s="348"/>
      <c r="L228" s="312"/>
      <c r="M228" s="312"/>
      <c r="N228" s="340">
        <v>45716.0</v>
      </c>
      <c r="O228" s="341">
        <v>34.339</v>
      </c>
      <c r="P228" s="341">
        <v>34.339</v>
      </c>
      <c r="Q228" s="341">
        <v>34.339</v>
      </c>
      <c r="R228" s="341">
        <v>34.339</v>
      </c>
      <c r="S228" s="335" t="s">
        <v>238</v>
      </c>
      <c r="T228" s="336">
        <f t="shared" si="2"/>
        <v>-0.0109189413</v>
      </c>
      <c r="U228" s="336"/>
      <c r="V228" s="336"/>
      <c r="W228" s="348"/>
      <c r="X228" s="312"/>
      <c r="Y228" s="312"/>
      <c r="Z228" s="363">
        <v>45716.0</v>
      </c>
      <c r="AA228" s="341">
        <v>1891.689</v>
      </c>
      <c r="AB228" s="341">
        <v>1891.689</v>
      </c>
      <c r="AC228" s="341">
        <v>1891.689</v>
      </c>
      <c r="AD228" s="341">
        <v>1891.689</v>
      </c>
      <c r="AE228" s="335" t="s">
        <v>238</v>
      </c>
      <c r="AF228" s="336">
        <f t="shared" si="3"/>
        <v>-0.01734834869</v>
      </c>
      <c r="AG228" s="336"/>
      <c r="AH228" s="336"/>
      <c r="AI228" s="348"/>
      <c r="AJ228" s="312"/>
      <c r="AK228" s="312"/>
      <c r="AL228" s="353">
        <v>45716.0</v>
      </c>
      <c r="AM228" s="343">
        <v>23.487</v>
      </c>
      <c r="AN228" s="343">
        <v>23.487</v>
      </c>
      <c r="AO228" s="343">
        <v>23.487</v>
      </c>
      <c r="AP228" s="343">
        <v>23.487</v>
      </c>
      <c r="AQ228" s="335" t="s">
        <v>238</v>
      </c>
      <c r="AR228" s="336">
        <f t="shared" si="4"/>
        <v>-0.0005533445562</v>
      </c>
      <c r="AS228" s="336"/>
      <c r="AT228" s="336"/>
      <c r="AU228" s="348"/>
      <c r="AV228" s="312"/>
      <c r="AW228" s="312"/>
      <c r="AX228" s="312"/>
      <c r="AY228" s="312"/>
      <c r="AZ228" s="312"/>
      <c r="BA228" s="312"/>
      <c r="BB228" s="312"/>
      <c r="BC228" s="312"/>
      <c r="BD228" s="316"/>
      <c r="BE228" s="316"/>
      <c r="BF228" s="316"/>
      <c r="BG228" s="316"/>
      <c r="BH228" s="316"/>
      <c r="BI228" s="316"/>
      <c r="BJ228" s="316"/>
      <c r="BK228" s="316"/>
      <c r="BL228" s="316"/>
      <c r="BM228" s="316"/>
      <c r="BN228" s="316"/>
      <c r="BO228" s="316"/>
      <c r="BP228" s="316"/>
      <c r="BQ228" s="316"/>
      <c r="BR228" s="316"/>
      <c r="BS228" s="316"/>
      <c r="BT228" s="316"/>
      <c r="BU228" s="316"/>
      <c r="BV228" s="316"/>
      <c r="BW228" s="316"/>
      <c r="BX228" s="316"/>
      <c r="BY228" s="316"/>
      <c r="BZ228" s="316"/>
      <c r="CA228" s="316"/>
      <c r="CB228" s="316"/>
      <c r="CC228" s="316"/>
      <c r="CD228" s="316"/>
    </row>
    <row r="229" ht="15.75" customHeight="1">
      <c r="A229" s="308"/>
      <c r="B229" s="362">
        <v>45719.0</v>
      </c>
      <c r="C229" s="335">
        <v>82.891</v>
      </c>
      <c r="D229" s="335">
        <v>82.891</v>
      </c>
      <c r="E229" s="335">
        <v>82.891</v>
      </c>
      <c r="F229" s="335">
        <v>82.891</v>
      </c>
      <c r="G229" s="335" t="s">
        <v>238</v>
      </c>
      <c r="H229" s="336">
        <f t="shared" si="1"/>
        <v>-0.007212349904</v>
      </c>
      <c r="I229" s="336"/>
      <c r="J229" s="336"/>
      <c r="K229" s="348"/>
      <c r="L229" s="312"/>
      <c r="M229" s="312"/>
      <c r="N229" s="340">
        <v>45719.0</v>
      </c>
      <c r="O229" s="341">
        <v>34.465</v>
      </c>
      <c r="P229" s="341">
        <v>34.465</v>
      </c>
      <c r="Q229" s="341">
        <v>34.465</v>
      </c>
      <c r="R229" s="341">
        <v>34.465</v>
      </c>
      <c r="S229" s="335" t="s">
        <v>238</v>
      </c>
      <c r="T229" s="336">
        <f t="shared" si="2"/>
        <v>0.003662581851</v>
      </c>
      <c r="U229" s="336"/>
      <c r="V229" s="336"/>
      <c r="W229" s="348"/>
      <c r="X229" s="312"/>
      <c r="Y229" s="312"/>
      <c r="Z229" s="363">
        <v>45719.0</v>
      </c>
      <c r="AA229" s="341">
        <v>1891.762</v>
      </c>
      <c r="AB229" s="341">
        <v>1891.762</v>
      </c>
      <c r="AC229" s="341">
        <v>1891.762</v>
      </c>
      <c r="AD229" s="341">
        <v>1891.762</v>
      </c>
      <c r="AE229" s="335" t="s">
        <v>238</v>
      </c>
      <c r="AF229" s="336">
        <f t="shared" si="3"/>
        <v>0.0000385891082</v>
      </c>
      <c r="AG229" s="336"/>
      <c r="AH229" s="336"/>
      <c r="AI229" s="348"/>
      <c r="AJ229" s="312"/>
      <c r="AK229" s="312"/>
      <c r="AL229" s="342">
        <v>45719.0</v>
      </c>
      <c r="AM229" s="343">
        <v>23.49</v>
      </c>
      <c r="AN229" s="343">
        <v>23.49</v>
      </c>
      <c r="AO229" s="343">
        <v>23.49</v>
      </c>
      <c r="AP229" s="343">
        <v>23.49</v>
      </c>
      <c r="AQ229" s="335" t="s">
        <v>238</v>
      </c>
      <c r="AR229" s="336">
        <f t="shared" si="4"/>
        <v>0.0001277220769</v>
      </c>
      <c r="AS229" s="336"/>
      <c r="AT229" s="336"/>
      <c r="AU229" s="348"/>
      <c r="AV229" s="312"/>
      <c r="AW229" s="312"/>
      <c r="AX229" s="312"/>
      <c r="AY229" s="312"/>
      <c r="AZ229" s="312"/>
      <c r="BA229" s="312"/>
      <c r="BB229" s="312"/>
      <c r="BC229" s="312"/>
      <c r="BD229" s="316"/>
      <c r="BE229" s="316"/>
      <c r="BF229" s="316"/>
      <c r="BG229" s="316"/>
      <c r="BH229" s="316"/>
      <c r="BI229" s="316"/>
      <c r="BJ229" s="316"/>
      <c r="BK229" s="316"/>
      <c r="BL229" s="316"/>
      <c r="BM229" s="316"/>
      <c r="BN229" s="316"/>
      <c r="BO229" s="316"/>
      <c r="BP229" s="316"/>
      <c r="BQ229" s="316"/>
      <c r="BR229" s="316"/>
      <c r="BS229" s="316"/>
      <c r="BT229" s="316"/>
      <c r="BU229" s="316"/>
      <c r="BV229" s="316"/>
      <c r="BW229" s="316"/>
      <c r="BX229" s="316"/>
      <c r="BY229" s="316"/>
      <c r="BZ229" s="316"/>
      <c r="CA229" s="316"/>
      <c r="CB229" s="316"/>
      <c r="CC229" s="316"/>
      <c r="CD229" s="316"/>
    </row>
    <row r="230" ht="15.75" customHeight="1">
      <c r="A230" s="308"/>
      <c r="B230" s="362">
        <v>45720.0</v>
      </c>
      <c r="C230" s="335">
        <v>82.684</v>
      </c>
      <c r="D230" s="335">
        <v>82.684</v>
      </c>
      <c r="E230" s="335">
        <v>82.684</v>
      </c>
      <c r="F230" s="335">
        <v>82.684</v>
      </c>
      <c r="G230" s="335" t="s">
        <v>238</v>
      </c>
      <c r="H230" s="336">
        <f t="shared" si="1"/>
        <v>-0.002500378775</v>
      </c>
      <c r="I230" s="336"/>
      <c r="J230" s="336"/>
      <c r="K230" s="348"/>
      <c r="L230" s="312"/>
      <c r="M230" s="312"/>
      <c r="N230" s="340">
        <v>45720.0</v>
      </c>
      <c r="O230" s="341">
        <v>34.976</v>
      </c>
      <c r="P230" s="341">
        <v>34.976</v>
      </c>
      <c r="Q230" s="341">
        <v>34.976</v>
      </c>
      <c r="R230" s="341">
        <v>34.976</v>
      </c>
      <c r="S230" s="335" t="s">
        <v>238</v>
      </c>
      <c r="T230" s="336">
        <f t="shared" si="2"/>
        <v>0.01471779566</v>
      </c>
      <c r="U230" s="336"/>
      <c r="V230" s="336"/>
      <c r="W230" s="348"/>
      <c r="X230" s="312"/>
      <c r="Y230" s="312"/>
      <c r="Z230" s="363">
        <v>45720.0</v>
      </c>
      <c r="AA230" s="341">
        <v>1889.047</v>
      </c>
      <c r="AB230" s="341">
        <v>1889.047</v>
      </c>
      <c r="AC230" s="341">
        <v>1889.047</v>
      </c>
      <c r="AD230" s="341">
        <v>1889.047</v>
      </c>
      <c r="AE230" s="335" t="s">
        <v>238</v>
      </c>
      <c r="AF230" s="336">
        <f t="shared" si="3"/>
        <v>-0.001436200806</v>
      </c>
      <c r="AG230" s="336"/>
      <c r="AH230" s="336"/>
      <c r="AI230" s="348"/>
      <c r="AJ230" s="312"/>
      <c r="AK230" s="312"/>
      <c r="AL230" s="342">
        <v>45720.0</v>
      </c>
      <c r="AM230" s="343">
        <v>23.485</v>
      </c>
      <c r="AN230" s="343">
        <v>23.485</v>
      </c>
      <c r="AO230" s="343">
        <v>23.485</v>
      </c>
      <c r="AP230" s="343">
        <v>23.485</v>
      </c>
      <c r="AQ230" s="335" t="s">
        <v>238</v>
      </c>
      <c r="AR230" s="336">
        <f t="shared" si="4"/>
        <v>-0.0002128791919</v>
      </c>
      <c r="AS230" s="336"/>
      <c r="AT230" s="336"/>
      <c r="AU230" s="348"/>
      <c r="AV230" s="312"/>
      <c r="AW230" s="312"/>
      <c r="AX230" s="312"/>
      <c r="AY230" s="312"/>
      <c r="AZ230" s="312"/>
      <c r="BA230" s="312"/>
      <c r="BB230" s="312"/>
      <c r="BC230" s="312"/>
      <c r="BD230" s="316"/>
      <c r="BE230" s="316"/>
      <c r="BF230" s="316"/>
      <c r="BG230" s="316"/>
      <c r="BH230" s="316"/>
      <c r="BI230" s="316"/>
      <c r="BJ230" s="316"/>
      <c r="BK230" s="316"/>
      <c r="BL230" s="316"/>
      <c r="BM230" s="316"/>
      <c r="BN230" s="316"/>
      <c r="BO230" s="316"/>
      <c r="BP230" s="316"/>
      <c r="BQ230" s="316"/>
      <c r="BR230" s="316"/>
      <c r="BS230" s="316"/>
      <c r="BT230" s="316"/>
      <c r="BU230" s="316"/>
      <c r="BV230" s="316"/>
      <c r="BW230" s="316"/>
      <c r="BX230" s="316"/>
      <c r="BY230" s="316"/>
      <c r="BZ230" s="316"/>
      <c r="CA230" s="316"/>
      <c r="CB230" s="316"/>
      <c r="CC230" s="316"/>
      <c r="CD230" s="316"/>
    </row>
    <row r="231" ht="15.75" customHeight="1">
      <c r="A231" s="308"/>
      <c r="B231" s="362">
        <v>45721.0</v>
      </c>
      <c r="C231" s="335">
        <v>83.735</v>
      </c>
      <c r="D231" s="335">
        <v>83.735</v>
      </c>
      <c r="E231" s="335">
        <v>83.735</v>
      </c>
      <c r="F231" s="335">
        <v>83.735</v>
      </c>
      <c r="G231" s="335" t="s">
        <v>238</v>
      </c>
      <c r="H231" s="336">
        <f t="shared" si="1"/>
        <v>0.01263093725</v>
      </c>
      <c r="I231" s="336"/>
      <c r="J231" s="336"/>
      <c r="K231" s="348"/>
      <c r="L231" s="312"/>
      <c r="M231" s="312"/>
      <c r="N231" s="340">
        <v>45721.0</v>
      </c>
      <c r="O231" s="341">
        <v>34.904</v>
      </c>
      <c r="P231" s="341">
        <v>34.904</v>
      </c>
      <c r="Q231" s="341">
        <v>34.904</v>
      </c>
      <c r="R231" s="341">
        <v>34.904</v>
      </c>
      <c r="S231" s="335" t="s">
        <v>238</v>
      </c>
      <c r="T231" s="336">
        <f t="shared" si="2"/>
        <v>-0.002060676173</v>
      </c>
      <c r="U231" s="336"/>
      <c r="V231" s="336"/>
      <c r="W231" s="348"/>
      <c r="X231" s="312"/>
      <c r="Y231" s="312"/>
      <c r="Z231" s="363">
        <v>45721.0</v>
      </c>
      <c r="AA231" s="341">
        <v>1912.226</v>
      </c>
      <c r="AB231" s="341">
        <v>1912.226</v>
      </c>
      <c r="AC231" s="341">
        <v>1912.226</v>
      </c>
      <c r="AD231" s="341">
        <v>1912.226</v>
      </c>
      <c r="AE231" s="335" t="s">
        <v>238</v>
      </c>
      <c r="AF231" s="336">
        <f t="shared" si="3"/>
        <v>0.01219553938</v>
      </c>
      <c r="AG231" s="336"/>
      <c r="AH231" s="336"/>
      <c r="AI231" s="348"/>
      <c r="AJ231" s="312"/>
      <c r="AK231" s="312"/>
      <c r="AL231" s="342">
        <v>45721.0</v>
      </c>
      <c r="AM231" s="343">
        <v>23.49</v>
      </c>
      <c r="AN231" s="343">
        <v>23.49</v>
      </c>
      <c r="AO231" s="343">
        <v>23.49</v>
      </c>
      <c r="AP231" s="343">
        <v>23.49</v>
      </c>
      <c r="AQ231" s="335" t="s">
        <v>238</v>
      </c>
      <c r="AR231" s="336">
        <f t="shared" si="4"/>
        <v>0.0002128791919</v>
      </c>
      <c r="AS231" s="336"/>
      <c r="AT231" s="336"/>
      <c r="AU231" s="348"/>
      <c r="AV231" s="312"/>
      <c r="AW231" s="312"/>
      <c r="AX231" s="312"/>
      <c r="AY231" s="312"/>
      <c r="AZ231" s="312"/>
      <c r="BA231" s="312"/>
      <c r="BB231" s="312"/>
      <c r="BC231" s="312"/>
      <c r="BD231" s="316"/>
      <c r="BE231" s="316"/>
      <c r="BF231" s="316"/>
      <c r="BG231" s="316"/>
      <c r="BH231" s="316"/>
      <c r="BI231" s="316"/>
      <c r="BJ231" s="316"/>
      <c r="BK231" s="316"/>
      <c r="BL231" s="316"/>
      <c r="BM231" s="316"/>
      <c r="BN231" s="316"/>
      <c r="BO231" s="316"/>
      <c r="BP231" s="316"/>
      <c r="BQ231" s="316"/>
      <c r="BR231" s="316"/>
      <c r="BS231" s="316"/>
      <c r="BT231" s="316"/>
      <c r="BU231" s="316"/>
      <c r="BV231" s="316"/>
      <c r="BW231" s="316"/>
      <c r="BX231" s="316"/>
      <c r="BY231" s="316"/>
      <c r="BZ231" s="316"/>
      <c r="CA231" s="316"/>
      <c r="CB231" s="316"/>
      <c r="CC231" s="316"/>
      <c r="CD231" s="316"/>
    </row>
    <row r="232" ht="15.75" customHeight="1">
      <c r="A232" s="308"/>
      <c r="B232" s="362">
        <v>45722.0</v>
      </c>
      <c r="C232" s="335">
        <v>83.867</v>
      </c>
      <c r="D232" s="335">
        <v>83.867</v>
      </c>
      <c r="E232" s="335">
        <v>83.867</v>
      </c>
      <c r="F232" s="335">
        <v>83.867</v>
      </c>
      <c r="G232" s="335" t="s">
        <v>238</v>
      </c>
      <c r="H232" s="336">
        <f t="shared" si="1"/>
        <v>0.001575160527</v>
      </c>
      <c r="I232" s="336"/>
      <c r="J232" s="336"/>
      <c r="K232" s="348"/>
      <c r="L232" s="312"/>
      <c r="M232" s="312"/>
      <c r="N232" s="363">
        <v>45722.0</v>
      </c>
      <c r="O232" s="341">
        <v>34.72</v>
      </c>
      <c r="P232" s="341">
        <v>34.72</v>
      </c>
      <c r="Q232" s="341">
        <v>34.72</v>
      </c>
      <c r="R232" s="341">
        <v>34.72</v>
      </c>
      <c r="S232" s="335" t="s">
        <v>238</v>
      </c>
      <c r="T232" s="336">
        <f t="shared" si="2"/>
        <v>-0.005285546029</v>
      </c>
      <c r="U232" s="336"/>
      <c r="V232" s="336"/>
      <c r="W232" s="348"/>
      <c r="X232" s="312"/>
      <c r="Y232" s="312"/>
      <c r="Z232" s="363">
        <v>45722.0</v>
      </c>
      <c r="AA232" s="341">
        <v>1927.025</v>
      </c>
      <c r="AB232" s="341">
        <v>1927.025</v>
      </c>
      <c r="AC232" s="341">
        <v>1927.025</v>
      </c>
      <c r="AD232" s="341">
        <v>1927.025</v>
      </c>
      <c r="AE232" s="335" t="s">
        <v>238</v>
      </c>
      <c r="AF232" s="336">
        <f t="shared" si="3"/>
        <v>0.007709354401</v>
      </c>
      <c r="AG232" s="336"/>
      <c r="AH232" s="336"/>
      <c r="AI232" s="348"/>
      <c r="AJ232" s="312"/>
      <c r="AK232" s="312"/>
      <c r="AL232" s="342">
        <v>45722.0</v>
      </c>
      <c r="AM232" s="343">
        <v>23.509</v>
      </c>
      <c r="AN232" s="343">
        <v>23.509</v>
      </c>
      <c r="AO232" s="343">
        <v>23.509</v>
      </c>
      <c r="AP232" s="343">
        <v>23.509</v>
      </c>
      <c r="AQ232" s="335" t="s">
        <v>238</v>
      </c>
      <c r="AR232" s="336">
        <f t="shared" si="4"/>
        <v>0.0008085278851</v>
      </c>
      <c r="AS232" s="336"/>
      <c r="AT232" s="336"/>
      <c r="AU232" s="348"/>
      <c r="AV232" s="312"/>
      <c r="AW232" s="312"/>
      <c r="AX232" s="312"/>
      <c r="AY232" s="312"/>
      <c r="AZ232" s="312"/>
      <c r="BA232" s="312"/>
      <c r="BB232" s="312"/>
      <c r="BC232" s="312"/>
      <c r="BD232" s="316"/>
      <c r="BE232" s="316"/>
      <c r="BF232" s="316"/>
      <c r="BG232" s="316"/>
      <c r="BH232" s="316"/>
      <c r="BI232" s="316"/>
      <c r="BJ232" s="316"/>
      <c r="BK232" s="316"/>
      <c r="BL232" s="316"/>
      <c r="BM232" s="316"/>
      <c r="BN232" s="316"/>
      <c r="BO232" s="316"/>
      <c r="BP232" s="316"/>
      <c r="BQ232" s="316"/>
      <c r="BR232" s="316"/>
      <c r="BS232" s="316"/>
      <c r="BT232" s="316"/>
      <c r="BU232" s="316"/>
      <c r="BV232" s="316"/>
      <c r="BW232" s="316"/>
      <c r="BX232" s="316"/>
      <c r="BY232" s="316"/>
      <c r="BZ232" s="316"/>
      <c r="CA232" s="316"/>
      <c r="CB232" s="316"/>
      <c r="CC232" s="316"/>
      <c r="CD232" s="316"/>
    </row>
    <row r="233" ht="15.75" customHeight="1">
      <c r="A233" s="308"/>
      <c r="B233" s="362">
        <v>45726.0</v>
      </c>
      <c r="C233" s="335">
        <v>83.337</v>
      </c>
      <c r="D233" s="335">
        <v>83.337</v>
      </c>
      <c r="E233" s="335">
        <v>83.337</v>
      </c>
      <c r="F233" s="335">
        <v>83.337</v>
      </c>
      <c r="G233" s="335" t="s">
        <v>238</v>
      </c>
      <c r="H233" s="336">
        <f t="shared" si="1"/>
        <v>-0.006339582487</v>
      </c>
      <c r="I233" s="336"/>
      <c r="J233" s="336"/>
      <c r="K233" s="348"/>
      <c r="L233" s="312"/>
      <c r="M233" s="312"/>
      <c r="N233" s="363">
        <v>45726.0</v>
      </c>
      <c r="O233" s="341">
        <v>34.855</v>
      </c>
      <c r="P233" s="341">
        <v>34.855</v>
      </c>
      <c r="Q233" s="341">
        <v>34.855</v>
      </c>
      <c r="R233" s="341">
        <v>34.855</v>
      </c>
      <c r="S233" s="335" t="s">
        <v>238</v>
      </c>
      <c r="T233" s="336">
        <f t="shared" si="2"/>
        <v>0.003880709146</v>
      </c>
      <c r="U233" s="336"/>
      <c r="V233" s="336"/>
      <c r="W233" s="348"/>
      <c r="X233" s="312"/>
      <c r="Y233" s="312"/>
      <c r="Z233" s="340">
        <v>45726.0</v>
      </c>
      <c r="AA233" s="341">
        <v>1916.401</v>
      </c>
      <c r="AB233" s="341">
        <v>1916.401</v>
      </c>
      <c r="AC233" s="341">
        <v>1916.401</v>
      </c>
      <c r="AD233" s="341">
        <v>1916.401</v>
      </c>
      <c r="AE233" s="335" t="s">
        <v>238</v>
      </c>
      <c r="AF233" s="336">
        <f t="shared" si="3"/>
        <v>-0.005528415044</v>
      </c>
      <c r="AG233" s="336"/>
      <c r="AH233" s="336"/>
      <c r="AI233" s="348"/>
      <c r="AJ233" s="312"/>
      <c r="AK233" s="312"/>
      <c r="AL233" s="353">
        <v>45726.0</v>
      </c>
      <c r="AM233" s="343">
        <v>23.488</v>
      </c>
      <c r="AN233" s="343">
        <v>23.488</v>
      </c>
      <c r="AO233" s="343">
        <v>23.488</v>
      </c>
      <c r="AP233" s="343">
        <v>23.488</v>
      </c>
      <c r="AQ233" s="335" t="s">
        <v>238</v>
      </c>
      <c r="AR233" s="336">
        <f t="shared" si="4"/>
        <v>-0.0008936741238</v>
      </c>
      <c r="AS233" s="336"/>
      <c r="AT233" s="336"/>
      <c r="AU233" s="348"/>
      <c r="AV233" s="312"/>
      <c r="AW233" s="312"/>
      <c r="AX233" s="312"/>
      <c r="AY233" s="312"/>
      <c r="AZ233" s="312"/>
      <c r="BA233" s="312"/>
      <c r="BB233" s="312"/>
      <c r="BC233" s="312"/>
      <c r="BD233" s="316"/>
      <c r="BE233" s="316"/>
      <c r="BF233" s="316"/>
      <c r="BG233" s="316"/>
      <c r="BH233" s="316"/>
      <c r="BI233" s="316"/>
      <c r="BJ233" s="316"/>
      <c r="BK233" s="316"/>
      <c r="BL233" s="316"/>
      <c r="BM233" s="316"/>
      <c r="BN233" s="316"/>
      <c r="BO233" s="316"/>
      <c r="BP233" s="316"/>
      <c r="BQ233" s="316"/>
      <c r="BR233" s="316"/>
      <c r="BS233" s="316"/>
      <c r="BT233" s="316"/>
      <c r="BU233" s="316"/>
      <c r="BV233" s="316"/>
      <c r="BW233" s="316"/>
      <c r="BX233" s="316"/>
      <c r="BY233" s="316"/>
      <c r="BZ233" s="316"/>
      <c r="CA233" s="316"/>
      <c r="CB233" s="316"/>
      <c r="CC233" s="316"/>
      <c r="CD233" s="316"/>
    </row>
    <row r="234" ht="15.75" customHeight="1">
      <c r="A234" s="308"/>
      <c r="B234" s="334">
        <v>45727.0</v>
      </c>
      <c r="C234" s="335">
        <v>83.26</v>
      </c>
      <c r="D234" s="335">
        <v>83.26</v>
      </c>
      <c r="E234" s="335">
        <v>83.26</v>
      </c>
      <c r="F234" s="335">
        <v>83.26</v>
      </c>
      <c r="G234" s="335" t="s">
        <v>238</v>
      </c>
      <c r="H234" s="336">
        <f t="shared" si="1"/>
        <v>-0.0009243864593</v>
      </c>
      <c r="I234" s="336"/>
      <c r="J234" s="336"/>
      <c r="K234" s="348"/>
      <c r="L234" s="312"/>
      <c r="M234" s="312"/>
      <c r="N234" s="363">
        <v>45727.0</v>
      </c>
      <c r="O234" s="341">
        <v>34.812</v>
      </c>
      <c r="P234" s="341">
        <v>34.812</v>
      </c>
      <c r="Q234" s="341">
        <v>34.812</v>
      </c>
      <c r="R234" s="341">
        <v>34.812</v>
      </c>
      <c r="S234" s="335" t="s">
        <v>238</v>
      </c>
      <c r="T234" s="336">
        <f t="shared" si="2"/>
        <v>-0.001234444011</v>
      </c>
      <c r="U234" s="336"/>
      <c r="V234" s="336"/>
      <c r="W234" s="348"/>
      <c r="X234" s="312"/>
      <c r="Y234" s="312"/>
      <c r="Z234" s="340">
        <v>45727.0</v>
      </c>
      <c r="AA234" s="341">
        <v>1917.437</v>
      </c>
      <c r="AB234" s="341">
        <v>1917.437</v>
      </c>
      <c r="AC234" s="341">
        <v>1917.437</v>
      </c>
      <c r="AD234" s="341">
        <v>1917.437</v>
      </c>
      <c r="AE234" s="335" t="s">
        <v>238</v>
      </c>
      <c r="AF234" s="336">
        <f t="shared" si="3"/>
        <v>0.0005404506008</v>
      </c>
      <c r="AG234" s="336"/>
      <c r="AH234" s="336"/>
      <c r="AI234" s="348"/>
      <c r="AJ234" s="312"/>
      <c r="AK234" s="312"/>
      <c r="AL234" s="353">
        <v>45727.0</v>
      </c>
      <c r="AM234" s="343">
        <v>23.517</v>
      </c>
      <c r="AN234" s="343">
        <v>23.517</v>
      </c>
      <c r="AO234" s="343">
        <v>23.517</v>
      </c>
      <c r="AP234" s="343">
        <v>23.517</v>
      </c>
      <c r="AQ234" s="335" t="s">
        <v>238</v>
      </c>
      <c r="AR234" s="336">
        <f t="shared" si="4"/>
        <v>0.001233911443</v>
      </c>
      <c r="AS234" s="336"/>
      <c r="AT234" s="336"/>
      <c r="AU234" s="348"/>
      <c r="AV234" s="312"/>
      <c r="AW234" s="312"/>
      <c r="AX234" s="312"/>
      <c r="AY234" s="312"/>
      <c r="AZ234" s="312"/>
      <c r="BA234" s="312"/>
      <c r="BB234" s="312"/>
      <c r="BC234" s="312"/>
      <c r="BD234" s="316"/>
      <c r="BE234" s="316"/>
      <c r="BF234" s="316"/>
      <c r="BG234" s="316"/>
      <c r="BH234" s="316"/>
      <c r="BI234" s="316"/>
      <c r="BJ234" s="316"/>
      <c r="BK234" s="316"/>
      <c r="BL234" s="316"/>
      <c r="BM234" s="316"/>
      <c r="BN234" s="316"/>
      <c r="BO234" s="316"/>
      <c r="BP234" s="316"/>
      <c r="BQ234" s="316"/>
      <c r="BR234" s="316"/>
      <c r="BS234" s="316"/>
      <c r="BT234" s="316"/>
      <c r="BU234" s="316"/>
      <c r="BV234" s="316"/>
      <c r="BW234" s="316"/>
      <c r="BX234" s="316"/>
      <c r="BY234" s="316"/>
      <c r="BZ234" s="316"/>
      <c r="CA234" s="316"/>
      <c r="CB234" s="316"/>
      <c r="CC234" s="316"/>
      <c r="CD234" s="316"/>
    </row>
    <row r="235" ht="15.75" customHeight="1">
      <c r="A235" s="308"/>
      <c r="B235" s="334">
        <v>45728.0</v>
      </c>
      <c r="C235" s="335">
        <v>83.558</v>
      </c>
      <c r="D235" s="335">
        <v>83.558</v>
      </c>
      <c r="E235" s="335">
        <v>83.558</v>
      </c>
      <c r="F235" s="335">
        <v>83.558</v>
      </c>
      <c r="G235" s="335" t="s">
        <v>238</v>
      </c>
      <c r="H235" s="336">
        <f t="shared" si="1"/>
        <v>0.003572759738</v>
      </c>
      <c r="I235" s="336"/>
      <c r="J235" s="336"/>
      <c r="K235" s="348"/>
      <c r="L235" s="312"/>
      <c r="M235" s="312"/>
      <c r="N235" s="363">
        <v>45728.0</v>
      </c>
      <c r="O235" s="341">
        <v>34.927</v>
      </c>
      <c r="P235" s="341">
        <v>34.927</v>
      </c>
      <c r="Q235" s="341">
        <v>34.927</v>
      </c>
      <c r="R235" s="341">
        <v>34.927</v>
      </c>
      <c r="S235" s="335" t="s">
        <v>238</v>
      </c>
      <c r="T235" s="336">
        <f t="shared" si="2"/>
        <v>0.003298014145</v>
      </c>
      <c r="U235" s="336"/>
      <c r="V235" s="336"/>
      <c r="W235" s="348"/>
      <c r="X235" s="312"/>
      <c r="Y235" s="312"/>
      <c r="Z235" s="340">
        <v>45728.0</v>
      </c>
      <c r="AA235" s="341">
        <v>1915.526</v>
      </c>
      <c r="AB235" s="341">
        <v>1915.526</v>
      </c>
      <c r="AC235" s="341">
        <v>1915.526</v>
      </c>
      <c r="AD235" s="341">
        <v>1915.526</v>
      </c>
      <c r="AE235" s="335" t="s">
        <v>238</v>
      </c>
      <c r="AF235" s="336">
        <f t="shared" si="3"/>
        <v>-0.0009971398933</v>
      </c>
      <c r="AG235" s="336"/>
      <c r="AH235" s="336"/>
      <c r="AI235" s="348"/>
      <c r="AJ235" s="312"/>
      <c r="AK235" s="312"/>
      <c r="AL235" s="353">
        <v>45728.0</v>
      </c>
      <c r="AM235" s="343">
        <v>23.541</v>
      </c>
      <c r="AN235" s="343">
        <v>23.541</v>
      </c>
      <c r="AO235" s="343">
        <v>23.541</v>
      </c>
      <c r="AP235" s="343">
        <v>23.541</v>
      </c>
      <c r="AQ235" s="335" t="s">
        <v>238</v>
      </c>
      <c r="AR235" s="336">
        <f t="shared" si="4"/>
        <v>0.001020017939</v>
      </c>
      <c r="AS235" s="336"/>
      <c r="AT235" s="336"/>
      <c r="AU235" s="348"/>
      <c r="AV235" s="312"/>
      <c r="AW235" s="312"/>
      <c r="AX235" s="312"/>
      <c r="AY235" s="312"/>
      <c r="AZ235" s="312"/>
      <c r="BA235" s="312"/>
      <c r="BB235" s="312"/>
      <c r="BC235" s="312"/>
      <c r="BD235" s="316"/>
      <c r="BE235" s="316"/>
      <c r="BF235" s="316"/>
      <c r="BG235" s="316"/>
      <c r="BH235" s="316"/>
      <c r="BI235" s="316"/>
      <c r="BJ235" s="316"/>
      <c r="BK235" s="316"/>
      <c r="BL235" s="316"/>
      <c r="BM235" s="316"/>
      <c r="BN235" s="316"/>
      <c r="BO235" s="316"/>
      <c r="BP235" s="316"/>
      <c r="BQ235" s="316"/>
      <c r="BR235" s="316"/>
      <c r="BS235" s="316"/>
      <c r="BT235" s="316"/>
      <c r="BU235" s="316"/>
      <c r="BV235" s="316"/>
      <c r="BW235" s="316"/>
      <c r="BX235" s="316"/>
      <c r="BY235" s="316"/>
      <c r="BZ235" s="316"/>
      <c r="CA235" s="316"/>
      <c r="CB235" s="316"/>
      <c r="CC235" s="316"/>
      <c r="CD235" s="316"/>
    </row>
    <row r="236" ht="15.75" customHeight="1">
      <c r="A236" s="308"/>
      <c r="B236" s="334">
        <v>45729.0</v>
      </c>
      <c r="C236" s="335">
        <v>83.049</v>
      </c>
      <c r="D236" s="335">
        <v>83.049</v>
      </c>
      <c r="E236" s="335">
        <v>83.049</v>
      </c>
      <c r="F236" s="335">
        <v>83.049</v>
      </c>
      <c r="G236" s="335" t="s">
        <v>238</v>
      </c>
      <c r="H236" s="336">
        <f t="shared" si="1"/>
        <v>-0.006110206457</v>
      </c>
      <c r="I236" s="336"/>
      <c r="J236" s="336"/>
      <c r="K236" s="348"/>
      <c r="L236" s="312"/>
      <c r="M236" s="312"/>
      <c r="N236" s="363">
        <v>45729.0</v>
      </c>
      <c r="O236" s="341">
        <v>35.168</v>
      </c>
      <c r="P236" s="341">
        <v>35.168</v>
      </c>
      <c r="Q236" s="341">
        <v>35.168</v>
      </c>
      <c r="R236" s="341">
        <v>35.168</v>
      </c>
      <c r="S236" s="335" t="s">
        <v>238</v>
      </c>
      <c r="T236" s="336">
        <f t="shared" si="2"/>
        <v>0.006876409149</v>
      </c>
      <c r="U236" s="336"/>
      <c r="V236" s="336"/>
      <c r="W236" s="348"/>
      <c r="X236" s="312"/>
      <c r="Y236" s="312"/>
      <c r="Z236" s="340">
        <v>45729.0</v>
      </c>
      <c r="AA236" s="341">
        <v>1908.993</v>
      </c>
      <c r="AB236" s="341">
        <v>1908.993</v>
      </c>
      <c r="AC236" s="341">
        <v>1908.993</v>
      </c>
      <c r="AD236" s="341">
        <v>1908.993</v>
      </c>
      <c r="AE236" s="335" t="s">
        <v>238</v>
      </c>
      <c r="AF236" s="336">
        <f t="shared" si="3"/>
        <v>-0.00341638065</v>
      </c>
      <c r="AG236" s="336"/>
      <c r="AH236" s="336"/>
      <c r="AI236" s="348"/>
      <c r="AJ236" s="312"/>
      <c r="AK236" s="312"/>
      <c r="AL236" s="353">
        <v>45729.0</v>
      </c>
      <c r="AM236" s="343">
        <v>23.542</v>
      </c>
      <c r="AN236" s="343">
        <v>23.542</v>
      </c>
      <c r="AO236" s="343">
        <v>23.542</v>
      </c>
      <c r="AP236" s="343">
        <v>23.542</v>
      </c>
      <c r="AQ236" s="335" t="s">
        <v>238</v>
      </c>
      <c r="AR236" s="336">
        <f t="shared" si="4"/>
        <v>0.00004247817684</v>
      </c>
      <c r="AS236" s="336"/>
      <c r="AT236" s="336"/>
      <c r="AU236" s="348"/>
      <c r="AV236" s="312"/>
      <c r="AW236" s="312"/>
      <c r="AX236" s="312"/>
      <c r="AY236" s="312"/>
      <c r="AZ236" s="312"/>
      <c r="BA236" s="312"/>
      <c r="BB236" s="312"/>
      <c r="BC236" s="312"/>
      <c r="BD236" s="316"/>
      <c r="BE236" s="316"/>
      <c r="BF236" s="316"/>
      <c r="BG236" s="316"/>
      <c r="BH236" s="316"/>
      <c r="BI236" s="316"/>
      <c r="BJ236" s="316"/>
      <c r="BK236" s="316"/>
      <c r="BL236" s="316"/>
      <c r="BM236" s="316"/>
      <c r="BN236" s="316"/>
      <c r="BO236" s="316"/>
      <c r="BP236" s="316"/>
      <c r="BQ236" s="316"/>
      <c r="BR236" s="316"/>
      <c r="BS236" s="316"/>
      <c r="BT236" s="316"/>
      <c r="BU236" s="316"/>
      <c r="BV236" s="316"/>
      <c r="BW236" s="316"/>
      <c r="BX236" s="316"/>
      <c r="BY236" s="316"/>
      <c r="BZ236" s="316"/>
      <c r="CA236" s="316"/>
      <c r="CB236" s="316"/>
      <c r="CC236" s="316"/>
      <c r="CD236" s="316"/>
    </row>
    <row r="237" ht="15.75" customHeight="1">
      <c r="A237" s="308"/>
      <c r="B237" s="334">
        <v>45733.0</v>
      </c>
      <c r="C237" s="335">
        <v>83.779</v>
      </c>
      <c r="D237" s="335">
        <v>83.779</v>
      </c>
      <c r="E237" s="335">
        <v>83.779</v>
      </c>
      <c r="F237" s="335">
        <v>83.779</v>
      </c>
      <c r="G237" s="335" t="s">
        <v>238</v>
      </c>
      <c r="H237" s="336">
        <f t="shared" si="1"/>
        <v>0.008751584377</v>
      </c>
      <c r="I237" s="336"/>
      <c r="J237" s="336"/>
      <c r="K237" s="348"/>
      <c r="L237" s="312"/>
      <c r="M237" s="312"/>
      <c r="N237" s="363">
        <v>45733.0</v>
      </c>
      <c r="O237" s="341">
        <v>35.511</v>
      </c>
      <c r="P237" s="341">
        <v>35.511</v>
      </c>
      <c r="Q237" s="341">
        <v>35.511</v>
      </c>
      <c r="R237" s="341">
        <v>35.511</v>
      </c>
      <c r="S237" s="335" t="s">
        <v>238</v>
      </c>
      <c r="T237" s="336">
        <f t="shared" si="2"/>
        <v>0.009705929419</v>
      </c>
      <c r="U237" s="336"/>
      <c r="V237" s="336"/>
      <c r="W237" s="348"/>
      <c r="X237" s="312"/>
      <c r="Y237" s="312"/>
      <c r="Z237" s="363">
        <v>45733.0</v>
      </c>
      <c r="AA237" s="341">
        <v>1923.863</v>
      </c>
      <c r="AB237" s="341">
        <v>1923.863</v>
      </c>
      <c r="AC237" s="341">
        <v>1923.863</v>
      </c>
      <c r="AD237" s="341">
        <v>1923.863</v>
      </c>
      <c r="AE237" s="335" t="s">
        <v>238</v>
      </c>
      <c r="AF237" s="336">
        <f t="shared" si="3"/>
        <v>0.007759265991</v>
      </c>
      <c r="AG237" s="336"/>
      <c r="AH237" s="336"/>
      <c r="AI237" s="348"/>
      <c r="AJ237" s="312"/>
      <c r="AK237" s="312"/>
      <c r="AL237" s="353">
        <v>45733.0</v>
      </c>
      <c r="AM237" s="343">
        <v>23.57</v>
      </c>
      <c r="AN237" s="343">
        <v>23.57</v>
      </c>
      <c r="AO237" s="343">
        <v>23.57</v>
      </c>
      <c r="AP237" s="343">
        <v>23.57</v>
      </c>
      <c r="AQ237" s="335" t="s">
        <v>238</v>
      </c>
      <c r="AR237" s="336">
        <f t="shared" si="4"/>
        <v>0.001188656958</v>
      </c>
      <c r="AS237" s="336"/>
      <c r="AT237" s="336"/>
      <c r="AU237" s="348"/>
      <c r="AV237" s="312"/>
      <c r="AW237" s="312"/>
      <c r="AX237" s="312"/>
      <c r="AY237" s="312"/>
      <c r="AZ237" s="312"/>
      <c r="BA237" s="312"/>
      <c r="BB237" s="312"/>
      <c r="BC237" s="312"/>
      <c r="BD237" s="316"/>
      <c r="BE237" s="316"/>
      <c r="BF237" s="316"/>
      <c r="BG237" s="316"/>
      <c r="BH237" s="316"/>
      <c r="BI237" s="316"/>
      <c r="BJ237" s="316"/>
      <c r="BK237" s="316"/>
      <c r="BL237" s="316"/>
      <c r="BM237" s="316"/>
      <c r="BN237" s="316"/>
      <c r="BO237" s="316"/>
      <c r="BP237" s="316"/>
      <c r="BQ237" s="316"/>
      <c r="BR237" s="316"/>
      <c r="BS237" s="316"/>
      <c r="BT237" s="316"/>
      <c r="BU237" s="316"/>
      <c r="BV237" s="316"/>
      <c r="BW237" s="316"/>
      <c r="BX237" s="316"/>
      <c r="BY237" s="316"/>
      <c r="BZ237" s="316"/>
      <c r="CA237" s="316"/>
      <c r="CB237" s="316"/>
      <c r="CC237" s="316"/>
      <c r="CD237" s="316"/>
    </row>
    <row r="238" ht="15.75" customHeight="1">
      <c r="A238" s="308"/>
      <c r="B238" s="362">
        <v>45734.0</v>
      </c>
      <c r="C238" s="335">
        <v>84.296</v>
      </c>
      <c r="D238" s="335">
        <v>84.296</v>
      </c>
      <c r="E238" s="335">
        <v>84.296</v>
      </c>
      <c r="F238" s="335">
        <v>84.296</v>
      </c>
      <c r="G238" s="335" t="s">
        <v>238</v>
      </c>
      <c r="H238" s="336">
        <f t="shared" si="1"/>
        <v>0.006152034872</v>
      </c>
      <c r="I238" s="336"/>
      <c r="J238" s="336"/>
      <c r="K238" s="348"/>
      <c r="L238" s="312"/>
      <c r="M238" s="312"/>
      <c r="N238" s="363">
        <v>45734.0</v>
      </c>
      <c r="O238" s="341">
        <v>35.8</v>
      </c>
      <c r="P238" s="341">
        <v>35.8</v>
      </c>
      <c r="Q238" s="341">
        <v>35.8</v>
      </c>
      <c r="R238" s="341">
        <v>35.8</v>
      </c>
      <c r="S238" s="335" t="s">
        <v>238</v>
      </c>
      <c r="T238" s="336">
        <f t="shared" si="2"/>
        <v>0.008105385767</v>
      </c>
      <c r="U238" s="336"/>
      <c r="V238" s="336"/>
      <c r="W238" s="348"/>
      <c r="X238" s="312"/>
      <c r="Y238" s="312"/>
      <c r="Z238" s="363">
        <v>45734.0</v>
      </c>
      <c r="AA238" s="341">
        <v>1951.199</v>
      </c>
      <c r="AB238" s="341">
        <v>1951.199</v>
      </c>
      <c r="AC238" s="341">
        <v>1951.199</v>
      </c>
      <c r="AD238" s="341">
        <v>1951.199</v>
      </c>
      <c r="AE238" s="335" t="s">
        <v>238</v>
      </c>
      <c r="AF238" s="336">
        <f t="shared" si="3"/>
        <v>0.01410891153</v>
      </c>
      <c r="AG238" s="336"/>
      <c r="AH238" s="336"/>
      <c r="AI238" s="348"/>
      <c r="AJ238" s="312"/>
      <c r="AK238" s="312"/>
      <c r="AL238" s="353">
        <v>45734.0</v>
      </c>
      <c r="AM238" s="343">
        <v>23.571</v>
      </c>
      <c r="AN238" s="343">
        <v>23.571</v>
      </c>
      <c r="AO238" s="343">
        <v>23.571</v>
      </c>
      <c r="AP238" s="343">
        <v>23.571</v>
      </c>
      <c r="AQ238" s="335" t="s">
        <v>238</v>
      </c>
      <c r="AR238" s="336">
        <f t="shared" si="4"/>
        <v>0.00004242591375</v>
      </c>
      <c r="AS238" s="336"/>
      <c r="AT238" s="336"/>
      <c r="AU238" s="348"/>
      <c r="AV238" s="312"/>
      <c r="AW238" s="312"/>
      <c r="AX238" s="312"/>
      <c r="AY238" s="312"/>
      <c r="AZ238" s="312"/>
      <c r="BA238" s="312"/>
      <c r="BB238" s="312"/>
      <c r="BC238" s="312"/>
      <c r="BD238" s="316"/>
      <c r="BE238" s="316"/>
      <c r="BF238" s="316"/>
      <c r="BG238" s="316"/>
      <c r="BH238" s="316"/>
      <c r="BI238" s="316"/>
      <c r="BJ238" s="316"/>
      <c r="BK238" s="316"/>
      <c r="BL238" s="316"/>
      <c r="BM238" s="316"/>
      <c r="BN238" s="316"/>
      <c r="BO238" s="316"/>
      <c r="BP238" s="316"/>
      <c r="BQ238" s="316"/>
      <c r="BR238" s="316"/>
      <c r="BS238" s="316"/>
      <c r="BT238" s="316"/>
      <c r="BU238" s="316"/>
      <c r="BV238" s="316"/>
      <c r="BW238" s="316"/>
      <c r="BX238" s="316"/>
      <c r="BY238" s="316"/>
      <c r="BZ238" s="316"/>
      <c r="CA238" s="316"/>
      <c r="CB238" s="316"/>
      <c r="CC238" s="316"/>
      <c r="CD238" s="316"/>
    </row>
    <row r="239" ht="15.75" customHeight="1">
      <c r="A239" s="308"/>
      <c r="B239" s="362">
        <v>45735.0</v>
      </c>
      <c r="C239" s="335">
        <v>84.768</v>
      </c>
      <c r="D239" s="335">
        <v>84.768</v>
      </c>
      <c r="E239" s="335">
        <v>84.768</v>
      </c>
      <c r="F239" s="335">
        <v>84.768</v>
      </c>
      <c r="G239" s="335" t="s">
        <v>238</v>
      </c>
      <c r="H239" s="336">
        <f t="shared" si="1"/>
        <v>0.005583698792</v>
      </c>
      <c r="I239" s="336"/>
      <c r="J239" s="336"/>
      <c r="K239" s="348"/>
      <c r="L239" s="312"/>
      <c r="M239" s="312"/>
      <c r="N239" s="363">
        <v>45735.0</v>
      </c>
      <c r="O239" s="341">
        <v>35.858</v>
      </c>
      <c r="P239" s="341">
        <v>35.858</v>
      </c>
      <c r="Q239" s="341">
        <v>35.8</v>
      </c>
      <c r="R239" s="341">
        <v>35.858</v>
      </c>
      <c r="S239" s="335" t="s">
        <v>238</v>
      </c>
      <c r="T239" s="336">
        <f t="shared" si="2"/>
        <v>0.001618800767</v>
      </c>
      <c r="U239" s="336"/>
      <c r="V239" s="336"/>
      <c r="W239" s="348"/>
      <c r="X239" s="312"/>
      <c r="Y239" s="312"/>
      <c r="Z239" s="363">
        <v>45735.0</v>
      </c>
      <c r="AA239" s="341">
        <v>1963.584</v>
      </c>
      <c r="AB239" s="341">
        <v>1963.584</v>
      </c>
      <c r="AC239" s="341">
        <v>1963.584</v>
      </c>
      <c r="AD239" s="341">
        <v>1963.584</v>
      </c>
      <c r="AE239" s="335" t="s">
        <v>238</v>
      </c>
      <c r="AF239" s="336">
        <f t="shared" si="3"/>
        <v>0.006327319455</v>
      </c>
      <c r="AG239" s="336"/>
      <c r="AH239" s="336"/>
      <c r="AI239" s="348"/>
      <c r="AJ239" s="312"/>
      <c r="AK239" s="312"/>
      <c r="AL239" s="353">
        <v>45735.0</v>
      </c>
      <c r="AM239" s="343">
        <v>23.595</v>
      </c>
      <c r="AN239" s="343">
        <v>23.595</v>
      </c>
      <c r="AO239" s="343">
        <v>23.571</v>
      </c>
      <c r="AP239" s="343">
        <v>23.595</v>
      </c>
      <c r="AQ239" s="335" t="s">
        <v>238</v>
      </c>
      <c r="AR239" s="336">
        <f t="shared" si="4"/>
        <v>0.001017682317</v>
      </c>
      <c r="AS239" s="336"/>
      <c r="AT239" s="336"/>
      <c r="AU239" s="348"/>
      <c r="AV239" s="312"/>
      <c r="AW239" s="312"/>
      <c r="AX239" s="312"/>
      <c r="AY239" s="312"/>
      <c r="AZ239" s="312"/>
      <c r="BA239" s="312"/>
      <c r="BB239" s="312"/>
      <c r="BC239" s="312"/>
      <c r="BD239" s="316"/>
      <c r="BE239" s="316"/>
      <c r="BF239" s="316"/>
      <c r="BG239" s="316"/>
      <c r="BH239" s="316"/>
      <c r="BI239" s="316"/>
      <c r="BJ239" s="316"/>
      <c r="BK239" s="316"/>
      <c r="BL239" s="316"/>
      <c r="BM239" s="316"/>
      <c r="BN239" s="316"/>
      <c r="BO239" s="316"/>
      <c r="BP239" s="316"/>
      <c r="BQ239" s="316"/>
      <c r="BR239" s="316"/>
      <c r="BS239" s="316"/>
      <c r="BT239" s="316"/>
      <c r="BU239" s="316"/>
      <c r="BV239" s="316"/>
      <c r="BW239" s="316"/>
      <c r="BX239" s="316"/>
      <c r="BY239" s="316"/>
      <c r="BZ239" s="316"/>
      <c r="CA239" s="316"/>
      <c r="CB239" s="316"/>
      <c r="CC239" s="316"/>
      <c r="CD239" s="316"/>
    </row>
    <row r="240" ht="15.75" customHeight="1">
      <c r="A240" s="308"/>
      <c r="B240" s="362">
        <v>45736.0</v>
      </c>
      <c r="C240" s="335">
        <v>85.229</v>
      </c>
      <c r="D240" s="335">
        <v>85.229</v>
      </c>
      <c r="E240" s="335">
        <v>85.229</v>
      </c>
      <c r="F240" s="335">
        <v>85.229</v>
      </c>
      <c r="G240" s="335" t="s">
        <v>238</v>
      </c>
      <c r="H240" s="336">
        <f t="shared" si="1"/>
        <v>0.005423638418</v>
      </c>
      <c r="I240" s="336"/>
      <c r="J240" s="336"/>
      <c r="K240" s="348"/>
      <c r="L240" s="312"/>
      <c r="M240" s="312"/>
      <c r="N240" s="363">
        <v>45736.0</v>
      </c>
      <c r="O240" s="341">
        <v>35.974</v>
      </c>
      <c r="P240" s="341">
        <v>35.974</v>
      </c>
      <c r="Q240" s="341">
        <v>35.858</v>
      </c>
      <c r="R240" s="341">
        <v>35.974</v>
      </c>
      <c r="S240" s="335" t="s">
        <v>238</v>
      </c>
      <c r="T240" s="336">
        <f t="shared" si="2"/>
        <v>0.003229761133</v>
      </c>
      <c r="U240" s="336"/>
      <c r="V240" s="336"/>
      <c r="W240" s="348"/>
      <c r="X240" s="312"/>
      <c r="Y240" s="312"/>
      <c r="Z240" s="363">
        <v>45736.0</v>
      </c>
      <c r="AA240" s="341">
        <v>1981.638</v>
      </c>
      <c r="AB240" s="341">
        <v>1981.638</v>
      </c>
      <c r="AC240" s="341">
        <v>1981.638</v>
      </c>
      <c r="AD240" s="341">
        <v>1981.638</v>
      </c>
      <c r="AE240" s="335" t="s">
        <v>238</v>
      </c>
      <c r="AF240" s="336">
        <f t="shared" si="3"/>
        <v>0.009152400563</v>
      </c>
      <c r="AG240" s="336"/>
      <c r="AH240" s="336"/>
      <c r="AI240" s="348"/>
      <c r="AJ240" s="312"/>
      <c r="AK240" s="312"/>
      <c r="AL240" s="353">
        <v>45736.0</v>
      </c>
      <c r="AM240" s="343">
        <v>23.609</v>
      </c>
      <c r="AN240" s="343">
        <v>23.609</v>
      </c>
      <c r="AO240" s="343">
        <v>23.595</v>
      </c>
      <c r="AP240" s="343">
        <v>23.609</v>
      </c>
      <c r="AQ240" s="335" t="s">
        <v>238</v>
      </c>
      <c r="AR240" s="336">
        <f t="shared" si="4"/>
        <v>0.0005931700877</v>
      </c>
      <c r="AS240" s="336"/>
      <c r="AT240" s="336"/>
      <c r="AU240" s="348"/>
      <c r="AV240" s="312"/>
      <c r="AW240" s="312"/>
      <c r="AX240" s="312"/>
      <c r="AY240" s="312"/>
      <c r="AZ240" s="312"/>
      <c r="BA240" s="312"/>
      <c r="BB240" s="312"/>
      <c r="BC240" s="312"/>
      <c r="BD240" s="316"/>
      <c r="BE240" s="316"/>
      <c r="BF240" s="316"/>
      <c r="BG240" s="316"/>
      <c r="BH240" s="316"/>
      <c r="BI240" s="316"/>
      <c r="BJ240" s="316"/>
      <c r="BK240" s="316"/>
      <c r="BL240" s="316"/>
      <c r="BM240" s="316"/>
      <c r="BN240" s="316"/>
      <c r="BO240" s="316"/>
      <c r="BP240" s="316"/>
      <c r="BQ240" s="316"/>
      <c r="BR240" s="316"/>
      <c r="BS240" s="316"/>
      <c r="BT240" s="316"/>
      <c r="BU240" s="316"/>
      <c r="BV240" s="316"/>
      <c r="BW240" s="316"/>
      <c r="BX240" s="316"/>
      <c r="BY240" s="316"/>
      <c r="BZ240" s="316"/>
      <c r="CA240" s="316"/>
      <c r="CB240" s="316"/>
      <c r="CC240" s="316"/>
      <c r="CD240" s="316"/>
    </row>
    <row r="241" ht="15.75" customHeight="1">
      <c r="A241" s="308"/>
      <c r="B241" s="362">
        <v>45737.0</v>
      </c>
      <c r="C241" s="335">
        <v>85.848</v>
      </c>
      <c r="D241" s="335">
        <v>85.848</v>
      </c>
      <c r="E241" s="335">
        <v>85.848</v>
      </c>
      <c r="F241" s="335">
        <v>85.848</v>
      </c>
      <c r="G241" s="335" t="s">
        <v>238</v>
      </c>
      <c r="H241" s="336">
        <f t="shared" si="1"/>
        <v>0.007236539117</v>
      </c>
      <c r="I241" s="336"/>
      <c r="J241" s="336"/>
      <c r="K241" s="348"/>
      <c r="L241" s="312"/>
      <c r="M241" s="312"/>
      <c r="N241" s="363">
        <v>45737.0</v>
      </c>
      <c r="O241" s="341">
        <v>35.713</v>
      </c>
      <c r="P241" s="341">
        <v>35.974</v>
      </c>
      <c r="Q241" s="341">
        <v>35.713</v>
      </c>
      <c r="R241" s="341">
        <v>35.713</v>
      </c>
      <c r="S241" s="335" t="s">
        <v>238</v>
      </c>
      <c r="T241" s="336">
        <f t="shared" si="2"/>
        <v>-0.007281687147</v>
      </c>
      <c r="U241" s="336"/>
      <c r="V241" s="336"/>
      <c r="W241" s="348"/>
      <c r="X241" s="312"/>
      <c r="Y241" s="312"/>
      <c r="Z241" s="363">
        <v>45737.0</v>
      </c>
      <c r="AA241" s="341">
        <v>2000.4</v>
      </c>
      <c r="AB241" s="341">
        <v>2000.4</v>
      </c>
      <c r="AC241" s="341">
        <v>2000.4</v>
      </c>
      <c r="AD241" s="341">
        <v>2000.4</v>
      </c>
      <c r="AE241" s="335" t="s">
        <v>238</v>
      </c>
      <c r="AF241" s="336">
        <f t="shared" si="3"/>
        <v>0.00942338513</v>
      </c>
      <c r="AG241" s="336"/>
      <c r="AH241" s="336"/>
      <c r="AI241" s="348"/>
      <c r="AJ241" s="312"/>
      <c r="AK241" s="312"/>
      <c r="AL241" s="353">
        <v>45737.0</v>
      </c>
      <c r="AM241" s="343">
        <v>23.595</v>
      </c>
      <c r="AN241" s="343">
        <v>23.609</v>
      </c>
      <c r="AO241" s="343">
        <v>23.595</v>
      </c>
      <c r="AP241" s="343">
        <v>23.595</v>
      </c>
      <c r="AQ241" s="335" t="s">
        <v>238</v>
      </c>
      <c r="AR241" s="336">
        <f t="shared" si="4"/>
        <v>-0.0005931700877</v>
      </c>
      <c r="AS241" s="336"/>
      <c r="AT241" s="336"/>
      <c r="AU241" s="348"/>
      <c r="AV241" s="312"/>
      <c r="AW241" s="312"/>
      <c r="AX241" s="312"/>
      <c r="AY241" s="312"/>
      <c r="AZ241" s="312"/>
      <c r="BA241" s="312"/>
      <c r="BB241" s="312"/>
      <c r="BC241" s="312"/>
      <c r="BD241" s="316"/>
      <c r="BE241" s="316"/>
      <c r="BF241" s="316"/>
      <c r="BG241" s="316"/>
      <c r="BH241" s="316"/>
      <c r="BI241" s="316"/>
      <c r="BJ241" s="316"/>
      <c r="BK241" s="316"/>
      <c r="BL241" s="316"/>
      <c r="BM241" s="316"/>
      <c r="BN241" s="316"/>
      <c r="BO241" s="316"/>
      <c r="BP241" s="316"/>
      <c r="BQ241" s="316"/>
      <c r="BR241" s="316"/>
      <c r="BS241" s="316"/>
      <c r="BT241" s="316"/>
      <c r="BU241" s="316"/>
      <c r="BV241" s="316"/>
      <c r="BW241" s="316"/>
      <c r="BX241" s="316"/>
      <c r="BY241" s="316"/>
      <c r="BZ241" s="316"/>
      <c r="CA241" s="316"/>
      <c r="CB241" s="316"/>
      <c r="CC241" s="316"/>
      <c r="CD241" s="316"/>
    </row>
    <row r="242" ht="15.75" customHeight="1">
      <c r="A242" s="308"/>
      <c r="B242" s="362">
        <v>45740.0</v>
      </c>
      <c r="C242" s="335">
        <v>86.93</v>
      </c>
      <c r="D242" s="335">
        <v>86.93</v>
      </c>
      <c r="E242" s="335">
        <v>86.93</v>
      </c>
      <c r="F242" s="335">
        <v>86.93</v>
      </c>
      <c r="G242" s="335" t="s">
        <v>238</v>
      </c>
      <c r="H242" s="336">
        <f t="shared" si="1"/>
        <v>0.01252490647</v>
      </c>
      <c r="I242" s="336"/>
      <c r="J242" s="336"/>
      <c r="K242" s="348"/>
      <c r="L242" s="312"/>
      <c r="M242" s="312"/>
      <c r="N242" s="363">
        <v>45740.0</v>
      </c>
      <c r="O242" s="341">
        <v>35.254</v>
      </c>
      <c r="P242" s="341">
        <v>35.713</v>
      </c>
      <c r="Q242" s="341">
        <v>35.254</v>
      </c>
      <c r="R242" s="341">
        <v>35.254</v>
      </c>
      <c r="S242" s="335" t="s">
        <v>238</v>
      </c>
      <c r="T242" s="336">
        <f t="shared" si="2"/>
        <v>-0.01293577016</v>
      </c>
      <c r="U242" s="336"/>
      <c r="V242" s="336"/>
      <c r="W242" s="348"/>
      <c r="X242" s="312"/>
      <c r="Y242" s="312"/>
      <c r="Z242" s="363">
        <v>45740.0</v>
      </c>
      <c r="AA242" s="341">
        <v>2026.149</v>
      </c>
      <c r="AB242" s="341">
        <v>2026.149</v>
      </c>
      <c r="AC242" s="341">
        <v>2026.149</v>
      </c>
      <c r="AD242" s="341">
        <v>2026.149</v>
      </c>
      <c r="AE242" s="335" t="s">
        <v>238</v>
      </c>
      <c r="AF242" s="336">
        <f t="shared" si="3"/>
        <v>0.01278978649</v>
      </c>
      <c r="AG242" s="336"/>
      <c r="AH242" s="336"/>
      <c r="AI242" s="348"/>
      <c r="AJ242" s="312"/>
      <c r="AK242" s="312"/>
      <c r="AL242" s="353">
        <v>45740.0</v>
      </c>
      <c r="AM242" s="343">
        <v>23.625</v>
      </c>
      <c r="AN242" s="343">
        <v>23.625</v>
      </c>
      <c r="AO242" s="343">
        <v>23.595</v>
      </c>
      <c r="AP242" s="343">
        <v>23.625</v>
      </c>
      <c r="AQ242" s="335" t="s">
        <v>238</v>
      </c>
      <c r="AR242" s="336">
        <f t="shared" si="4"/>
        <v>0.001270648201</v>
      </c>
      <c r="AS242" s="336"/>
      <c r="AT242" s="336"/>
      <c r="AU242" s="348"/>
      <c r="AV242" s="312"/>
      <c r="AW242" s="312"/>
      <c r="AX242" s="312"/>
      <c r="AY242" s="312"/>
      <c r="AZ242" s="312"/>
      <c r="BA242" s="312"/>
      <c r="BB242" s="312"/>
      <c r="BC242" s="312"/>
      <c r="BD242" s="316"/>
      <c r="BE242" s="316"/>
      <c r="BF242" s="316"/>
      <c r="BG242" s="316"/>
      <c r="BH242" s="316"/>
      <c r="BI242" s="316"/>
      <c r="BJ242" s="316"/>
      <c r="BK242" s="316"/>
      <c r="BL242" s="316"/>
      <c r="BM242" s="316"/>
      <c r="BN242" s="316"/>
      <c r="BO242" s="316"/>
      <c r="BP242" s="316"/>
      <c r="BQ242" s="316"/>
      <c r="BR242" s="316"/>
      <c r="BS242" s="316"/>
      <c r="BT242" s="316"/>
      <c r="BU242" s="316"/>
      <c r="BV242" s="316"/>
      <c r="BW242" s="316"/>
      <c r="BX242" s="316"/>
      <c r="BY242" s="316"/>
      <c r="BZ242" s="316"/>
      <c r="CA242" s="316"/>
      <c r="CB242" s="316"/>
      <c r="CC242" s="316"/>
      <c r="CD242" s="316"/>
    </row>
    <row r="243" ht="15.75" customHeight="1">
      <c r="A243" s="308"/>
      <c r="B243" s="362">
        <v>45741.0</v>
      </c>
      <c r="C243" s="335">
        <v>86.938</v>
      </c>
      <c r="D243" s="335">
        <v>86.938</v>
      </c>
      <c r="E243" s="335">
        <v>86.938</v>
      </c>
      <c r="F243" s="335">
        <v>86.938</v>
      </c>
      <c r="G243" s="335" t="s">
        <v>238</v>
      </c>
      <c r="H243" s="336">
        <f t="shared" si="1"/>
        <v>0.00009202383424</v>
      </c>
      <c r="I243" s="336"/>
      <c r="J243" s="336"/>
      <c r="K243" s="348"/>
      <c r="L243" s="312"/>
      <c r="M243" s="312"/>
      <c r="N243" s="363">
        <v>45741.0</v>
      </c>
      <c r="O243" s="341">
        <v>35.365</v>
      </c>
      <c r="P243" s="341">
        <v>35.365</v>
      </c>
      <c r="Q243" s="341">
        <v>35.254</v>
      </c>
      <c r="R243" s="341">
        <v>35.365</v>
      </c>
      <c r="S243" s="335" t="s">
        <v>238</v>
      </c>
      <c r="T243" s="336">
        <f t="shared" si="2"/>
        <v>0.00314363249</v>
      </c>
      <c r="U243" s="336"/>
      <c r="V243" s="336"/>
      <c r="W243" s="348"/>
      <c r="X243" s="312"/>
      <c r="Y243" s="312"/>
      <c r="Z243" s="363">
        <v>45741.0</v>
      </c>
      <c r="AA243" s="341">
        <v>2026.351</v>
      </c>
      <c r="AB243" s="341">
        <v>2026.351</v>
      </c>
      <c r="AC243" s="341">
        <v>2026.149</v>
      </c>
      <c r="AD243" s="341">
        <v>2026.351</v>
      </c>
      <c r="AE243" s="335" t="s">
        <v>238</v>
      </c>
      <c r="AF243" s="336">
        <f t="shared" si="3"/>
        <v>0.00009969154851</v>
      </c>
      <c r="AG243" s="336"/>
      <c r="AH243" s="336"/>
      <c r="AI243" s="348"/>
      <c r="AJ243" s="312"/>
      <c r="AK243" s="312"/>
      <c r="AL243" s="353">
        <v>45741.0</v>
      </c>
      <c r="AM243" s="343">
        <v>23.623</v>
      </c>
      <c r="AN243" s="343">
        <v>23.625</v>
      </c>
      <c r="AO243" s="343">
        <v>23.623</v>
      </c>
      <c r="AP243" s="343">
        <v>23.623</v>
      </c>
      <c r="AQ243" s="335" t="s">
        <v>238</v>
      </c>
      <c r="AR243" s="336">
        <f t="shared" si="4"/>
        <v>-0.00008465966818</v>
      </c>
      <c r="AS243" s="336"/>
      <c r="AT243" s="336"/>
      <c r="AU243" s="348"/>
      <c r="AV243" s="312"/>
      <c r="AW243" s="312"/>
      <c r="AX243" s="312"/>
      <c r="AY243" s="312"/>
      <c r="AZ243" s="312"/>
      <c r="BA243" s="312"/>
      <c r="BB243" s="312"/>
      <c r="BC243" s="312"/>
      <c r="BD243" s="316"/>
      <c r="BE243" s="316"/>
      <c r="BF243" s="316"/>
      <c r="BG243" s="316"/>
      <c r="BH243" s="316"/>
      <c r="BI243" s="316"/>
      <c r="BJ243" s="316"/>
      <c r="BK243" s="316"/>
      <c r="BL243" s="316"/>
      <c r="BM243" s="316"/>
      <c r="BN243" s="316"/>
      <c r="BO243" s="316"/>
      <c r="BP243" s="316"/>
      <c r="BQ243" s="316"/>
      <c r="BR243" s="316"/>
      <c r="BS243" s="316"/>
      <c r="BT243" s="316"/>
      <c r="BU243" s="316"/>
      <c r="BV243" s="316"/>
      <c r="BW243" s="316"/>
      <c r="BX243" s="316"/>
      <c r="BY243" s="316"/>
      <c r="BZ243" s="316"/>
      <c r="CA243" s="316"/>
      <c r="CB243" s="316"/>
      <c r="CC243" s="316"/>
      <c r="CD243" s="316"/>
    </row>
    <row r="244" ht="15.75" customHeight="1">
      <c r="A244" s="308"/>
      <c r="B244" s="362">
        <v>45742.0</v>
      </c>
      <c r="C244" s="335">
        <v>86.386</v>
      </c>
      <c r="D244" s="335">
        <v>86.386</v>
      </c>
      <c r="E244" s="335">
        <v>86.386</v>
      </c>
      <c r="F244" s="335">
        <v>86.386</v>
      </c>
      <c r="G244" s="335" t="s">
        <v>238</v>
      </c>
      <c r="H244" s="336">
        <f t="shared" si="1"/>
        <v>-0.006369595282</v>
      </c>
      <c r="I244" s="336"/>
      <c r="J244" s="336"/>
      <c r="K244" s="348"/>
      <c r="L244" s="312"/>
      <c r="M244" s="312"/>
      <c r="N244" s="363">
        <v>45742.0</v>
      </c>
      <c r="O244" s="341">
        <v>35.375</v>
      </c>
      <c r="P244" s="341">
        <v>35.375</v>
      </c>
      <c r="Q244" s="341">
        <v>35.365</v>
      </c>
      <c r="R244" s="341">
        <v>35.375</v>
      </c>
      <c r="S244" s="335" t="s">
        <v>238</v>
      </c>
      <c r="T244" s="336">
        <f t="shared" si="2"/>
        <v>0.0002827254754</v>
      </c>
      <c r="U244" s="336"/>
      <c r="V244" s="336"/>
      <c r="W244" s="348"/>
      <c r="X244" s="312"/>
      <c r="Y244" s="312"/>
      <c r="Z244" s="363">
        <v>45742.0</v>
      </c>
      <c r="AA244" s="341">
        <v>2010.356</v>
      </c>
      <c r="AB244" s="341">
        <v>2026.351</v>
      </c>
      <c r="AC244" s="341">
        <v>2010.356</v>
      </c>
      <c r="AD244" s="341">
        <v>2010.356</v>
      </c>
      <c r="AE244" s="335" t="s">
        <v>238</v>
      </c>
      <c r="AF244" s="336">
        <f t="shared" si="3"/>
        <v>-0.007924817784</v>
      </c>
      <c r="AG244" s="336"/>
      <c r="AH244" s="336"/>
      <c r="AI244" s="348"/>
      <c r="AJ244" s="312"/>
      <c r="AK244" s="312"/>
      <c r="AL244" s="353">
        <v>45742.0</v>
      </c>
      <c r="AM244" s="343">
        <v>23.649</v>
      </c>
      <c r="AN244" s="343">
        <v>23.649</v>
      </c>
      <c r="AO244" s="343">
        <v>23.623</v>
      </c>
      <c r="AP244" s="343">
        <v>23.649</v>
      </c>
      <c r="AQ244" s="335" t="s">
        <v>238</v>
      </c>
      <c r="AR244" s="336">
        <f t="shared" si="4"/>
        <v>0.001100017034</v>
      </c>
      <c r="AS244" s="336"/>
      <c r="AT244" s="336"/>
      <c r="AU244" s="348"/>
      <c r="AV244" s="312"/>
      <c r="AW244" s="312"/>
      <c r="AX244" s="312"/>
      <c r="AY244" s="312"/>
      <c r="AZ244" s="312"/>
      <c r="BA244" s="312"/>
      <c r="BB244" s="312"/>
      <c r="BC244" s="312"/>
      <c r="BD244" s="316"/>
      <c r="BE244" s="316"/>
      <c r="BF244" s="316"/>
      <c r="BG244" s="316"/>
      <c r="BH244" s="316"/>
      <c r="BI244" s="316"/>
      <c r="BJ244" s="316"/>
      <c r="BK244" s="316"/>
      <c r="BL244" s="316"/>
      <c r="BM244" s="316"/>
      <c r="BN244" s="316"/>
      <c r="BO244" s="316"/>
      <c r="BP244" s="316"/>
      <c r="BQ244" s="316"/>
      <c r="BR244" s="316"/>
      <c r="BS244" s="316"/>
      <c r="BT244" s="316"/>
      <c r="BU244" s="316"/>
      <c r="BV244" s="316"/>
      <c r="BW244" s="316"/>
      <c r="BX244" s="316"/>
      <c r="BY244" s="316"/>
      <c r="BZ244" s="316"/>
      <c r="CA244" s="316"/>
      <c r="CB244" s="316"/>
      <c r="CC244" s="316"/>
      <c r="CD244" s="316"/>
    </row>
    <row r="245" ht="15.75" customHeight="1">
      <c r="A245" s="308"/>
      <c r="B245" s="362">
        <v>45743.0</v>
      </c>
      <c r="C245" s="335">
        <v>86.447</v>
      </c>
      <c r="D245" s="335">
        <v>86.447</v>
      </c>
      <c r="E245" s="335">
        <v>86.447</v>
      </c>
      <c r="F245" s="335">
        <v>86.447</v>
      </c>
      <c r="G245" s="335" t="s">
        <v>238</v>
      </c>
      <c r="H245" s="336">
        <f t="shared" si="1"/>
        <v>0.0007058837436</v>
      </c>
      <c r="I245" s="336"/>
      <c r="J245" s="336"/>
      <c r="K245" s="348"/>
      <c r="L245" s="312"/>
      <c r="M245" s="312"/>
      <c r="N245" s="363">
        <v>45743.0</v>
      </c>
      <c r="O245" s="341">
        <v>35.64</v>
      </c>
      <c r="P245" s="341">
        <v>35.64</v>
      </c>
      <c r="Q245" s="341">
        <v>35.375</v>
      </c>
      <c r="R245" s="341">
        <v>35.64</v>
      </c>
      <c r="S245" s="335" t="s">
        <v>238</v>
      </c>
      <c r="T245" s="336">
        <f t="shared" si="2"/>
        <v>0.007463246639</v>
      </c>
      <c r="U245" s="336"/>
      <c r="V245" s="336"/>
      <c r="W245" s="348"/>
      <c r="X245" s="312"/>
      <c r="Y245" s="312"/>
      <c r="Z245" s="363">
        <v>45743.0</v>
      </c>
      <c r="AA245" s="341">
        <v>2017.735</v>
      </c>
      <c r="AB245" s="341">
        <v>2017.735</v>
      </c>
      <c r="AC245" s="341">
        <v>2017.735</v>
      </c>
      <c r="AD245" s="341">
        <v>2017.735</v>
      </c>
      <c r="AE245" s="335" t="s">
        <v>238</v>
      </c>
      <c r="AF245" s="336">
        <f t="shared" si="3"/>
        <v>0.003663774356</v>
      </c>
      <c r="AG245" s="336"/>
      <c r="AH245" s="336"/>
      <c r="AI245" s="348"/>
      <c r="AJ245" s="312"/>
      <c r="AK245" s="312"/>
      <c r="AL245" s="353">
        <v>45743.0</v>
      </c>
      <c r="AM245" s="343">
        <v>23.702</v>
      </c>
      <c r="AN245" s="343">
        <v>23.702</v>
      </c>
      <c r="AO245" s="343">
        <v>23.649</v>
      </c>
      <c r="AP245" s="343">
        <v>23.702</v>
      </c>
      <c r="AQ245" s="335" t="s">
        <v>238</v>
      </c>
      <c r="AR245" s="336">
        <f t="shared" si="4"/>
        <v>0.00223860202</v>
      </c>
      <c r="AS245" s="336"/>
      <c r="AT245" s="336"/>
      <c r="AU245" s="348"/>
      <c r="AV245" s="312"/>
      <c r="AW245" s="312"/>
      <c r="AX245" s="312"/>
      <c r="AY245" s="312"/>
      <c r="AZ245" s="312"/>
      <c r="BA245" s="312"/>
      <c r="BB245" s="312"/>
      <c r="BC245" s="312"/>
      <c r="BD245" s="316"/>
      <c r="BE245" s="316"/>
      <c r="BF245" s="316"/>
      <c r="BG245" s="316"/>
      <c r="BH245" s="316"/>
      <c r="BI245" s="316"/>
      <c r="BJ245" s="316"/>
      <c r="BK245" s="316"/>
      <c r="BL245" s="316"/>
      <c r="BM245" s="316"/>
      <c r="BN245" s="316"/>
      <c r="BO245" s="316"/>
      <c r="BP245" s="316"/>
      <c r="BQ245" s="316"/>
      <c r="BR245" s="316"/>
      <c r="BS245" s="316"/>
      <c r="BT245" s="316"/>
      <c r="BU245" s="316"/>
      <c r="BV245" s="316"/>
      <c r="BW245" s="316"/>
      <c r="BX245" s="316"/>
      <c r="BY245" s="316"/>
      <c r="BZ245" s="316"/>
      <c r="CA245" s="316"/>
      <c r="CB245" s="316"/>
      <c r="CC245" s="316"/>
      <c r="CD245" s="316"/>
    </row>
    <row r="246" ht="15.75" customHeight="1">
      <c r="A246" s="308"/>
      <c r="B246" s="362">
        <v>45744.0</v>
      </c>
      <c r="C246" s="335">
        <v>85.837</v>
      </c>
      <c r="D246" s="335">
        <v>85.837</v>
      </c>
      <c r="E246" s="335">
        <v>85.837</v>
      </c>
      <c r="F246" s="335">
        <v>85.837</v>
      </c>
      <c r="G246" s="335" t="s">
        <v>238</v>
      </c>
      <c r="H246" s="336">
        <f t="shared" si="1"/>
        <v>-0.007081360417</v>
      </c>
      <c r="I246" s="336"/>
      <c r="J246" s="336"/>
      <c r="K246" s="348"/>
      <c r="L246" s="312"/>
      <c r="M246" s="312"/>
      <c r="N246" s="340">
        <v>45744.0</v>
      </c>
      <c r="O246" s="341">
        <v>35.813</v>
      </c>
      <c r="P246" s="341">
        <v>35.813</v>
      </c>
      <c r="Q246" s="341">
        <v>35.64</v>
      </c>
      <c r="R246" s="341">
        <v>35.813</v>
      </c>
      <c r="S246" s="335" t="s">
        <v>238</v>
      </c>
      <c r="T246" s="336">
        <f t="shared" si="2"/>
        <v>0.00484235338</v>
      </c>
      <c r="U246" s="336"/>
      <c r="V246" s="336"/>
      <c r="W246" s="348"/>
      <c r="X246" s="312"/>
      <c r="Y246" s="312"/>
      <c r="Z246" s="363">
        <v>45744.0</v>
      </c>
      <c r="AA246" s="341">
        <v>2014.477</v>
      </c>
      <c r="AB246" s="341">
        <v>2017.735</v>
      </c>
      <c r="AC246" s="341">
        <v>2014.477</v>
      </c>
      <c r="AD246" s="341">
        <v>2014.477</v>
      </c>
      <c r="AE246" s="335" t="s">
        <v>238</v>
      </c>
      <c r="AF246" s="336">
        <f t="shared" si="3"/>
        <v>-0.001615986813</v>
      </c>
      <c r="AG246" s="336"/>
      <c r="AH246" s="336"/>
      <c r="AI246" s="348"/>
      <c r="AJ246" s="312"/>
      <c r="AK246" s="312"/>
      <c r="AL246" s="353">
        <v>45744.0</v>
      </c>
      <c r="AM246" s="343">
        <v>23.739</v>
      </c>
      <c r="AN246" s="343">
        <v>23.739</v>
      </c>
      <c r="AO246" s="343">
        <v>23.702</v>
      </c>
      <c r="AP246" s="343">
        <v>23.739</v>
      </c>
      <c r="AQ246" s="335" t="s">
        <v>238</v>
      </c>
      <c r="AR246" s="336">
        <f t="shared" si="4"/>
        <v>0.001559832529</v>
      </c>
      <c r="AS246" s="336"/>
      <c r="AT246" s="336"/>
      <c r="AU246" s="348"/>
      <c r="AV246" s="312"/>
      <c r="AW246" s="312"/>
      <c r="AX246" s="312"/>
      <c r="AY246" s="312"/>
      <c r="AZ246" s="312"/>
      <c r="BA246" s="312"/>
      <c r="BB246" s="312"/>
      <c r="BC246" s="312"/>
      <c r="BD246" s="316"/>
      <c r="BE246" s="316"/>
      <c r="BF246" s="316"/>
      <c r="BG246" s="316"/>
      <c r="BH246" s="316"/>
      <c r="BI246" s="316"/>
      <c r="BJ246" s="316"/>
      <c r="BK246" s="316"/>
      <c r="BL246" s="316"/>
      <c r="BM246" s="316"/>
      <c r="BN246" s="316"/>
      <c r="BO246" s="316"/>
      <c r="BP246" s="316"/>
      <c r="BQ246" s="316"/>
      <c r="BR246" s="316"/>
      <c r="BS246" s="316"/>
      <c r="BT246" s="316"/>
      <c r="BU246" s="316"/>
      <c r="BV246" s="316"/>
      <c r="BW246" s="316"/>
      <c r="BX246" s="316"/>
      <c r="BY246" s="316"/>
      <c r="BZ246" s="316"/>
      <c r="CA246" s="316"/>
      <c r="CB246" s="316"/>
      <c r="CC246" s="316"/>
      <c r="CD246" s="316"/>
    </row>
    <row r="247" ht="15.75" customHeight="1">
      <c r="A247" s="308"/>
      <c r="B247" s="362">
        <v>45749.0</v>
      </c>
      <c r="C247" s="335">
        <v>85.116</v>
      </c>
      <c r="D247" s="335">
        <v>85.116</v>
      </c>
      <c r="E247" s="335">
        <v>85.116</v>
      </c>
      <c r="F247" s="335">
        <v>85.116</v>
      </c>
      <c r="G247" s="335" t="s">
        <v>238</v>
      </c>
      <c r="H247" s="336">
        <f t="shared" si="1"/>
        <v>-0.008435116962</v>
      </c>
      <c r="I247" s="336"/>
      <c r="J247" s="336"/>
      <c r="K247" s="348"/>
      <c r="L247" s="312"/>
      <c r="M247" s="312"/>
      <c r="N247" s="340">
        <v>45749.0</v>
      </c>
      <c r="O247" s="341">
        <v>36.812</v>
      </c>
      <c r="P247" s="341">
        <v>37.049</v>
      </c>
      <c r="Q247" s="341">
        <v>36.812</v>
      </c>
      <c r="R247" s="341">
        <v>36.812</v>
      </c>
      <c r="S247" s="335" t="s">
        <v>238</v>
      </c>
      <c r="T247" s="336">
        <f t="shared" si="2"/>
        <v>0.02751292299</v>
      </c>
      <c r="U247" s="336"/>
      <c r="V247" s="336"/>
      <c r="W247" s="348"/>
      <c r="X247" s="312"/>
      <c r="Y247" s="312"/>
      <c r="Z247" s="363">
        <v>45749.0</v>
      </c>
      <c r="AA247" s="341">
        <v>2007.962</v>
      </c>
      <c r="AB247" s="341">
        <v>2007.962</v>
      </c>
      <c r="AC247" s="341">
        <v>1994.087</v>
      </c>
      <c r="AD247" s="341">
        <v>2007.962</v>
      </c>
      <c r="AE247" s="335" t="s">
        <v>238</v>
      </c>
      <c r="AF247" s="336">
        <f t="shared" si="3"/>
        <v>-0.003239331011</v>
      </c>
      <c r="AG247" s="336"/>
      <c r="AH247" s="336"/>
      <c r="AI247" s="348"/>
      <c r="AJ247" s="312"/>
      <c r="AK247" s="312"/>
      <c r="AL247" s="342">
        <v>45749.0</v>
      </c>
      <c r="AM247" s="343">
        <v>23.836</v>
      </c>
      <c r="AN247" s="343">
        <v>23.836</v>
      </c>
      <c r="AO247" s="343">
        <v>23.836</v>
      </c>
      <c r="AP247" s="343">
        <v>23.836</v>
      </c>
      <c r="AQ247" s="335" t="s">
        <v>238</v>
      </c>
      <c r="AR247" s="336">
        <f t="shared" si="4"/>
        <v>0.00407777759</v>
      </c>
      <c r="AS247" s="336"/>
      <c r="AT247" s="336"/>
      <c r="AU247" s="348"/>
      <c r="AV247" s="312"/>
      <c r="AW247" s="312"/>
      <c r="AX247" s="312"/>
      <c r="AY247" s="312"/>
      <c r="AZ247" s="312"/>
      <c r="BA247" s="312"/>
      <c r="BB247" s="312"/>
      <c r="BC247" s="312"/>
      <c r="BD247" s="316"/>
      <c r="BE247" s="316"/>
      <c r="BF247" s="316"/>
      <c r="BG247" s="316"/>
      <c r="BH247" s="316"/>
      <c r="BI247" s="316"/>
      <c r="BJ247" s="316"/>
      <c r="BK247" s="316"/>
      <c r="BL247" s="316"/>
      <c r="BM247" s="316"/>
      <c r="BN247" s="316"/>
      <c r="BO247" s="316"/>
      <c r="BP247" s="316"/>
      <c r="BQ247" s="316"/>
      <c r="BR247" s="316"/>
      <c r="BS247" s="316"/>
      <c r="BT247" s="316"/>
      <c r="BU247" s="316"/>
      <c r="BV247" s="316"/>
      <c r="BW247" s="316"/>
      <c r="BX247" s="316"/>
      <c r="BY247" s="316"/>
      <c r="BZ247" s="316"/>
      <c r="CA247" s="316"/>
      <c r="CB247" s="316"/>
      <c r="CC247" s="316"/>
      <c r="CD247" s="316"/>
    </row>
    <row r="248" ht="15.75" customHeight="1">
      <c r="A248" s="308"/>
      <c r="B248" s="362">
        <v>45750.0</v>
      </c>
      <c r="C248" s="335">
        <v>84.585</v>
      </c>
      <c r="D248" s="335">
        <v>84.585</v>
      </c>
      <c r="E248" s="335">
        <v>84.585</v>
      </c>
      <c r="F248" s="335">
        <v>84.585</v>
      </c>
      <c r="G248" s="335" t="s">
        <v>238</v>
      </c>
      <c r="H248" s="336">
        <f t="shared" si="1"/>
        <v>-0.006258086081</v>
      </c>
      <c r="I248" s="336"/>
      <c r="J248" s="336"/>
      <c r="K248" s="348"/>
      <c r="L248" s="312"/>
      <c r="M248" s="312"/>
      <c r="N248" s="340">
        <v>45750.0</v>
      </c>
      <c r="O248" s="341">
        <v>36.628</v>
      </c>
      <c r="P248" s="341">
        <v>36.628</v>
      </c>
      <c r="Q248" s="341">
        <v>36.628</v>
      </c>
      <c r="R248" s="341">
        <v>36.628</v>
      </c>
      <c r="S248" s="335" t="s">
        <v>238</v>
      </c>
      <c r="T248" s="336">
        <f t="shared" si="2"/>
        <v>-0.005010903731</v>
      </c>
      <c r="U248" s="336"/>
      <c r="V248" s="336"/>
      <c r="W248" s="348"/>
      <c r="X248" s="312"/>
      <c r="Y248" s="312"/>
      <c r="Z248" s="363">
        <v>45750.0</v>
      </c>
      <c r="AA248" s="341">
        <v>2007.049</v>
      </c>
      <c r="AB248" s="341">
        <v>2007.049</v>
      </c>
      <c r="AC248" s="341">
        <v>2007.049</v>
      </c>
      <c r="AD248" s="341">
        <v>2007.049</v>
      </c>
      <c r="AE248" s="335" t="s">
        <v>238</v>
      </c>
      <c r="AF248" s="336">
        <f t="shared" si="3"/>
        <v>-0.0004547932824</v>
      </c>
      <c r="AG248" s="336"/>
      <c r="AH248" s="336"/>
      <c r="AI248" s="348"/>
      <c r="AJ248" s="312"/>
      <c r="AK248" s="312"/>
      <c r="AL248" s="342">
        <v>45750.0</v>
      </c>
      <c r="AM248" s="343">
        <v>23.855</v>
      </c>
      <c r="AN248" s="343">
        <v>23.855</v>
      </c>
      <c r="AO248" s="343">
        <v>23.855</v>
      </c>
      <c r="AP248" s="343">
        <v>23.855</v>
      </c>
      <c r="AQ248" s="335" t="s">
        <v>238</v>
      </c>
      <c r="AR248" s="336">
        <f t="shared" si="4"/>
        <v>0.0007967960833</v>
      </c>
      <c r="AS248" s="336"/>
      <c r="AT248" s="336"/>
      <c r="AU248" s="348"/>
      <c r="AV248" s="312"/>
      <c r="AW248" s="312"/>
      <c r="AX248" s="312"/>
      <c r="AY248" s="312"/>
      <c r="AZ248" s="312"/>
      <c r="BA248" s="312"/>
      <c r="BB248" s="312"/>
      <c r="BC248" s="312"/>
      <c r="BD248" s="316"/>
      <c r="BE248" s="316"/>
      <c r="BF248" s="316"/>
      <c r="BG248" s="316"/>
      <c r="BH248" s="316"/>
      <c r="BI248" s="316"/>
      <c r="BJ248" s="316"/>
      <c r="BK248" s="316"/>
      <c r="BL248" s="316"/>
      <c r="BM248" s="316"/>
      <c r="BN248" s="316"/>
      <c r="BO248" s="316"/>
      <c r="BP248" s="316"/>
      <c r="BQ248" s="316"/>
      <c r="BR248" s="316"/>
      <c r="BS248" s="316"/>
      <c r="BT248" s="316"/>
      <c r="BU248" s="316"/>
      <c r="BV248" s="316"/>
      <c r="BW248" s="316"/>
      <c r="BX248" s="316"/>
      <c r="BY248" s="316"/>
      <c r="BZ248" s="316"/>
      <c r="CA248" s="316"/>
      <c r="CB248" s="316"/>
      <c r="CC248" s="316"/>
      <c r="CD248" s="316"/>
    </row>
    <row r="249" ht="15.75" customHeight="1">
      <c r="A249" s="308"/>
      <c r="B249" s="362">
        <v>45751.0</v>
      </c>
      <c r="C249" s="335">
        <v>83.617</v>
      </c>
      <c r="D249" s="335">
        <v>83.617</v>
      </c>
      <c r="E249" s="335">
        <v>83.617</v>
      </c>
      <c r="F249" s="335">
        <v>83.617</v>
      </c>
      <c r="G249" s="335" t="s">
        <v>238</v>
      </c>
      <c r="H249" s="336">
        <f t="shared" si="1"/>
        <v>-0.01151009723</v>
      </c>
      <c r="I249" s="336"/>
      <c r="J249" s="336"/>
      <c r="K249" s="348"/>
      <c r="L249" s="312"/>
      <c r="M249" s="312"/>
      <c r="N249" s="340">
        <v>45751.0</v>
      </c>
      <c r="O249" s="341">
        <v>36.213</v>
      </c>
      <c r="P249" s="341">
        <v>36.628</v>
      </c>
      <c r="Q249" s="341">
        <v>36.213</v>
      </c>
      <c r="R249" s="341">
        <v>36.213</v>
      </c>
      <c r="S249" s="335" t="s">
        <v>238</v>
      </c>
      <c r="T249" s="336">
        <f t="shared" si="2"/>
        <v>-0.01139480486</v>
      </c>
      <c r="U249" s="336"/>
      <c r="V249" s="336"/>
      <c r="W249" s="348"/>
      <c r="X249" s="312"/>
      <c r="Y249" s="312"/>
      <c r="Z249" s="363">
        <v>45751.0</v>
      </c>
      <c r="AA249" s="341">
        <v>1983.258</v>
      </c>
      <c r="AB249" s="341">
        <v>2007.049</v>
      </c>
      <c r="AC249" s="341">
        <v>1983.258</v>
      </c>
      <c r="AD249" s="341">
        <v>1983.258</v>
      </c>
      <c r="AE249" s="335" t="s">
        <v>238</v>
      </c>
      <c r="AF249" s="336">
        <f t="shared" si="3"/>
        <v>-0.01192453709</v>
      </c>
      <c r="AG249" s="336"/>
      <c r="AH249" s="336"/>
      <c r="AI249" s="348"/>
      <c r="AJ249" s="312"/>
      <c r="AK249" s="312"/>
      <c r="AL249" s="342">
        <v>45751.0</v>
      </c>
      <c r="AM249" s="343">
        <v>23.87</v>
      </c>
      <c r="AN249" s="343">
        <v>23.87</v>
      </c>
      <c r="AO249" s="343">
        <v>23.855</v>
      </c>
      <c r="AP249" s="343">
        <v>23.87</v>
      </c>
      <c r="AQ249" s="335" t="s">
        <v>238</v>
      </c>
      <c r="AR249" s="336">
        <f t="shared" si="4"/>
        <v>0.0006286013827</v>
      </c>
      <c r="AS249" s="336"/>
      <c r="AT249" s="336"/>
      <c r="AU249" s="348"/>
      <c r="AV249" s="312"/>
      <c r="AW249" s="312"/>
      <c r="AX249" s="312"/>
      <c r="AY249" s="312"/>
      <c r="AZ249" s="312"/>
      <c r="BA249" s="312"/>
      <c r="BB249" s="312"/>
      <c r="BC249" s="312"/>
      <c r="BD249" s="316"/>
      <c r="BE249" s="316"/>
      <c r="BF249" s="316"/>
      <c r="BG249" s="316"/>
      <c r="BH249" s="316"/>
      <c r="BI249" s="316"/>
      <c r="BJ249" s="316"/>
      <c r="BK249" s="316"/>
      <c r="BL249" s="316"/>
      <c r="BM249" s="316"/>
      <c r="BN249" s="316"/>
      <c r="BO249" s="316"/>
      <c r="BP249" s="316"/>
      <c r="BQ249" s="316"/>
      <c r="BR249" s="316"/>
      <c r="BS249" s="316"/>
      <c r="BT249" s="316"/>
      <c r="BU249" s="316"/>
      <c r="BV249" s="316"/>
      <c r="BW249" s="316"/>
      <c r="BX249" s="316"/>
      <c r="BY249" s="316"/>
      <c r="BZ249" s="316"/>
      <c r="CA249" s="316"/>
      <c r="CB249" s="316"/>
      <c r="CC249" s="316"/>
      <c r="CD249" s="316"/>
    </row>
    <row r="250" ht="15.75" customHeight="1">
      <c r="A250" s="308"/>
      <c r="B250" s="362">
        <v>45754.0</v>
      </c>
      <c r="C250" s="335">
        <v>82.059</v>
      </c>
      <c r="D250" s="335">
        <v>82.059</v>
      </c>
      <c r="E250" s="335">
        <v>82.059</v>
      </c>
      <c r="F250" s="335">
        <v>82.059</v>
      </c>
      <c r="G250" s="335" t="s">
        <v>238</v>
      </c>
      <c r="H250" s="336">
        <f t="shared" si="1"/>
        <v>-0.01880834797</v>
      </c>
      <c r="I250" s="336"/>
      <c r="J250" s="336"/>
      <c r="K250" s="348"/>
      <c r="L250" s="312"/>
      <c r="M250" s="312"/>
      <c r="N250" s="340">
        <v>45754.0</v>
      </c>
      <c r="O250" s="341">
        <v>35.653</v>
      </c>
      <c r="P250" s="341">
        <v>35.653</v>
      </c>
      <c r="Q250" s="341">
        <v>35.653</v>
      </c>
      <c r="R250" s="341">
        <v>35.653</v>
      </c>
      <c r="S250" s="335" t="s">
        <v>238</v>
      </c>
      <c r="T250" s="336">
        <f t="shared" si="2"/>
        <v>-0.01558487559</v>
      </c>
      <c r="U250" s="336"/>
      <c r="V250" s="336"/>
      <c r="W250" s="348"/>
      <c r="X250" s="312"/>
      <c r="Y250" s="312"/>
      <c r="Z250" s="363">
        <v>45754.0</v>
      </c>
      <c r="AA250" s="341">
        <v>1924.463</v>
      </c>
      <c r="AB250" s="341">
        <v>1924.463</v>
      </c>
      <c r="AC250" s="341">
        <v>1924.463</v>
      </c>
      <c r="AD250" s="341">
        <v>1924.463</v>
      </c>
      <c r="AE250" s="335" t="s">
        <v>238</v>
      </c>
      <c r="AF250" s="336">
        <f t="shared" si="3"/>
        <v>-0.03009397919</v>
      </c>
      <c r="AG250" s="336"/>
      <c r="AH250" s="336"/>
      <c r="AI250" s="348"/>
      <c r="AJ250" s="312"/>
      <c r="AK250" s="312"/>
      <c r="AL250" s="342">
        <v>45754.0</v>
      </c>
      <c r="AM250" s="343">
        <v>23.849</v>
      </c>
      <c r="AN250" s="343">
        <v>23.87</v>
      </c>
      <c r="AO250" s="343">
        <v>23.849</v>
      </c>
      <c r="AP250" s="343">
        <v>23.849</v>
      </c>
      <c r="AQ250" s="335" t="s">
        <v>238</v>
      </c>
      <c r="AR250" s="336">
        <f t="shared" si="4"/>
        <v>-0.0008801526166</v>
      </c>
      <c r="AS250" s="336"/>
      <c r="AT250" s="336"/>
      <c r="AU250" s="348"/>
      <c r="AV250" s="312"/>
      <c r="AW250" s="312"/>
      <c r="AX250" s="312"/>
      <c r="AY250" s="312"/>
      <c r="AZ250" s="312"/>
      <c r="BA250" s="312"/>
      <c r="BB250" s="312"/>
      <c r="BC250" s="312"/>
      <c r="BD250" s="316"/>
      <c r="BE250" s="316"/>
      <c r="BF250" s="316"/>
      <c r="BG250" s="316"/>
      <c r="BH250" s="316"/>
      <c r="BI250" s="316"/>
      <c r="BJ250" s="316"/>
      <c r="BK250" s="316"/>
      <c r="BL250" s="316"/>
      <c r="BM250" s="316"/>
      <c r="BN250" s="316"/>
      <c r="BO250" s="316"/>
      <c r="BP250" s="316"/>
      <c r="BQ250" s="316"/>
      <c r="BR250" s="316"/>
      <c r="BS250" s="316"/>
      <c r="BT250" s="316"/>
      <c r="BU250" s="316"/>
      <c r="BV250" s="316"/>
      <c r="BW250" s="316"/>
      <c r="BX250" s="316"/>
      <c r="BY250" s="316"/>
      <c r="BZ250" s="316"/>
      <c r="CA250" s="316"/>
      <c r="CB250" s="316"/>
      <c r="CC250" s="316"/>
      <c r="CD250" s="316"/>
    </row>
    <row r="251" ht="15.75" customHeight="1">
      <c r="A251" s="308"/>
      <c r="B251" s="362">
        <v>45755.0</v>
      </c>
      <c r="C251" s="335">
        <v>82.621</v>
      </c>
      <c r="D251" s="335">
        <v>82.621</v>
      </c>
      <c r="E251" s="335">
        <v>82.621</v>
      </c>
      <c r="F251" s="335">
        <v>82.621</v>
      </c>
      <c r="G251" s="335" t="s">
        <v>238</v>
      </c>
      <c r="H251" s="336">
        <f t="shared" si="1"/>
        <v>0.006825384768</v>
      </c>
      <c r="I251" s="336"/>
      <c r="J251" s="336"/>
      <c r="K251" s="348"/>
      <c r="L251" s="312"/>
      <c r="M251" s="312"/>
      <c r="N251" s="363">
        <v>45755.0</v>
      </c>
      <c r="O251" s="341">
        <v>35.581</v>
      </c>
      <c r="P251" s="341">
        <v>35.653</v>
      </c>
      <c r="Q251" s="341">
        <v>35.581</v>
      </c>
      <c r="R251" s="341">
        <v>35.581</v>
      </c>
      <c r="S251" s="335" t="s">
        <v>238</v>
      </c>
      <c r="T251" s="336">
        <f t="shared" si="2"/>
        <v>-0.002021507272</v>
      </c>
      <c r="U251" s="336"/>
      <c r="V251" s="336"/>
      <c r="W251" s="348"/>
      <c r="X251" s="312"/>
      <c r="Y251" s="312"/>
      <c r="Z251" s="340">
        <v>45755.0</v>
      </c>
      <c r="AA251" s="341">
        <v>1953.451</v>
      </c>
      <c r="AB251" s="341">
        <v>1953.451</v>
      </c>
      <c r="AC251" s="341">
        <v>1924.463</v>
      </c>
      <c r="AD251" s="341">
        <v>1953.451</v>
      </c>
      <c r="AE251" s="335" t="s">
        <v>238</v>
      </c>
      <c r="AF251" s="336">
        <f t="shared" si="3"/>
        <v>0.01495058423</v>
      </c>
      <c r="AG251" s="336"/>
      <c r="AH251" s="336"/>
      <c r="AI251" s="348"/>
      <c r="AJ251" s="312"/>
      <c r="AK251" s="312"/>
      <c r="AL251" s="342">
        <v>45755.0</v>
      </c>
      <c r="AM251" s="343">
        <v>23.874</v>
      </c>
      <c r="AN251" s="343">
        <v>23.874</v>
      </c>
      <c r="AO251" s="343">
        <v>23.874</v>
      </c>
      <c r="AP251" s="343">
        <v>23.874</v>
      </c>
      <c r="AQ251" s="335" t="s">
        <v>238</v>
      </c>
      <c r="AR251" s="336">
        <f t="shared" si="4"/>
        <v>0.001047712939</v>
      </c>
      <c r="AS251" s="336"/>
      <c r="AT251" s="336"/>
      <c r="AU251" s="348"/>
      <c r="AV251" s="312"/>
      <c r="AW251" s="312"/>
      <c r="AX251" s="312"/>
      <c r="AY251" s="312"/>
      <c r="AZ251" s="312"/>
      <c r="BA251" s="312"/>
      <c r="BB251" s="312"/>
      <c r="BC251" s="312"/>
      <c r="BD251" s="316"/>
      <c r="BE251" s="316"/>
      <c r="BF251" s="316"/>
      <c r="BG251" s="316"/>
      <c r="BH251" s="316"/>
      <c r="BI251" s="316"/>
      <c r="BJ251" s="316"/>
      <c r="BK251" s="316"/>
      <c r="BL251" s="316"/>
      <c r="BM251" s="316"/>
      <c r="BN251" s="316"/>
      <c r="BO251" s="316"/>
      <c r="BP251" s="316"/>
      <c r="BQ251" s="316"/>
      <c r="BR251" s="316"/>
      <c r="BS251" s="316"/>
      <c r="BT251" s="316"/>
      <c r="BU251" s="316"/>
      <c r="BV251" s="316"/>
      <c r="BW251" s="316"/>
      <c r="BX251" s="316"/>
      <c r="BY251" s="316"/>
      <c r="BZ251" s="316"/>
      <c r="CA251" s="316"/>
      <c r="CB251" s="316"/>
      <c r="CC251" s="316"/>
      <c r="CD251" s="316"/>
    </row>
    <row r="252" ht="15.75" customHeight="1">
      <c r="A252" s="308"/>
      <c r="B252" s="362">
        <v>45756.0</v>
      </c>
      <c r="C252" s="335">
        <v>83.591</v>
      </c>
      <c r="D252" s="335">
        <v>83.591</v>
      </c>
      <c r="E252" s="335">
        <v>83.591</v>
      </c>
      <c r="F252" s="335">
        <v>83.591</v>
      </c>
      <c r="G252" s="335" t="s">
        <v>238</v>
      </c>
      <c r="H252" s="336">
        <f t="shared" si="1"/>
        <v>0.01167197329</v>
      </c>
      <c r="I252" s="336"/>
      <c r="J252" s="336"/>
      <c r="K252" s="348"/>
      <c r="L252" s="312"/>
      <c r="M252" s="312"/>
      <c r="N252" s="363">
        <v>45756.0</v>
      </c>
      <c r="O252" s="341">
        <v>36.166</v>
      </c>
      <c r="P252" s="341">
        <v>36.166</v>
      </c>
      <c r="Q252" s="341">
        <v>36.166</v>
      </c>
      <c r="R252" s="341">
        <v>36.166</v>
      </c>
      <c r="S252" s="335" t="s">
        <v>238</v>
      </c>
      <c r="T252" s="336">
        <f t="shared" si="2"/>
        <v>0.01630766344</v>
      </c>
      <c r="U252" s="336"/>
      <c r="V252" s="336"/>
      <c r="W252" s="348"/>
      <c r="X252" s="312"/>
      <c r="Y252" s="312"/>
      <c r="Z252" s="340">
        <v>45756.0</v>
      </c>
      <c r="AA252" s="341">
        <v>1943.906</v>
      </c>
      <c r="AB252" s="341">
        <v>1943.906</v>
      </c>
      <c r="AC252" s="341">
        <v>1943.906</v>
      </c>
      <c r="AD252" s="341">
        <v>1943.906</v>
      </c>
      <c r="AE252" s="335" t="s">
        <v>238</v>
      </c>
      <c r="AF252" s="336">
        <f t="shared" si="3"/>
        <v>-0.004898201055</v>
      </c>
      <c r="AG252" s="336"/>
      <c r="AH252" s="336"/>
      <c r="AI252" s="348"/>
      <c r="AJ252" s="312"/>
      <c r="AK252" s="312"/>
      <c r="AL252" s="342">
        <v>45756.0</v>
      </c>
      <c r="AM252" s="343">
        <v>23.882</v>
      </c>
      <c r="AN252" s="343">
        <v>23.882</v>
      </c>
      <c r="AO252" s="343">
        <v>23.882</v>
      </c>
      <c r="AP252" s="343">
        <v>23.882</v>
      </c>
      <c r="AQ252" s="335" t="s">
        <v>238</v>
      </c>
      <c r="AR252" s="336">
        <f t="shared" si="4"/>
        <v>0.0003350364383</v>
      </c>
      <c r="AS252" s="336"/>
      <c r="AT252" s="336"/>
      <c r="AU252" s="348"/>
      <c r="AV252" s="312"/>
      <c r="AW252" s="312"/>
      <c r="AX252" s="312"/>
      <c r="AY252" s="312"/>
      <c r="AZ252" s="312"/>
      <c r="BA252" s="312"/>
      <c r="BB252" s="312"/>
      <c r="BC252" s="312"/>
      <c r="BD252" s="316"/>
      <c r="BE252" s="316"/>
      <c r="BF252" s="316"/>
      <c r="BG252" s="316"/>
      <c r="BH252" s="316"/>
      <c r="BI252" s="316"/>
      <c r="BJ252" s="316"/>
      <c r="BK252" s="316"/>
      <c r="BL252" s="316"/>
      <c r="BM252" s="316"/>
      <c r="BN252" s="316"/>
      <c r="BO252" s="316"/>
      <c r="BP252" s="316"/>
      <c r="BQ252" s="316"/>
      <c r="BR252" s="316"/>
      <c r="BS252" s="316"/>
      <c r="BT252" s="316"/>
      <c r="BU252" s="316"/>
      <c r="BV252" s="316"/>
      <c r="BW252" s="316"/>
      <c r="BX252" s="316"/>
      <c r="BY252" s="316"/>
      <c r="BZ252" s="316"/>
      <c r="CA252" s="316"/>
      <c r="CB252" s="316"/>
      <c r="CC252" s="316"/>
      <c r="CD252" s="316"/>
    </row>
    <row r="253" ht="15.75" customHeight="1">
      <c r="A253" s="308"/>
      <c r="B253" s="334">
        <v>45758.0</v>
      </c>
      <c r="C253" s="335">
        <v>84.399</v>
      </c>
      <c r="D253" s="335">
        <v>84.399</v>
      </c>
      <c r="E253" s="335">
        <v>84.399</v>
      </c>
      <c r="F253" s="335">
        <v>84.399</v>
      </c>
      <c r="G253" s="335" t="s">
        <v>238</v>
      </c>
      <c r="H253" s="336">
        <f t="shared" si="1"/>
        <v>0.009619694397</v>
      </c>
      <c r="I253" s="336"/>
      <c r="J253" s="336"/>
      <c r="K253" s="348"/>
      <c r="L253" s="312"/>
      <c r="M253" s="312"/>
      <c r="N253" s="363">
        <v>45758.0</v>
      </c>
      <c r="O253" s="341">
        <v>37.619</v>
      </c>
      <c r="P253" s="341">
        <v>37.619</v>
      </c>
      <c r="Q253" s="341">
        <v>37.619</v>
      </c>
      <c r="R253" s="341">
        <v>37.619</v>
      </c>
      <c r="S253" s="335" t="s">
        <v>238</v>
      </c>
      <c r="T253" s="336">
        <f t="shared" si="2"/>
        <v>0.03938979095</v>
      </c>
      <c r="U253" s="336"/>
      <c r="V253" s="336"/>
      <c r="W253" s="348"/>
      <c r="X253" s="312"/>
      <c r="Y253" s="312"/>
      <c r="Z253" s="340">
        <v>45758.0</v>
      </c>
      <c r="AA253" s="341">
        <v>1976.905</v>
      </c>
      <c r="AB253" s="341">
        <v>1976.905</v>
      </c>
      <c r="AC253" s="341">
        <v>1976.905</v>
      </c>
      <c r="AD253" s="341">
        <v>1976.905</v>
      </c>
      <c r="AE253" s="335" t="s">
        <v>238</v>
      </c>
      <c r="AF253" s="336">
        <f t="shared" si="3"/>
        <v>0.01683313947</v>
      </c>
      <c r="AG253" s="336"/>
      <c r="AH253" s="336"/>
      <c r="AI253" s="348"/>
      <c r="AJ253" s="312"/>
      <c r="AK253" s="312"/>
      <c r="AL253" s="353">
        <v>45758.0</v>
      </c>
      <c r="AM253" s="343">
        <v>23.906</v>
      </c>
      <c r="AN253" s="343">
        <v>23.906</v>
      </c>
      <c r="AO253" s="343">
        <v>23.906</v>
      </c>
      <c r="AP253" s="343">
        <v>23.906</v>
      </c>
      <c r="AQ253" s="335" t="s">
        <v>238</v>
      </c>
      <c r="AR253" s="336">
        <f t="shared" si="4"/>
        <v>0.001004436345</v>
      </c>
      <c r="AS253" s="336"/>
      <c r="AT253" s="336"/>
      <c r="AU253" s="348"/>
      <c r="AV253" s="312"/>
      <c r="AW253" s="312"/>
      <c r="AX253" s="312"/>
      <c r="AY253" s="312"/>
      <c r="AZ253" s="312"/>
      <c r="BA253" s="312"/>
      <c r="BB253" s="312"/>
      <c r="BC253" s="312"/>
      <c r="BD253" s="316"/>
      <c r="BE253" s="316"/>
      <c r="BF253" s="316"/>
      <c r="BG253" s="316"/>
      <c r="BH253" s="316"/>
      <c r="BI253" s="316"/>
      <c r="BJ253" s="316"/>
      <c r="BK253" s="316"/>
      <c r="BL253" s="316"/>
      <c r="BM253" s="316"/>
      <c r="BN253" s="316"/>
      <c r="BO253" s="316"/>
      <c r="BP253" s="316"/>
      <c r="BQ253" s="316"/>
      <c r="BR253" s="316"/>
      <c r="BS253" s="316"/>
      <c r="BT253" s="316"/>
      <c r="BU253" s="316"/>
      <c r="BV253" s="316"/>
      <c r="BW253" s="316"/>
      <c r="BX253" s="316"/>
      <c r="BY253" s="316"/>
      <c r="BZ253" s="316"/>
      <c r="CA253" s="316"/>
      <c r="CB253" s="316"/>
      <c r="CC253" s="316"/>
      <c r="CD253" s="316"/>
    </row>
    <row r="254" ht="15.75" customHeight="1">
      <c r="A254" s="308"/>
      <c r="B254" s="334">
        <v>45762.0</v>
      </c>
      <c r="C254" s="335">
        <v>85.409</v>
      </c>
      <c r="D254" s="335">
        <v>85.409</v>
      </c>
      <c r="E254" s="335">
        <v>85.409</v>
      </c>
      <c r="F254" s="335">
        <v>85.409</v>
      </c>
      <c r="G254" s="335" t="s">
        <v>238</v>
      </c>
      <c r="H254" s="336">
        <f t="shared" si="1"/>
        <v>0.01189592847</v>
      </c>
      <c r="I254" s="336"/>
      <c r="J254" s="336"/>
      <c r="K254" s="348"/>
      <c r="L254" s="312"/>
      <c r="M254" s="312"/>
      <c r="N254" s="363">
        <v>45762.0</v>
      </c>
      <c r="O254" s="341">
        <v>37.502</v>
      </c>
      <c r="P254" s="341">
        <v>37.502</v>
      </c>
      <c r="Q254" s="341">
        <v>37.502</v>
      </c>
      <c r="R254" s="341">
        <v>37.502</v>
      </c>
      <c r="S254" s="335" t="s">
        <v>238</v>
      </c>
      <c r="T254" s="336">
        <f t="shared" si="2"/>
        <v>-0.003114977027</v>
      </c>
      <c r="U254" s="336"/>
      <c r="V254" s="336"/>
      <c r="W254" s="348"/>
      <c r="X254" s="312"/>
      <c r="Y254" s="312"/>
      <c r="Z254" s="340">
        <v>45762.0</v>
      </c>
      <c r="AA254" s="341">
        <v>2019.023</v>
      </c>
      <c r="AB254" s="341">
        <v>2019.023</v>
      </c>
      <c r="AC254" s="341">
        <v>2019.023</v>
      </c>
      <c r="AD254" s="341">
        <v>2019.023</v>
      </c>
      <c r="AE254" s="335" t="s">
        <v>238</v>
      </c>
      <c r="AF254" s="336">
        <f t="shared" si="3"/>
        <v>0.02108124061</v>
      </c>
      <c r="AG254" s="336"/>
      <c r="AH254" s="336"/>
      <c r="AI254" s="348"/>
      <c r="AJ254" s="312"/>
      <c r="AK254" s="312"/>
      <c r="AL254" s="353">
        <v>45762.0</v>
      </c>
      <c r="AM254" s="343">
        <v>23.931</v>
      </c>
      <c r="AN254" s="343">
        <v>23.931</v>
      </c>
      <c r="AO254" s="343">
        <v>23.931</v>
      </c>
      <c r="AP254" s="343">
        <v>23.931</v>
      </c>
      <c r="AQ254" s="335" t="s">
        <v>238</v>
      </c>
      <c r="AR254" s="336">
        <f t="shared" si="4"/>
        <v>0.001045216141</v>
      </c>
      <c r="AS254" s="336"/>
      <c r="AT254" s="336"/>
      <c r="AU254" s="348"/>
      <c r="AV254" s="312"/>
      <c r="AW254" s="312"/>
      <c r="AX254" s="312"/>
      <c r="AY254" s="312"/>
      <c r="AZ254" s="312"/>
      <c r="BA254" s="312"/>
      <c r="BB254" s="312"/>
      <c r="BC254" s="312"/>
      <c r="BD254" s="316"/>
      <c r="BE254" s="316"/>
      <c r="BF254" s="316"/>
      <c r="BG254" s="316"/>
      <c r="BH254" s="316"/>
      <c r="BI254" s="316"/>
      <c r="BJ254" s="316"/>
      <c r="BK254" s="316"/>
      <c r="BL254" s="316"/>
      <c r="BM254" s="316"/>
      <c r="BN254" s="316"/>
      <c r="BO254" s="316"/>
      <c r="BP254" s="316"/>
      <c r="BQ254" s="316"/>
      <c r="BR254" s="316"/>
      <c r="BS254" s="316"/>
      <c r="BT254" s="316"/>
      <c r="BU254" s="316"/>
      <c r="BV254" s="316"/>
      <c r="BW254" s="316"/>
      <c r="BX254" s="316"/>
      <c r="BY254" s="316"/>
      <c r="BZ254" s="316"/>
      <c r="CA254" s="316"/>
      <c r="CB254" s="316"/>
      <c r="CC254" s="316"/>
      <c r="CD254" s="316"/>
    </row>
    <row r="255" ht="15.75" customHeight="1">
      <c r="A255" s="308"/>
      <c r="B255" s="334">
        <v>45763.0</v>
      </c>
      <c r="C255" s="335">
        <v>85.246</v>
      </c>
      <c r="D255" s="335">
        <v>85.246</v>
      </c>
      <c r="E255" s="335">
        <v>85.246</v>
      </c>
      <c r="F255" s="335">
        <v>85.246</v>
      </c>
      <c r="G255" s="335" t="s">
        <v>238</v>
      </c>
      <c r="H255" s="336">
        <f t="shared" si="1"/>
        <v>-0.001910287417</v>
      </c>
      <c r="I255" s="336"/>
      <c r="J255" s="336"/>
      <c r="K255" s="348"/>
      <c r="L255" s="312"/>
      <c r="M255" s="312"/>
      <c r="N255" s="363">
        <v>45763.0</v>
      </c>
      <c r="O255" s="341">
        <v>38.26</v>
      </c>
      <c r="P255" s="341">
        <v>38.26</v>
      </c>
      <c r="Q255" s="341">
        <v>37.502</v>
      </c>
      <c r="R255" s="341">
        <v>38.26</v>
      </c>
      <c r="S255" s="335" t="s">
        <v>238</v>
      </c>
      <c r="T255" s="336">
        <f t="shared" si="2"/>
        <v>0.02001069912</v>
      </c>
      <c r="U255" s="336"/>
      <c r="V255" s="336"/>
      <c r="W255" s="348"/>
      <c r="X255" s="312"/>
      <c r="Y255" s="312"/>
      <c r="Z255" s="340">
        <v>45763.0</v>
      </c>
      <c r="AA255" s="341">
        <v>2031.623</v>
      </c>
      <c r="AB255" s="341">
        <v>2031.623</v>
      </c>
      <c r="AC255" s="341">
        <v>2031.623</v>
      </c>
      <c r="AD255" s="341">
        <v>2031.623</v>
      </c>
      <c r="AE255" s="335" t="s">
        <v>238</v>
      </c>
      <c r="AF255" s="336">
        <f t="shared" si="3"/>
        <v>0.006221249963</v>
      </c>
      <c r="AG255" s="336"/>
      <c r="AH255" s="336"/>
      <c r="AI255" s="348"/>
      <c r="AJ255" s="312"/>
      <c r="AK255" s="312"/>
      <c r="AL255" s="353">
        <v>45763.0</v>
      </c>
      <c r="AM255" s="343">
        <v>23.948</v>
      </c>
      <c r="AN255" s="343">
        <v>23.948</v>
      </c>
      <c r="AO255" s="343">
        <v>23.948</v>
      </c>
      <c r="AP255" s="343">
        <v>23.948</v>
      </c>
      <c r="AQ255" s="335" t="s">
        <v>238</v>
      </c>
      <c r="AR255" s="336">
        <f t="shared" si="4"/>
        <v>0.000710123466</v>
      </c>
      <c r="AS255" s="336"/>
      <c r="AT255" s="336"/>
      <c r="AU255" s="348"/>
      <c r="AV255" s="312"/>
      <c r="AW255" s="312"/>
      <c r="AX255" s="312"/>
      <c r="AY255" s="312"/>
      <c r="AZ255" s="312"/>
      <c r="BA255" s="312"/>
      <c r="BB255" s="312"/>
      <c r="BC255" s="312"/>
      <c r="BD255" s="316"/>
      <c r="BE255" s="316"/>
      <c r="BF255" s="316"/>
      <c r="BG255" s="316"/>
      <c r="BH255" s="316"/>
      <c r="BI255" s="316"/>
      <c r="BJ255" s="316"/>
      <c r="BK255" s="316"/>
      <c r="BL255" s="316"/>
      <c r="BM255" s="316"/>
      <c r="BN255" s="316"/>
      <c r="BO255" s="316"/>
      <c r="BP255" s="316"/>
      <c r="BQ255" s="316"/>
      <c r="BR255" s="316"/>
      <c r="BS255" s="316"/>
      <c r="BT255" s="316"/>
      <c r="BU255" s="316"/>
      <c r="BV255" s="316"/>
      <c r="BW255" s="316"/>
      <c r="BX255" s="316"/>
      <c r="BY255" s="316"/>
      <c r="BZ255" s="316"/>
      <c r="CA255" s="316"/>
      <c r="CB255" s="316"/>
      <c r="CC255" s="316"/>
      <c r="CD255" s="316"/>
    </row>
    <row r="256" ht="15.75" customHeight="1">
      <c r="A256" s="308"/>
      <c r="B256" s="334">
        <v>45764.0</v>
      </c>
      <c r="C256" s="335">
        <v>85.985</v>
      </c>
      <c r="D256" s="335">
        <v>85.985</v>
      </c>
      <c r="E256" s="335">
        <v>85.985</v>
      </c>
      <c r="F256" s="335">
        <v>85.985</v>
      </c>
      <c r="G256" s="335" t="s">
        <v>238</v>
      </c>
      <c r="H256" s="336">
        <f t="shared" si="1"/>
        <v>0.008631668194</v>
      </c>
      <c r="I256" s="336"/>
      <c r="J256" s="336"/>
      <c r="K256" s="348"/>
      <c r="L256" s="312"/>
      <c r="M256" s="312"/>
      <c r="N256" s="363">
        <v>45764.0</v>
      </c>
      <c r="O256" s="341">
        <v>38.405</v>
      </c>
      <c r="P256" s="341">
        <v>38.405</v>
      </c>
      <c r="Q256" s="341">
        <v>38.405</v>
      </c>
      <c r="R256" s="341">
        <v>38.405</v>
      </c>
      <c r="S256" s="335" t="s">
        <v>238</v>
      </c>
      <c r="T256" s="336">
        <f t="shared" si="2"/>
        <v>0.003782695439</v>
      </c>
      <c r="U256" s="336"/>
      <c r="V256" s="336"/>
      <c r="W256" s="348"/>
      <c r="X256" s="312"/>
      <c r="Y256" s="312"/>
      <c r="Z256" s="340">
        <v>45764.0</v>
      </c>
      <c r="AA256" s="341">
        <v>2060.532</v>
      </c>
      <c r="AB256" s="341">
        <v>2060.532</v>
      </c>
      <c r="AC256" s="341">
        <v>2060.532</v>
      </c>
      <c r="AD256" s="341">
        <v>2060.532</v>
      </c>
      <c r="AE256" s="335" t="s">
        <v>238</v>
      </c>
      <c r="AF256" s="336">
        <f t="shared" si="3"/>
        <v>0.01412922088</v>
      </c>
      <c r="AG256" s="336"/>
      <c r="AH256" s="336"/>
      <c r="AI256" s="348"/>
      <c r="AJ256" s="312"/>
      <c r="AK256" s="312"/>
      <c r="AL256" s="353">
        <v>45764.0</v>
      </c>
      <c r="AM256" s="343">
        <v>23.962</v>
      </c>
      <c r="AN256" s="343">
        <v>23.962</v>
      </c>
      <c r="AO256" s="343">
        <v>23.962</v>
      </c>
      <c r="AP256" s="343">
        <v>23.962</v>
      </c>
      <c r="AQ256" s="335" t="s">
        <v>238</v>
      </c>
      <c r="AR256" s="336">
        <f t="shared" si="4"/>
        <v>0.0005844291546</v>
      </c>
      <c r="AS256" s="336"/>
      <c r="AT256" s="336"/>
      <c r="AU256" s="348"/>
      <c r="AV256" s="312"/>
      <c r="AW256" s="312"/>
      <c r="AX256" s="312"/>
      <c r="AY256" s="312"/>
      <c r="AZ256" s="312"/>
      <c r="BA256" s="312"/>
      <c r="BB256" s="312"/>
      <c r="BC256" s="312"/>
      <c r="BD256" s="316"/>
      <c r="BE256" s="316"/>
      <c r="BF256" s="316"/>
      <c r="BG256" s="316"/>
      <c r="BH256" s="316"/>
      <c r="BI256" s="316"/>
      <c r="BJ256" s="316"/>
      <c r="BK256" s="316"/>
      <c r="BL256" s="316"/>
      <c r="BM256" s="316"/>
      <c r="BN256" s="316"/>
      <c r="BO256" s="316"/>
      <c r="BP256" s="316"/>
      <c r="BQ256" s="316"/>
      <c r="BR256" s="316"/>
      <c r="BS256" s="316"/>
      <c r="BT256" s="316"/>
      <c r="BU256" s="316"/>
      <c r="BV256" s="316"/>
      <c r="BW256" s="316"/>
      <c r="BX256" s="316"/>
      <c r="BY256" s="316"/>
      <c r="BZ256" s="316"/>
      <c r="CA256" s="316"/>
      <c r="CB256" s="316"/>
      <c r="CC256" s="316"/>
      <c r="CD256" s="316"/>
    </row>
    <row r="257" ht="15.75" customHeight="1">
      <c r="A257" s="308"/>
      <c r="B257" s="334">
        <v>45768.0</v>
      </c>
      <c r="C257" s="335">
        <v>86.603</v>
      </c>
      <c r="D257" s="335">
        <v>86.603</v>
      </c>
      <c r="E257" s="335">
        <v>86.603</v>
      </c>
      <c r="F257" s="335">
        <v>86.603</v>
      </c>
      <c r="G257" s="335" t="s">
        <v>238</v>
      </c>
      <c r="H257" s="336">
        <f t="shared" si="1"/>
        <v>0.007161594565</v>
      </c>
      <c r="I257" s="336"/>
      <c r="J257" s="336"/>
      <c r="K257" s="348"/>
      <c r="L257" s="312"/>
      <c r="M257" s="312"/>
      <c r="N257" s="363">
        <v>45768.0</v>
      </c>
      <c r="O257" s="341">
        <v>39.148</v>
      </c>
      <c r="P257" s="341">
        <v>39.148</v>
      </c>
      <c r="Q257" s="341">
        <v>39.148</v>
      </c>
      <c r="R257" s="341">
        <v>39.148</v>
      </c>
      <c r="S257" s="335" t="s">
        <v>238</v>
      </c>
      <c r="T257" s="336">
        <f t="shared" si="2"/>
        <v>0.01916167611</v>
      </c>
      <c r="U257" s="336"/>
      <c r="V257" s="336"/>
      <c r="W257" s="348"/>
      <c r="X257" s="312"/>
      <c r="Y257" s="312"/>
      <c r="Z257" s="340">
        <v>45768.0</v>
      </c>
      <c r="AA257" s="341">
        <v>2089.221</v>
      </c>
      <c r="AB257" s="341">
        <v>2089.221</v>
      </c>
      <c r="AC257" s="341">
        <v>2089.221</v>
      </c>
      <c r="AD257" s="341">
        <v>2089.221</v>
      </c>
      <c r="AE257" s="335" t="s">
        <v>238</v>
      </c>
      <c r="AF257" s="336">
        <f t="shared" si="3"/>
        <v>0.01382706734</v>
      </c>
      <c r="AG257" s="336"/>
      <c r="AH257" s="336"/>
      <c r="AI257" s="348"/>
      <c r="AJ257" s="312"/>
      <c r="AK257" s="312"/>
      <c r="AL257" s="353">
        <v>45768.0</v>
      </c>
      <c r="AM257" s="343">
        <v>24.005</v>
      </c>
      <c r="AN257" s="343">
        <v>24.005</v>
      </c>
      <c r="AO257" s="343">
        <v>24.005</v>
      </c>
      <c r="AP257" s="343">
        <v>24.005</v>
      </c>
      <c r="AQ257" s="335" t="s">
        <v>238</v>
      </c>
      <c r="AR257" s="336">
        <f t="shared" si="4"/>
        <v>0.001792899765</v>
      </c>
      <c r="AS257" s="336"/>
      <c r="AT257" s="336"/>
      <c r="AU257" s="348"/>
      <c r="AV257" s="312"/>
      <c r="AW257" s="312"/>
      <c r="AX257" s="312"/>
      <c r="AY257" s="312"/>
      <c r="AZ257" s="312"/>
      <c r="BA257" s="312"/>
      <c r="BB257" s="312"/>
      <c r="BC257" s="312"/>
      <c r="BD257" s="316"/>
      <c r="BE257" s="316"/>
      <c r="BF257" s="316"/>
      <c r="BG257" s="316"/>
      <c r="BH257" s="316"/>
      <c r="BI257" s="316"/>
      <c r="BJ257" s="316"/>
      <c r="BK257" s="316"/>
      <c r="BL257" s="316"/>
      <c r="BM257" s="316"/>
      <c r="BN257" s="316"/>
      <c r="BO257" s="316"/>
      <c r="BP257" s="316"/>
      <c r="BQ257" s="316"/>
      <c r="BR257" s="316"/>
      <c r="BS257" s="316"/>
      <c r="BT257" s="316"/>
      <c r="BU257" s="316"/>
      <c r="BV257" s="316"/>
      <c r="BW257" s="316"/>
      <c r="BX257" s="316"/>
      <c r="BY257" s="316"/>
      <c r="BZ257" s="316"/>
      <c r="CA257" s="316"/>
      <c r="CB257" s="316"/>
      <c r="CC257" s="316"/>
      <c r="CD257" s="316"/>
    </row>
    <row r="258" ht="15.75" customHeight="1">
      <c r="A258" s="308"/>
      <c r="B258" s="334">
        <v>45769.0</v>
      </c>
      <c r="C258" s="335">
        <v>87.12</v>
      </c>
      <c r="D258" s="335">
        <v>87.12</v>
      </c>
      <c r="E258" s="335">
        <v>87.12</v>
      </c>
      <c r="F258" s="335">
        <v>87.12</v>
      </c>
      <c r="G258" s="335" t="s">
        <v>238</v>
      </c>
      <c r="H258" s="336">
        <f t="shared" si="1"/>
        <v>0.005952021624</v>
      </c>
      <c r="I258" s="336"/>
      <c r="J258" s="336"/>
      <c r="K258" s="348"/>
      <c r="L258" s="312"/>
      <c r="M258" s="312"/>
      <c r="N258" s="363">
        <v>45769.0</v>
      </c>
      <c r="O258" s="341">
        <v>40.03</v>
      </c>
      <c r="P258" s="341">
        <v>40.03</v>
      </c>
      <c r="Q258" s="341">
        <v>40.03</v>
      </c>
      <c r="R258" s="341">
        <v>40.03</v>
      </c>
      <c r="S258" s="335" t="s">
        <v>238</v>
      </c>
      <c r="T258" s="336">
        <f t="shared" si="2"/>
        <v>0.02227983744</v>
      </c>
      <c r="U258" s="336"/>
      <c r="V258" s="336"/>
      <c r="W258" s="348"/>
      <c r="X258" s="312"/>
      <c r="Y258" s="312"/>
      <c r="Z258" s="363">
        <v>45769.0</v>
      </c>
      <c r="AA258" s="341">
        <v>2095.008</v>
      </c>
      <c r="AB258" s="341">
        <v>2095.008</v>
      </c>
      <c r="AC258" s="341">
        <v>2095.008</v>
      </c>
      <c r="AD258" s="341">
        <v>2095.008</v>
      </c>
      <c r="AE258" s="335" t="s">
        <v>238</v>
      </c>
      <c r="AF258" s="336">
        <f t="shared" si="3"/>
        <v>0.002766102759</v>
      </c>
      <c r="AG258" s="336"/>
      <c r="AH258" s="336"/>
      <c r="AI258" s="348"/>
      <c r="AJ258" s="312"/>
      <c r="AK258" s="312"/>
      <c r="AL258" s="353">
        <v>45769.0</v>
      </c>
      <c r="AM258" s="343">
        <v>24.02</v>
      </c>
      <c r="AN258" s="343">
        <v>24.02</v>
      </c>
      <c r="AO258" s="343">
        <v>24.005</v>
      </c>
      <c r="AP258" s="343">
        <v>24.02</v>
      </c>
      <c r="AQ258" s="335" t="s">
        <v>238</v>
      </c>
      <c r="AR258" s="336">
        <f t="shared" si="4"/>
        <v>0.0006246746689</v>
      </c>
      <c r="AS258" s="336"/>
      <c r="AT258" s="336"/>
      <c r="AU258" s="348"/>
      <c r="AV258" s="312"/>
      <c r="AW258" s="312"/>
      <c r="AX258" s="312"/>
      <c r="AY258" s="312"/>
      <c r="AZ258" s="312"/>
      <c r="BA258" s="312"/>
      <c r="BB258" s="312"/>
      <c r="BC258" s="312"/>
      <c r="BD258" s="316"/>
      <c r="BE258" s="316"/>
      <c r="BF258" s="316"/>
      <c r="BG258" s="316"/>
      <c r="BH258" s="316"/>
      <c r="BI258" s="316"/>
      <c r="BJ258" s="316"/>
      <c r="BK258" s="316"/>
      <c r="BL258" s="316"/>
      <c r="BM258" s="316"/>
      <c r="BN258" s="316"/>
      <c r="BO258" s="316"/>
      <c r="BP258" s="316"/>
      <c r="BQ258" s="316"/>
      <c r="BR258" s="316"/>
      <c r="BS258" s="316"/>
      <c r="BT258" s="316"/>
      <c r="BU258" s="316"/>
      <c r="BV258" s="316"/>
      <c r="BW258" s="316"/>
      <c r="BX258" s="316"/>
      <c r="BY258" s="316"/>
      <c r="BZ258" s="316"/>
      <c r="CA258" s="316"/>
      <c r="CB258" s="316"/>
      <c r="CC258" s="316"/>
      <c r="CD258" s="316"/>
    </row>
    <row r="259" ht="15.75" customHeight="1">
      <c r="A259" s="308"/>
      <c r="B259" s="334">
        <v>45770.0</v>
      </c>
      <c r="C259" s="335">
        <v>87.752</v>
      </c>
      <c r="D259" s="335">
        <v>87.752</v>
      </c>
      <c r="E259" s="335">
        <v>87.752</v>
      </c>
      <c r="F259" s="335">
        <v>87.752</v>
      </c>
      <c r="G259" s="335" t="s">
        <v>238</v>
      </c>
      <c r="H259" s="336">
        <f t="shared" si="1"/>
        <v>0.007228175484</v>
      </c>
      <c r="I259" s="336"/>
      <c r="J259" s="336"/>
      <c r="K259" s="348"/>
      <c r="L259" s="312"/>
      <c r="M259" s="312"/>
      <c r="N259" s="363">
        <v>45770.0</v>
      </c>
      <c r="O259" s="341">
        <v>38.821</v>
      </c>
      <c r="P259" s="341">
        <v>40.03</v>
      </c>
      <c r="Q259" s="341">
        <v>38.821</v>
      </c>
      <c r="R259" s="341">
        <v>38.821</v>
      </c>
      <c r="S259" s="335" t="s">
        <v>238</v>
      </c>
      <c r="T259" s="336">
        <f t="shared" si="2"/>
        <v>-0.03066783568</v>
      </c>
      <c r="U259" s="336"/>
      <c r="V259" s="336"/>
      <c r="W259" s="348"/>
      <c r="X259" s="312"/>
      <c r="Y259" s="312"/>
      <c r="Z259" s="363">
        <v>45770.0</v>
      </c>
      <c r="AA259" s="341">
        <v>2102.43</v>
      </c>
      <c r="AB259" s="341">
        <v>2102.43</v>
      </c>
      <c r="AC259" s="341">
        <v>2095.008</v>
      </c>
      <c r="AD259" s="341">
        <v>2102.43</v>
      </c>
      <c r="AE259" s="335" t="s">
        <v>238</v>
      </c>
      <c r="AF259" s="336">
        <f t="shared" si="3"/>
        <v>0.00353644663</v>
      </c>
      <c r="AG259" s="336"/>
      <c r="AH259" s="336"/>
      <c r="AI259" s="348"/>
      <c r="AJ259" s="312"/>
      <c r="AK259" s="312"/>
      <c r="AL259" s="353">
        <v>45770.0</v>
      </c>
      <c r="AM259" s="343">
        <v>24.031</v>
      </c>
      <c r="AN259" s="343">
        <v>24.031</v>
      </c>
      <c r="AO259" s="343">
        <v>24.02</v>
      </c>
      <c r="AP259" s="343">
        <v>24.031</v>
      </c>
      <c r="AQ259" s="335" t="s">
        <v>238</v>
      </c>
      <c r="AR259" s="336">
        <f t="shared" si="4"/>
        <v>0.000457846879</v>
      </c>
      <c r="AS259" s="336"/>
      <c r="AT259" s="336"/>
      <c r="AU259" s="348"/>
      <c r="AV259" s="312"/>
      <c r="AW259" s="312"/>
      <c r="AX259" s="312"/>
      <c r="AY259" s="312"/>
      <c r="AZ259" s="312"/>
      <c r="BA259" s="312"/>
      <c r="BB259" s="312"/>
      <c r="BC259" s="312"/>
      <c r="BD259" s="316"/>
      <c r="BE259" s="316"/>
      <c r="BF259" s="316"/>
      <c r="BG259" s="316"/>
      <c r="BH259" s="316"/>
      <c r="BI259" s="316"/>
      <c r="BJ259" s="316"/>
      <c r="BK259" s="316"/>
      <c r="BL259" s="316"/>
      <c r="BM259" s="316"/>
      <c r="BN259" s="316"/>
      <c r="BO259" s="316"/>
      <c r="BP259" s="316"/>
      <c r="BQ259" s="316"/>
      <c r="BR259" s="316"/>
      <c r="BS259" s="316"/>
      <c r="BT259" s="316"/>
      <c r="BU259" s="316"/>
      <c r="BV259" s="316"/>
      <c r="BW259" s="316"/>
      <c r="BX259" s="316"/>
      <c r="BY259" s="316"/>
      <c r="BZ259" s="316"/>
      <c r="CA259" s="316"/>
      <c r="CB259" s="316"/>
      <c r="CC259" s="316"/>
      <c r="CD259" s="316"/>
    </row>
    <row r="260" ht="15.75" customHeight="1">
      <c r="A260" s="308"/>
      <c r="B260" s="362">
        <v>45771.0</v>
      </c>
      <c r="C260" s="335">
        <v>87.863</v>
      </c>
      <c r="D260" s="335">
        <v>87.863</v>
      </c>
      <c r="E260" s="335">
        <v>87.863</v>
      </c>
      <c r="F260" s="335">
        <v>87.863</v>
      </c>
      <c r="G260" s="335" t="s">
        <v>238</v>
      </c>
      <c r="H260" s="336">
        <f t="shared" si="1"/>
        <v>0.001264129087</v>
      </c>
      <c r="I260" s="336"/>
      <c r="J260" s="336"/>
      <c r="K260" s="348"/>
      <c r="L260" s="312"/>
      <c r="M260" s="312"/>
      <c r="N260" s="363">
        <v>45771.0</v>
      </c>
      <c r="O260" s="341">
        <v>38.879</v>
      </c>
      <c r="P260" s="341">
        <v>38.879</v>
      </c>
      <c r="Q260" s="341">
        <v>38.879</v>
      </c>
      <c r="R260" s="341">
        <v>38.879</v>
      </c>
      <c r="S260" s="335" t="s">
        <v>238</v>
      </c>
      <c r="T260" s="336">
        <f t="shared" si="2"/>
        <v>0.00149292177</v>
      </c>
      <c r="U260" s="336"/>
      <c r="V260" s="336"/>
      <c r="W260" s="348"/>
      <c r="X260" s="312"/>
      <c r="Y260" s="312"/>
      <c r="Z260" s="363">
        <v>45771.0</v>
      </c>
      <c r="AA260" s="341">
        <v>2095.689</v>
      </c>
      <c r="AB260" s="341">
        <v>2095.689</v>
      </c>
      <c r="AC260" s="341">
        <v>2095.689</v>
      </c>
      <c r="AD260" s="341">
        <v>2095.689</v>
      </c>
      <c r="AE260" s="335" t="s">
        <v>238</v>
      </c>
      <c r="AF260" s="336">
        <f t="shared" si="3"/>
        <v>-0.003211441026</v>
      </c>
      <c r="AG260" s="336"/>
      <c r="AH260" s="336"/>
      <c r="AI260" s="348"/>
      <c r="AJ260" s="312"/>
      <c r="AK260" s="312"/>
      <c r="AL260" s="353">
        <v>45771.0</v>
      </c>
      <c r="AM260" s="343">
        <v>24.039</v>
      </c>
      <c r="AN260" s="343">
        <v>24.039</v>
      </c>
      <c r="AO260" s="343">
        <v>24.039</v>
      </c>
      <c r="AP260" s="343">
        <v>24.039</v>
      </c>
      <c r="AQ260" s="335" t="s">
        <v>238</v>
      </c>
      <c r="AR260" s="336">
        <f t="shared" si="4"/>
        <v>0.0003328479332</v>
      </c>
      <c r="AS260" s="336"/>
      <c r="AT260" s="336"/>
      <c r="AU260" s="348"/>
      <c r="AV260" s="312"/>
      <c r="AW260" s="312"/>
      <c r="AX260" s="312"/>
      <c r="AY260" s="312"/>
      <c r="AZ260" s="312"/>
      <c r="BA260" s="312"/>
      <c r="BB260" s="312"/>
      <c r="BC260" s="312"/>
      <c r="BD260" s="316"/>
      <c r="BE260" s="316"/>
      <c r="BF260" s="316"/>
      <c r="BG260" s="316"/>
      <c r="BH260" s="316"/>
      <c r="BI260" s="316"/>
      <c r="BJ260" s="316"/>
      <c r="BK260" s="316"/>
      <c r="BL260" s="316"/>
      <c r="BM260" s="316"/>
      <c r="BN260" s="316"/>
      <c r="BO260" s="316"/>
      <c r="BP260" s="316"/>
      <c r="BQ260" s="316"/>
      <c r="BR260" s="316"/>
      <c r="BS260" s="316"/>
      <c r="BT260" s="316"/>
      <c r="BU260" s="316"/>
      <c r="BV260" s="316"/>
      <c r="BW260" s="316"/>
      <c r="BX260" s="316"/>
      <c r="BY260" s="316"/>
      <c r="BZ260" s="316"/>
      <c r="CA260" s="316"/>
      <c r="CB260" s="316"/>
      <c r="CC260" s="316"/>
      <c r="CD260" s="316"/>
    </row>
    <row r="261" ht="15.75" customHeight="1">
      <c r="A261" s="308"/>
      <c r="B261" s="362">
        <v>45772.0</v>
      </c>
      <c r="C261" s="335">
        <v>87.293</v>
      </c>
      <c r="D261" s="335">
        <v>87.293</v>
      </c>
      <c r="E261" s="335">
        <v>87.293</v>
      </c>
      <c r="F261" s="335">
        <v>87.293</v>
      </c>
      <c r="G261" s="335" t="s">
        <v>238</v>
      </c>
      <c r="H261" s="336">
        <f t="shared" si="1"/>
        <v>-0.006508506841</v>
      </c>
      <c r="I261" s="336"/>
      <c r="J261" s="336"/>
      <c r="K261" s="348"/>
      <c r="L261" s="312"/>
      <c r="M261" s="312"/>
      <c r="N261" s="363">
        <v>45772.0</v>
      </c>
      <c r="O261" s="341">
        <v>38.647</v>
      </c>
      <c r="P261" s="341">
        <v>38.647</v>
      </c>
      <c r="Q261" s="341">
        <v>38.647</v>
      </c>
      <c r="R261" s="341">
        <v>38.647</v>
      </c>
      <c r="S261" s="335" t="s">
        <v>238</v>
      </c>
      <c r="T261" s="336">
        <f t="shared" si="2"/>
        <v>-0.00598510674</v>
      </c>
      <c r="U261" s="336"/>
      <c r="V261" s="336"/>
      <c r="W261" s="348"/>
      <c r="X261" s="312"/>
      <c r="Y261" s="312"/>
      <c r="Z261" s="363">
        <v>45772.0</v>
      </c>
      <c r="AA261" s="341">
        <v>2075.426</v>
      </c>
      <c r="AB261" s="341">
        <v>2095.689</v>
      </c>
      <c r="AC261" s="341">
        <v>2075.426</v>
      </c>
      <c r="AD261" s="341">
        <v>2075.426</v>
      </c>
      <c r="AE261" s="335" t="s">
        <v>238</v>
      </c>
      <c r="AF261" s="336">
        <f t="shared" si="3"/>
        <v>-0.009715943771</v>
      </c>
      <c r="AG261" s="336"/>
      <c r="AH261" s="336"/>
      <c r="AI261" s="348"/>
      <c r="AJ261" s="312"/>
      <c r="AK261" s="312"/>
      <c r="AL261" s="353">
        <v>45772.0</v>
      </c>
      <c r="AM261" s="343">
        <v>24.025</v>
      </c>
      <c r="AN261" s="343">
        <v>24.025</v>
      </c>
      <c r="AO261" s="343">
        <v>24.025</v>
      </c>
      <c r="AP261" s="343">
        <v>24.025</v>
      </c>
      <c r="AQ261" s="335" t="s">
        <v>238</v>
      </c>
      <c r="AR261" s="336">
        <f t="shared" si="4"/>
        <v>-0.0005825566077</v>
      </c>
      <c r="AS261" s="336"/>
      <c r="AT261" s="336"/>
      <c r="AU261" s="348"/>
      <c r="AV261" s="312"/>
      <c r="AW261" s="312"/>
      <c r="AX261" s="312"/>
      <c r="AY261" s="312"/>
      <c r="AZ261" s="312"/>
      <c r="BA261" s="312"/>
      <c r="BB261" s="312"/>
      <c r="BC261" s="312"/>
      <c r="BD261" s="316"/>
      <c r="BE261" s="316"/>
      <c r="BF261" s="316"/>
      <c r="BG261" s="316"/>
      <c r="BH261" s="316"/>
      <c r="BI261" s="316"/>
      <c r="BJ261" s="316"/>
      <c r="BK261" s="316"/>
      <c r="BL261" s="316"/>
      <c r="BM261" s="316"/>
      <c r="BN261" s="316"/>
      <c r="BO261" s="316"/>
      <c r="BP261" s="316"/>
      <c r="BQ261" s="316"/>
      <c r="BR261" s="316"/>
      <c r="BS261" s="316"/>
      <c r="BT261" s="316"/>
      <c r="BU261" s="316"/>
      <c r="BV261" s="316"/>
      <c r="BW261" s="316"/>
      <c r="BX261" s="316"/>
      <c r="BY261" s="316"/>
      <c r="BZ261" s="316"/>
      <c r="CA261" s="316"/>
      <c r="CB261" s="316"/>
      <c r="CC261" s="316"/>
      <c r="CD261" s="316"/>
    </row>
    <row r="262" ht="15.75" customHeight="1">
      <c r="A262" s="308"/>
      <c r="B262" s="362">
        <v>45775.0</v>
      </c>
      <c r="C262" s="335">
        <v>87.811</v>
      </c>
      <c r="D262" s="335">
        <v>87.811</v>
      </c>
      <c r="E262" s="335">
        <v>87.811</v>
      </c>
      <c r="F262" s="335">
        <v>87.811</v>
      </c>
      <c r="G262" s="335" t="s">
        <v>238</v>
      </c>
      <c r="H262" s="336">
        <f t="shared" si="1"/>
        <v>0.005916501177</v>
      </c>
      <c r="I262" s="336"/>
      <c r="J262" s="336"/>
      <c r="K262" s="348"/>
      <c r="L262" s="312"/>
      <c r="M262" s="312"/>
      <c r="N262" s="363">
        <v>45775.0</v>
      </c>
      <c r="O262" s="341">
        <v>38.174</v>
      </c>
      <c r="P262" s="341">
        <v>38.174</v>
      </c>
      <c r="Q262" s="341">
        <v>38.174</v>
      </c>
      <c r="R262" s="341">
        <v>38.174</v>
      </c>
      <c r="S262" s="335" t="s">
        <v>238</v>
      </c>
      <c r="T262" s="336">
        <f t="shared" si="2"/>
        <v>-0.01231449675</v>
      </c>
      <c r="U262" s="336"/>
      <c r="V262" s="336"/>
      <c r="W262" s="348"/>
      <c r="X262" s="312"/>
      <c r="Y262" s="312"/>
      <c r="Z262" s="363">
        <v>45775.0</v>
      </c>
      <c r="AA262" s="341">
        <v>2096.152</v>
      </c>
      <c r="AB262" s="341">
        <v>2096.152</v>
      </c>
      <c r="AC262" s="341">
        <v>2096.152</v>
      </c>
      <c r="AD262" s="341">
        <v>2096.152</v>
      </c>
      <c r="AE262" s="335" t="s">
        <v>238</v>
      </c>
      <c r="AF262" s="336">
        <f t="shared" si="3"/>
        <v>0.009936849097</v>
      </c>
      <c r="AG262" s="336"/>
      <c r="AH262" s="336"/>
      <c r="AI262" s="348"/>
      <c r="AJ262" s="312"/>
      <c r="AK262" s="312"/>
      <c r="AL262" s="353">
        <v>45775.0</v>
      </c>
      <c r="AM262" s="343">
        <v>24.029</v>
      </c>
      <c r="AN262" s="343">
        <v>24.029</v>
      </c>
      <c r="AO262" s="343">
        <v>24.029</v>
      </c>
      <c r="AP262" s="343">
        <v>24.029</v>
      </c>
      <c r="AQ262" s="335" t="s">
        <v>238</v>
      </c>
      <c r="AR262" s="336">
        <f t="shared" si="4"/>
        <v>0.0001664793778</v>
      </c>
      <c r="AS262" s="336"/>
      <c r="AT262" s="336"/>
      <c r="AU262" s="348"/>
      <c r="AV262" s="312"/>
      <c r="AW262" s="312"/>
      <c r="AX262" s="312"/>
      <c r="AY262" s="312"/>
      <c r="AZ262" s="312"/>
      <c r="BA262" s="312"/>
      <c r="BB262" s="312"/>
      <c r="BC262" s="312"/>
      <c r="BD262" s="316"/>
      <c r="BE262" s="316"/>
      <c r="BF262" s="316"/>
      <c r="BG262" s="316"/>
      <c r="BH262" s="316"/>
      <c r="BI262" s="316"/>
      <c r="BJ262" s="316"/>
      <c r="BK262" s="316"/>
      <c r="BL262" s="316"/>
      <c r="BM262" s="316"/>
      <c r="BN262" s="316"/>
      <c r="BO262" s="316"/>
      <c r="BP262" s="316"/>
      <c r="BQ262" s="316"/>
      <c r="BR262" s="316"/>
      <c r="BS262" s="316"/>
      <c r="BT262" s="316"/>
      <c r="BU262" s="316"/>
      <c r="BV262" s="316"/>
      <c r="BW262" s="316"/>
      <c r="BX262" s="316"/>
      <c r="BY262" s="316"/>
      <c r="BZ262" s="316"/>
      <c r="CA262" s="316"/>
      <c r="CB262" s="316"/>
      <c r="CC262" s="316"/>
      <c r="CD262" s="316"/>
    </row>
    <row r="263" ht="15.75" customHeight="1">
      <c r="A263" s="308"/>
      <c r="B263" s="362">
        <v>45776.0</v>
      </c>
      <c r="C263" s="335">
        <v>87.52</v>
      </c>
      <c r="D263" s="335">
        <v>87.52</v>
      </c>
      <c r="E263" s="335">
        <v>87.52</v>
      </c>
      <c r="F263" s="335">
        <v>87.52</v>
      </c>
      <c r="G263" s="335" t="s">
        <v>238</v>
      </c>
      <c r="H263" s="336">
        <f t="shared" si="1"/>
        <v>-0.003319438858</v>
      </c>
      <c r="I263" s="336"/>
      <c r="J263" s="336"/>
      <c r="K263" s="348"/>
      <c r="L263" s="312"/>
      <c r="M263" s="312"/>
      <c r="N263" s="363">
        <v>45776.0</v>
      </c>
      <c r="O263" s="341">
        <v>38.652</v>
      </c>
      <c r="P263" s="341">
        <v>38.652</v>
      </c>
      <c r="Q263" s="341">
        <v>38.652</v>
      </c>
      <c r="R263" s="341">
        <v>38.652</v>
      </c>
      <c r="S263" s="335" t="s">
        <v>238</v>
      </c>
      <c r="T263" s="336">
        <f t="shared" si="2"/>
        <v>0.01244386453</v>
      </c>
      <c r="U263" s="336"/>
      <c r="V263" s="336"/>
      <c r="W263" s="348"/>
      <c r="X263" s="312"/>
      <c r="Y263" s="312"/>
      <c r="Z263" s="363">
        <v>45776.0</v>
      </c>
      <c r="AA263" s="341">
        <v>2092.389</v>
      </c>
      <c r="AB263" s="341">
        <v>2092.389</v>
      </c>
      <c r="AC263" s="341">
        <v>2092.389</v>
      </c>
      <c r="AD263" s="341">
        <v>2092.389</v>
      </c>
      <c r="AE263" s="335" t="s">
        <v>238</v>
      </c>
      <c r="AF263" s="336">
        <f t="shared" si="3"/>
        <v>-0.001796807534</v>
      </c>
      <c r="AG263" s="336"/>
      <c r="AH263" s="336"/>
      <c r="AI263" s="348"/>
      <c r="AJ263" s="312"/>
      <c r="AK263" s="312"/>
      <c r="AL263" s="353">
        <v>45776.0</v>
      </c>
      <c r="AM263" s="343">
        <v>24.045</v>
      </c>
      <c r="AN263" s="343">
        <v>24.045</v>
      </c>
      <c r="AO263" s="343">
        <v>24.045</v>
      </c>
      <c r="AP263" s="343">
        <v>24.045</v>
      </c>
      <c r="AQ263" s="335" t="s">
        <v>238</v>
      </c>
      <c r="AR263" s="336">
        <f t="shared" si="4"/>
        <v>0.0006656404955</v>
      </c>
      <c r="AS263" s="336"/>
      <c r="AT263" s="336"/>
      <c r="AU263" s="348"/>
      <c r="AV263" s="312"/>
      <c r="AW263" s="312"/>
      <c r="AX263" s="312"/>
      <c r="AY263" s="312"/>
      <c r="AZ263" s="312"/>
      <c r="BA263" s="312"/>
      <c r="BB263" s="312"/>
      <c r="BC263" s="312"/>
      <c r="BD263" s="316"/>
      <c r="BE263" s="316"/>
      <c r="BF263" s="316"/>
      <c r="BG263" s="316"/>
      <c r="BH263" s="316"/>
      <c r="BI263" s="316"/>
      <c r="BJ263" s="316"/>
      <c r="BK263" s="316"/>
      <c r="BL263" s="316"/>
      <c r="BM263" s="316"/>
      <c r="BN263" s="316"/>
      <c r="BO263" s="316"/>
      <c r="BP263" s="316"/>
      <c r="BQ263" s="316"/>
      <c r="BR263" s="316"/>
      <c r="BS263" s="316"/>
      <c r="BT263" s="316"/>
      <c r="BU263" s="316"/>
      <c r="BV263" s="316"/>
      <c r="BW263" s="316"/>
      <c r="BX263" s="316"/>
      <c r="BY263" s="316"/>
      <c r="BZ263" s="316"/>
      <c r="CA263" s="316"/>
      <c r="CB263" s="316"/>
      <c r="CC263" s="316"/>
      <c r="CD263" s="316"/>
    </row>
    <row r="264" ht="15.75" customHeight="1">
      <c r="A264" s="378"/>
      <c r="B264" s="379">
        <v>45777.0</v>
      </c>
      <c r="C264" s="335">
        <v>87.412</v>
      </c>
      <c r="D264" s="335">
        <v>87.412</v>
      </c>
      <c r="E264" s="335">
        <v>87.412</v>
      </c>
      <c r="F264" s="335">
        <v>87.412</v>
      </c>
      <c r="G264" s="335" t="s">
        <v>238</v>
      </c>
      <c r="H264" s="336">
        <f t="shared" si="1"/>
        <v>-0.001234765666</v>
      </c>
      <c r="I264" s="336"/>
      <c r="J264" s="336"/>
      <c r="K264" s="348"/>
      <c r="L264" s="312"/>
      <c r="M264" s="312"/>
      <c r="N264" s="363">
        <v>45777.0</v>
      </c>
      <c r="O264" s="341">
        <v>38.193</v>
      </c>
      <c r="P264" s="341">
        <v>38.652</v>
      </c>
      <c r="Q264" s="341">
        <v>38.193</v>
      </c>
      <c r="R264" s="341">
        <v>38.193</v>
      </c>
      <c r="S264" s="335" t="s">
        <v>238</v>
      </c>
      <c r="T264" s="336">
        <f t="shared" si="2"/>
        <v>-0.01194626739</v>
      </c>
      <c r="U264" s="336"/>
      <c r="V264" s="336"/>
      <c r="W264" s="348"/>
      <c r="X264" s="312"/>
      <c r="Y264" s="312"/>
      <c r="Z264" s="363">
        <v>45777.0</v>
      </c>
      <c r="AA264" s="341">
        <v>2097.09</v>
      </c>
      <c r="AB264" s="341">
        <v>2097.09</v>
      </c>
      <c r="AC264" s="341">
        <v>2097.09</v>
      </c>
      <c r="AD264" s="341">
        <v>2097.09</v>
      </c>
      <c r="AE264" s="335"/>
      <c r="AF264" s="336">
        <f t="shared" si="3"/>
        <v>0.002244194074</v>
      </c>
      <c r="AG264" s="336"/>
      <c r="AH264" s="336"/>
      <c r="AI264" s="348"/>
      <c r="AJ264" s="312"/>
      <c r="AK264" s="312"/>
      <c r="AL264" s="353">
        <v>45777.0</v>
      </c>
      <c r="AM264" s="343">
        <v>24.07</v>
      </c>
      <c r="AN264" s="343">
        <v>24.07</v>
      </c>
      <c r="AO264" s="343">
        <v>24.045</v>
      </c>
      <c r="AP264" s="343">
        <v>24.07</v>
      </c>
      <c r="AQ264" s="335" t="s">
        <v>238</v>
      </c>
      <c r="AR264" s="336">
        <f t="shared" si="4"/>
        <v>0.001039177065</v>
      </c>
      <c r="AS264" s="336"/>
      <c r="AT264" s="336"/>
      <c r="AU264" s="348"/>
      <c r="AV264" s="312"/>
      <c r="AW264" s="312"/>
      <c r="AX264" s="312"/>
      <c r="AY264" s="312"/>
      <c r="AZ264" s="312"/>
      <c r="BA264" s="312"/>
      <c r="BB264" s="312"/>
      <c r="BC264" s="312"/>
      <c r="BD264" s="316"/>
      <c r="BE264" s="316"/>
      <c r="BF264" s="316"/>
      <c r="BG264" s="316"/>
      <c r="BH264" s="316"/>
      <c r="BI264" s="316"/>
      <c r="BJ264" s="316"/>
      <c r="BK264" s="316"/>
      <c r="BL264" s="316"/>
      <c r="BM264" s="316"/>
      <c r="BN264" s="316"/>
      <c r="BO264" s="316"/>
      <c r="BP264" s="316"/>
      <c r="BQ264" s="316"/>
      <c r="BR264" s="316"/>
      <c r="BS264" s="316"/>
      <c r="BT264" s="316"/>
      <c r="BU264" s="316"/>
      <c r="BV264" s="316"/>
      <c r="BW264" s="316"/>
      <c r="BX264" s="316"/>
      <c r="BY264" s="316"/>
      <c r="BZ264" s="316"/>
      <c r="CA264" s="316"/>
      <c r="CB264" s="316"/>
      <c r="CC264" s="316"/>
      <c r="CD264" s="316"/>
    </row>
    <row r="265" ht="15.75" customHeight="1">
      <c r="A265" s="308"/>
      <c r="B265" s="380"/>
      <c r="C265" s="381"/>
      <c r="D265" s="381"/>
      <c r="E265" s="381"/>
      <c r="F265" s="381"/>
      <c r="G265" s="382"/>
      <c r="H265" s="383"/>
      <c r="I265" s="383"/>
      <c r="J265" s="383"/>
      <c r="K265" s="383"/>
      <c r="L265" s="308"/>
      <c r="M265" s="308"/>
      <c r="N265" s="384"/>
      <c r="O265" s="385"/>
      <c r="P265" s="385"/>
      <c r="Q265" s="385"/>
      <c r="R265" s="385"/>
      <c r="S265" s="386"/>
      <c r="T265" s="386"/>
      <c r="U265" s="386"/>
      <c r="V265" s="386"/>
      <c r="W265" s="386"/>
      <c r="X265" s="308"/>
      <c r="Y265" s="308"/>
      <c r="Z265" s="387"/>
      <c r="AA265" s="387"/>
      <c r="AB265" s="387"/>
      <c r="AC265" s="387"/>
      <c r="AD265" s="387"/>
      <c r="AE265" s="387"/>
      <c r="AF265" s="387"/>
      <c r="AG265" s="386"/>
      <c r="AH265" s="386"/>
      <c r="AI265" s="386"/>
      <c r="AJ265" s="312"/>
      <c r="AK265" s="312"/>
      <c r="AL265" s="386"/>
      <c r="AM265" s="386"/>
      <c r="AN265" s="386"/>
      <c r="AO265" s="386"/>
      <c r="AP265" s="386"/>
      <c r="AQ265" s="386"/>
      <c r="AR265" s="386"/>
      <c r="AS265" s="386"/>
      <c r="AT265" s="386"/>
      <c r="AU265" s="386"/>
      <c r="AV265" s="312"/>
      <c r="AW265" s="312"/>
      <c r="AX265" s="312"/>
      <c r="AY265" s="312"/>
      <c r="AZ265" s="312"/>
      <c r="BA265" s="312"/>
      <c r="BB265" s="312"/>
      <c r="BC265" s="312"/>
      <c r="BD265" s="316"/>
      <c r="BE265" s="316"/>
      <c r="BF265" s="316"/>
      <c r="BG265" s="316"/>
      <c r="BH265" s="316"/>
      <c r="BI265" s="316"/>
      <c r="BJ265" s="316"/>
      <c r="BK265" s="316"/>
      <c r="BL265" s="316"/>
      <c r="BM265" s="316"/>
      <c r="BN265" s="316"/>
      <c r="BO265" s="316"/>
      <c r="BP265" s="316"/>
      <c r="BQ265" s="316"/>
      <c r="BR265" s="316"/>
      <c r="BS265" s="316"/>
      <c r="BT265" s="316"/>
      <c r="BU265" s="316"/>
      <c r="BV265" s="316"/>
      <c r="BW265" s="316"/>
      <c r="BX265" s="316"/>
      <c r="BY265" s="316"/>
      <c r="BZ265" s="316"/>
      <c r="CA265" s="316"/>
      <c r="CB265" s="316"/>
      <c r="CC265" s="316"/>
      <c r="CD265" s="316"/>
    </row>
    <row r="266" ht="15.75" customHeight="1">
      <c r="A266" s="308"/>
      <c r="B266" s="388"/>
      <c r="C266" s="389"/>
      <c r="D266" s="389"/>
      <c r="E266" s="389"/>
      <c r="F266" s="389"/>
      <c r="G266" s="390"/>
      <c r="H266" s="312"/>
      <c r="I266" s="312"/>
      <c r="J266" s="312"/>
      <c r="K266" s="312"/>
      <c r="L266" s="312"/>
      <c r="M266" s="312"/>
      <c r="N266" s="391"/>
      <c r="O266" s="392"/>
      <c r="P266" s="392"/>
      <c r="Q266" s="392"/>
      <c r="R266" s="392"/>
      <c r="S266" s="393"/>
      <c r="T266" s="393"/>
      <c r="U266" s="393"/>
      <c r="V266" s="393"/>
      <c r="W266" s="393"/>
      <c r="X266" s="312"/>
      <c r="Y266" s="312"/>
      <c r="Z266" s="394"/>
      <c r="AA266" s="392"/>
      <c r="AB266" s="392"/>
      <c r="AC266" s="392"/>
      <c r="AD266" s="392"/>
      <c r="AE266" s="335"/>
      <c r="AF266" s="393"/>
      <c r="AG266" s="393"/>
      <c r="AH266" s="393"/>
      <c r="AI266" s="393"/>
      <c r="AJ266" s="312"/>
      <c r="AK266" s="312"/>
      <c r="AL266" s="393"/>
      <c r="AM266" s="393"/>
      <c r="AN266" s="393"/>
      <c r="AO266" s="393"/>
      <c r="AP266" s="393"/>
      <c r="AQ266" s="393"/>
      <c r="AR266" s="393"/>
      <c r="AS266" s="393"/>
      <c r="AT266" s="393"/>
      <c r="AU266" s="393"/>
      <c r="AV266" s="312"/>
      <c r="AW266" s="312"/>
      <c r="AX266" s="312"/>
      <c r="AY266" s="312"/>
      <c r="AZ266" s="312"/>
      <c r="BA266" s="312"/>
      <c r="BB266" s="312"/>
      <c r="BC266" s="312"/>
      <c r="BD266" s="316"/>
      <c r="BE266" s="316"/>
      <c r="BF266" s="316"/>
      <c r="BG266" s="316"/>
      <c r="BH266" s="316"/>
      <c r="BI266" s="316"/>
      <c r="BJ266" s="316"/>
      <c r="BK266" s="316"/>
      <c r="BL266" s="316"/>
      <c r="BM266" s="316"/>
      <c r="BN266" s="316"/>
      <c r="BO266" s="316"/>
      <c r="BP266" s="316"/>
      <c r="BQ266" s="316"/>
      <c r="BR266" s="316"/>
      <c r="BS266" s="316"/>
      <c r="BT266" s="316"/>
      <c r="BU266" s="316"/>
      <c r="BV266" s="316"/>
      <c r="BW266" s="316"/>
      <c r="BX266" s="316"/>
      <c r="BY266" s="316"/>
      <c r="BZ266" s="316"/>
      <c r="CA266" s="316"/>
      <c r="CB266" s="316"/>
      <c r="CC266" s="316"/>
      <c r="CD266" s="316"/>
    </row>
    <row r="267" ht="15.75" customHeight="1">
      <c r="A267" s="308"/>
      <c r="B267" s="388"/>
      <c r="C267" s="389"/>
      <c r="D267" s="389"/>
      <c r="E267" s="389"/>
      <c r="F267" s="389"/>
      <c r="G267" s="390"/>
      <c r="H267" s="312"/>
      <c r="I267" s="312"/>
      <c r="J267" s="312"/>
      <c r="K267" s="312"/>
      <c r="L267" s="312"/>
      <c r="M267" s="312"/>
      <c r="N267" s="391"/>
      <c r="O267" s="392"/>
      <c r="P267" s="392"/>
      <c r="Q267" s="392"/>
      <c r="R267" s="392"/>
      <c r="S267" s="393"/>
      <c r="T267" s="393"/>
      <c r="U267" s="393"/>
      <c r="V267" s="393"/>
      <c r="W267" s="393"/>
      <c r="X267" s="312"/>
      <c r="Y267" s="312"/>
      <c r="Z267" s="394"/>
      <c r="AA267" s="392"/>
      <c r="AB267" s="392"/>
      <c r="AC267" s="392"/>
      <c r="AD267" s="392"/>
      <c r="AE267" s="335"/>
      <c r="AF267" s="393"/>
      <c r="AG267" s="393"/>
      <c r="AH267" s="393"/>
      <c r="AI267" s="393"/>
      <c r="AJ267" s="312"/>
      <c r="AK267" s="312"/>
      <c r="AL267" s="393"/>
      <c r="AM267" s="393"/>
      <c r="AN267" s="393"/>
      <c r="AO267" s="393"/>
      <c r="AP267" s="393"/>
      <c r="AQ267" s="393"/>
      <c r="AR267" s="393"/>
      <c r="AS267" s="393"/>
      <c r="AT267" s="393"/>
      <c r="AU267" s="393"/>
      <c r="AV267" s="312"/>
      <c r="AW267" s="312"/>
      <c r="AX267" s="312"/>
      <c r="AY267" s="312"/>
      <c r="AZ267" s="312"/>
      <c r="BA267" s="312"/>
      <c r="BB267" s="312"/>
      <c r="BC267" s="312"/>
      <c r="BD267" s="316"/>
      <c r="BE267" s="316"/>
      <c r="BF267" s="316"/>
      <c r="BG267" s="316"/>
      <c r="BH267" s="316"/>
      <c r="BI267" s="316"/>
      <c r="BJ267" s="316"/>
      <c r="BK267" s="316"/>
      <c r="BL267" s="316"/>
      <c r="BM267" s="316"/>
      <c r="BN267" s="316"/>
      <c r="BO267" s="316"/>
      <c r="BP267" s="316"/>
      <c r="BQ267" s="316"/>
      <c r="BR267" s="316"/>
      <c r="BS267" s="316"/>
      <c r="BT267" s="316"/>
      <c r="BU267" s="316"/>
      <c r="BV267" s="316"/>
      <c r="BW267" s="316"/>
      <c r="BX267" s="316"/>
      <c r="BY267" s="316"/>
      <c r="BZ267" s="316"/>
      <c r="CA267" s="316"/>
      <c r="CB267" s="316"/>
      <c r="CC267" s="316"/>
      <c r="CD267" s="316"/>
    </row>
    <row r="268" ht="15.75" customHeight="1">
      <c r="A268" s="308"/>
      <c r="B268" s="388"/>
      <c r="C268" s="389"/>
      <c r="D268" s="389"/>
      <c r="E268" s="389"/>
      <c r="F268" s="389"/>
      <c r="G268" s="390"/>
      <c r="H268" s="312"/>
      <c r="I268" s="312"/>
      <c r="J268" s="312"/>
      <c r="K268" s="312"/>
      <c r="L268" s="312"/>
      <c r="M268" s="312"/>
      <c r="N268" s="391"/>
      <c r="O268" s="392"/>
      <c r="P268" s="392"/>
      <c r="Q268" s="392"/>
      <c r="R268" s="392"/>
      <c r="S268" s="393"/>
      <c r="T268" s="393"/>
      <c r="U268" s="393"/>
      <c r="V268" s="393"/>
      <c r="W268" s="393"/>
      <c r="X268" s="312"/>
      <c r="Y268" s="312"/>
      <c r="Z268" s="394"/>
      <c r="AA268" s="392"/>
      <c r="AB268" s="392"/>
      <c r="AC268" s="392"/>
      <c r="AD268" s="392"/>
      <c r="AE268" s="335"/>
      <c r="AF268" s="393"/>
      <c r="AG268" s="393"/>
      <c r="AH268" s="393"/>
      <c r="AI268" s="393"/>
      <c r="AJ268" s="312"/>
      <c r="AK268" s="312"/>
      <c r="AL268" s="393"/>
      <c r="AM268" s="393"/>
      <c r="AN268" s="393"/>
      <c r="AO268" s="393"/>
      <c r="AP268" s="393"/>
      <c r="AQ268" s="393"/>
      <c r="AR268" s="393"/>
      <c r="AS268" s="393"/>
      <c r="AT268" s="393"/>
      <c r="AU268" s="393"/>
      <c r="AV268" s="312"/>
      <c r="AW268" s="312"/>
      <c r="AX268" s="312"/>
      <c r="AY268" s="312"/>
      <c r="AZ268" s="312"/>
      <c r="BA268" s="312"/>
      <c r="BB268" s="312"/>
      <c r="BC268" s="312"/>
      <c r="BD268" s="316"/>
      <c r="BE268" s="316"/>
      <c r="BF268" s="316"/>
      <c r="BG268" s="316"/>
      <c r="BH268" s="316"/>
      <c r="BI268" s="316"/>
      <c r="BJ268" s="316"/>
      <c r="BK268" s="316"/>
      <c r="BL268" s="316"/>
      <c r="BM268" s="316"/>
      <c r="BN268" s="316"/>
      <c r="BO268" s="316"/>
      <c r="BP268" s="316"/>
      <c r="BQ268" s="316"/>
      <c r="BR268" s="316"/>
      <c r="BS268" s="316"/>
      <c r="BT268" s="316"/>
      <c r="BU268" s="316"/>
      <c r="BV268" s="316"/>
      <c r="BW268" s="316"/>
      <c r="BX268" s="316"/>
      <c r="BY268" s="316"/>
      <c r="BZ268" s="316"/>
      <c r="CA268" s="316"/>
      <c r="CB268" s="316"/>
      <c r="CC268" s="316"/>
      <c r="CD268" s="316"/>
    </row>
    <row r="269" ht="15.75" customHeight="1">
      <c r="A269" s="308"/>
      <c r="B269" s="388"/>
      <c r="C269" s="389"/>
      <c r="D269" s="389"/>
      <c r="E269" s="389"/>
      <c r="F269" s="389"/>
      <c r="G269" s="390"/>
      <c r="H269" s="312"/>
      <c r="I269" s="312"/>
      <c r="J269" s="312"/>
      <c r="K269" s="312"/>
      <c r="L269" s="312"/>
      <c r="M269" s="312"/>
      <c r="N269" s="391"/>
      <c r="O269" s="392"/>
      <c r="P269" s="392"/>
      <c r="Q269" s="392"/>
      <c r="R269" s="392"/>
      <c r="S269" s="393"/>
      <c r="T269" s="393"/>
      <c r="U269" s="393"/>
      <c r="V269" s="393"/>
      <c r="W269" s="393"/>
      <c r="X269" s="312"/>
      <c r="Y269" s="312"/>
      <c r="Z269" s="394"/>
      <c r="AA269" s="392"/>
      <c r="AB269" s="392"/>
      <c r="AC269" s="392"/>
      <c r="AD269" s="392"/>
      <c r="AE269" s="335"/>
      <c r="AF269" s="393"/>
      <c r="AG269" s="393"/>
      <c r="AH269" s="393"/>
      <c r="AI269" s="393"/>
      <c r="AJ269" s="312"/>
      <c r="AK269" s="312"/>
      <c r="AL269" s="393"/>
      <c r="AM269" s="393"/>
      <c r="AN269" s="393"/>
      <c r="AO269" s="393"/>
      <c r="AP269" s="393"/>
      <c r="AQ269" s="393"/>
      <c r="AR269" s="393"/>
      <c r="AS269" s="393"/>
      <c r="AT269" s="393"/>
      <c r="AU269" s="393"/>
      <c r="AV269" s="312"/>
      <c r="AW269" s="312"/>
      <c r="AX269" s="312"/>
      <c r="AY269" s="312"/>
      <c r="AZ269" s="312"/>
      <c r="BA269" s="312"/>
      <c r="BB269" s="312"/>
      <c r="BC269" s="312"/>
      <c r="BD269" s="316"/>
      <c r="BE269" s="316"/>
      <c r="BF269" s="316"/>
      <c r="BG269" s="316"/>
      <c r="BH269" s="316"/>
      <c r="BI269" s="316"/>
      <c r="BJ269" s="316"/>
      <c r="BK269" s="316"/>
      <c r="BL269" s="316"/>
      <c r="BM269" s="316"/>
      <c r="BN269" s="316"/>
      <c r="BO269" s="316"/>
      <c r="BP269" s="316"/>
      <c r="BQ269" s="316"/>
      <c r="BR269" s="316"/>
      <c r="BS269" s="316"/>
      <c r="BT269" s="316"/>
      <c r="BU269" s="316"/>
      <c r="BV269" s="316"/>
      <c r="BW269" s="316"/>
      <c r="BX269" s="316"/>
      <c r="BY269" s="316"/>
      <c r="BZ269" s="316"/>
      <c r="CA269" s="316"/>
      <c r="CB269" s="316"/>
      <c r="CC269" s="316"/>
      <c r="CD269" s="316"/>
    </row>
    <row r="270" ht="15.75" customHeight="1">
      <c r="A270" s="308"/>
      <c r="B270" s="388"/>
      <c r="C270" s="389"/>
      <c r="D270" s="389"/>
      <c r="E270" s="389"/>
      <c r="F270" s="389"/>
      <c r="G270" s="390"/>
      <c r="H270" s="312"/>
      <c r="I270" s="312"/>
      <c r="J270" s="312"/>
      <c r="K270" s="312"/>
      <c r="L270" s="312"/>
      <c r="M270" s="312"/>
      <c r="N270" s="391"/>
      <c r="O270" s="392"/>
      <c r="P270" s="392"/>
      <c r="Q270" s="392"/>
      <c r="R270" s="392"/>
      <c r="S270" s="393"/>
      <c r="T270" s="393"/>
      <c r="U270" s="393"/>
      <c r="V270" s="393"/>
      <c r="W270" s="393"/>
      <c r="X270" s="312"/>
      <c r="Y270" s="312"/>
      <c r="Z270" s="394"/>
      <c r="AA270" s="392"/>
      <c r="AB270" s="392"/>
      <c r="AC270" s="392"/>
      <c r="AD270" s="392"/>
      <c r="AE270" s="335"/>
      <c r="AF270" s="393"/>
      <c r="AG270" s="393"/>
      <c r="AH270" s="393"/>
      <c r="AI270" s="393"/>
      <c r="AJ270" s="312"/>
      <c r="AK270" s="312"/>
      <c r="AL270" s="393"/>
      <c r="AM270" s="393"/>
      <c r="AN270" s="393"/>
      <c r="AO270" s="393"/>
      <c r="AP270" s="393"/>
      <c r="AQ270" s="393"/>
      <c r="AR270" s="393"/>
      <c r="AS270" s="393"/>
      <c r="AT270" s="393"/>
      <c r="AU270" s="393"/>
      <c r="AV270" s="312"/>
      <c r="AW270" s="312"/>
      <c r="AX270" s="312"/>
      <c r="AY270" s="312"/>
      <c r="AZ270" s="312"/>
      <c r="BA270" s="312"/>
      <c r="BB270" s="312"/>
      <c r="BC270" s="312"/>
      <c r="BD270" s="316"/>
      <c r="BE270" s="316"/>
      <c r="BF270" s="316"/>
      <c r="BG270" s="316"/>
      <c r="BH270" s="316"/>
      <c r="BI270" s="316"/>
      <c r="BJ270" s="316"/>
      <c r="BK270" s="316"/>
      <c r="BL270" s="316"/>
      <c r="BM270" s="316"/>
      <c r="BN270" s="316"/>
      <c r="BO270" s="316"/>
      <c r="BP270" s="316"/>
      <c r="BQ270" s="316"/>
      <c r="BR270" s="316"/>
      <c r="BS270" s="316"/>
      <c r="BT270" s="316"/>
      <c r="BU270" s="316"/>
      <c r="BV270" s="316"/>
      <c r="BW270" s="316"/>
      <c r="BX270" s="316"/>
      <c r="BY270" s="316"/>
      <c r="BZ270" s="316"/>
      <c r="CA270" s="316"/>
      <c r="CB270" s="316"/>
      <c r="CC270" s="316"/>
      <c r="CD270" s="316"/>
    </row>
    <row r="271" ht="15.75" customHeight="1">
      <c r="A271" s="308"/>
      <c r="B271" s="388"/>
      <c r="C271" s="389"/>
      <c r="D271" s="389"/>
      <c r="E271" s="389"/>
      <c r="F271" s="389"/>
      <c r="G271" s="390"/>
      <c r="H271" s="308"/>
      <c r="I271" s="308"/>
      <c r="J271" s="308"/>
      <c r="K271" s="308"/>
      <c r="L271" s="312"/>
      <c r="M271" s="312"/>
      <c r="N271" s="391"/>
      <c r="O271" s="392"/>
      <c r="P271" s="392"/>
      <c r="Q271" s="392"/>
      <c r="R271" s="392"/>
      <c r="S271" s="393"/>
      <c r="T271" s="393"/>
      <c r="U271" s="393"/>
      <c r="V271" s="393"/>
      <c r="W271" s="393"/>
      <c r="X271" s="312"/>
      <c r="Y271" s="312"/>
      <c r="Z271" s="336"/>
      <c r="AA271" s="336"/>
      <c r="AB271" s="336"/>
      <c r="AC271" s="336"/>
      <c r="AD271" s="336"/>
      <c r="AE271" s="336"/>
      <c r="AF271" s="336"/>
      <c r="AG271" s="336"/>
      <c r="AH271" s="336"/>
      <c r="AI271" s="336"/>
      <c r="AJ271" s="312"/>
      <c r="AK271" s="312"/>
      <c r="AL271" s="393"/>
      <c r="AM271" s="393"/>
      <c r="AN271" s="393"/>
      <c r="AO271" s="393"/>
      <c r="AP271" s="393"/>
      <c r="AQ271" s="393"/>
      <c r="AR271" s="393"/>
      <c r="AS271" s="393"/>
      <c r="AT271" s="393"/>
      <c r="AU271" s="393"/>
      <c r="AV271" s="312"/>
      <c r="AW271" s="312"/>
      <c r="AX271" s="312"/>
      <c r="AY271" s="312"/>
      <c r="AZ271" s="312"/>
      <c r="BA271" s="312"/>
      <c r="BB271" s="312"/>
      <c r="BC271" s="312"/>
      <c r="BD271" s="316"/>
      <c r="BE271" s="316"/>
      <c r="BF271" s="316"/>
      <c r="BG271" s="316"/>
      <c r="BH271" s="316"/>
      <c r="BI271" s="316"/>
      <c r="BJ271" s="316"/>
      <c r="BK271" s="316"/>
      <c r="BL271" s="316"/>
      <c r="BM271" s="316"/>
      <c r="BN271" s="316"/>
      <c r="BO271" s="316"/>
      <c r="BP271" s="316"/>
      <c r="BQ271" s="316"/>
      <c r="BR271" s="316"/>
      <c r="BS271" s="316"/>
      <c r="BT271" s="316"/>
      <c r="BU271" s="316"/>
      <c r="BV271" s="316"/>
      <c r="BW271" s="316"/>
      <c r="BX271" s="316"/>
      <c r="BY271" s="316"/>
      <c r="BZ271" s="316"/>
      <c r="CA271" s="316"/>
      <c r="CB271" s="316"/>
      <c r="CC271" s="316"/>
      <c r="CD271" s="316"/>
    </row>
    <row r="272" ht="15.75" customHeight="1">
      <c r="A272" s="308"/>
      <c r="B272" s="312"/>
      <c r="C272" s="312"/>
      <c r="D272" s="312"/>
      <c r="E272" s="312"/>
      <c r="F272" s="312"/>
      <c r="G272" s="312"/>
      <c r="H272" s="327"/>
      <c r="I272" s="312"/>
      <c r="J272" s="312"/>
      <c r="K272" s="312"/>
      <c r="L272" s="312"/>
      <c r="M272" s="312"/>
      <c r="N272" s="391"/>
      <c r="O272" s="392"/>
      <c r="P272" s="392"/>
      <c r="Q272" s="392"/>
      <c r="R272" s="392"/>
      <c r="S272" s="393"/>
      <c r="T272" s="393"/>
      <c r="U272" s="393"/>
      <c r="V272" s="393"/>
      <c r="W272" s="393"/>
      <c r="X272" s="312"/>
      <c r="Y272" s="312"/>
      <c r="AV272" s="312"/>
      <c r="AW272" s="312"/>
      <c r="AX272" s="312"/>
      <c r="AY272" s="312"/>
      <c r="AZ272" s="312"/>
      <c r="BA272" s="312"/>
      <c r="BB272" s="312"/>
      <c r="BC272" s="312"/>
      <c r="BD272" s="316"/>
      <c r="BE272" s="316"/>
      <c r="BF272" s="316"/>
      <c r="BG272" s="316"/>
      <c r="BH272" s="316"/>
      <c r="BI272" s="316"/>
      <c r="BJ272" s="316"/>
      <c r="BK272" s="316"/>
      <c r="BL272" s="316"/>
      <c r="BM272" s="316"/>
      <c r="BN272" s="316"/>
      <c r="BO272" s="316"/>
      <c r="BP272" s="316"/>
      <c r="BQ272" s="316"/>
      <c r="BR272" s="316"/>
      <c r="BS272" s="316"/>
      <c r="BT272" s="316"/>
      <c r="BU272" s="316"/>
      <c r="BV272" s="316"/>
      <c r="BW272" s="316"/>
      <c r="BX272" s="316"/>
      <c r="BY272" s="316"/>
      <c r="BZ272" s="316"/>
      <c r="CA272" s="316"/>
      <c r="CB272" s="316"/>
      <c r="CC272" s="316"/>
      <c r="CD272" s="316"/>
    </row>
    <row r="273" ht="15.75" customHeight="1">
      <c r="A273" s="308"/>
      <c r="B273" s="312"/>
      <c r="C273" s="312"/>
      <c r="D273" s="312"/>
      <c r="E273" s="312"/>
      <c r="F273" s="312"/>
      <c r="G273" s="312"/>
      <c r="H273" s="312"/>
      <c r="I273" s="312"/>
      <c r="J273" s="312"/>
      <c r="K273" s="312"/>
      <c r="L273" s="312"/>
      <c r="M273" s="312"/>
      <c r="N273" s="394"/>
      <c r="O273" s="392"/>
      <c r="P273" s="392"/>
      <c r="Q273" s="392"/>
      <c r="R273" s="392"/>
      <c r="S273" s="393"/>
      <c r="T273" s="393"/>
      <c r="U273" s="393"/>
      <c r="V273" s="393"/>
      <c r="W273" s="393"/>
      <c r="X273" s="312"/>
      <c r="Y273" s="312"/>
      <c r="Z273" s="312"/>
      <c r="AA273" s="312"/>
      <c r="AB273" s="312"/>
      <c r="AC273" s="312"/>
      <c r="AD273" s="312"/>
      <c r="AE273" s="312"/>
      <c r="AF273" s="312"/>
      <c r="AG273" s="312"/>
      <c r="AH273" s="312"/>
      <c r="AI273" s="312"/>
      <c r="AJ273" s="312"/>
      <c r="AK273" s="312"/>
      <c r="AL273" s="312"/>
      <c r="AM273" s="312"/>
      <c r="AN273" s="312"/>
      <c r="AO273" s="312"/>
      <c r="AP273" s="312"/>
      <c r="AQ273" s="312"/>
      <c r="AR273" s="312"/>
      <c r="AS273" s="312"/>
      <c r="AT273" s="312"/>
      <c r="AU273" s="312"/>
      <c r="AV273" s="312"/>
      <c r="AW273" s="312"/>
      <c r="AX273" s="312"/>
      <c r="AY273" s="312"/>
      <c r="AZ273" s="312"/>
      <c r="BA273" s="312"/>
      <c r="BB273" s="312"/>
      <c r="BC273" s="312"/>
      <c r="BD273" s="316"/>
      <c r="BE273" s="316"/>
      <c r="BF273" s="316"/>
      <c r="BG273" s="316"/>
      <c r="BH273" s="316"/>
      <c r="BI273" s="316"/>
      <c r="BJ273" s="316"/>
      <c r="BK273" s="316"/>
      <c r="BL273" s="316"/>
      <c r="BM273" s="316"/>
      <c r="BN273" s="316"/>
      <c r="BO273" s="316"/>
      <c r="BP273" s="316"/>
      <c r="BQ273" s="316"/>
      <c r="BR273" s="316"/>
      <c r="BS273" s="316"/>
      <c r="BT273" s="316"/>
      <c r="BU273" s="316"/>
      <c r="BV273" s="316"/>
      <c r="BW273" s="316"/>
      <c r="BX273" s="316"/>
      <c r="BY273" s="316"/>
      <c r="BZ273" s="316"/>
      <c r="CA273" s="316"/>
      <c r="CB273" s="316"/>
      <c r="CC273" s="316"/>
      <c r="CD273" s="316"/>
    </row>
    <row r="274" ht="15.75" customHeight="1">
      <c r="A274" s="308"/>
      <c r="N274" s="394"/>
      <c r="O274" s="392"/>
      <c r="P274" s="392"/>
      <c r="Q274" s="392"/>
      <c r="R274" s="392"/>
      <c r="S274" s="393"/>
      <c r="T274" s="393"/>
      <c r="U274" s="393"/>
      <c r="V274" s="393"/>
      <c r="W274" s="393"/>
      <c r="BL274" s="316"/>
      <c r="BM274" s="316"/>
      <c r="BN274" s="316"/>
      <c r="BO274" s="316"/>
      <c r="BP274" s="316"/>
      <c r="BQ274" s="316"/>
      <c r="BR274" s="316"/>
      <c r="BS274" s="316"/>
      <c r="BT274" s="316"/>
      <c r="BU274" s="316"/>
      <c r="BV274" s="316"/>
      <c r="BW274" s="316"/>
      <c r="BX274" s="316"/>
      <c r="BY274" s="316"/>
      <c r="BZ274" s="316"/>
      <c r="CA274" s="316"/>
      <c r="CB274" s="316"/>
      <c r="CC274" s="316"/>
      <c r="CD274" s="316"/>
    </row>
    <row r="275" ht="15.75" customHeight="1">
      <c r="A275" s="308"/>
      <c r="N275" s="394"/>
      <c r="O275" s="392"/>
      <c r="P275" s="392"/>
      <c r="Q275" s="392"/>
      <c r="R275" s="392"/>
      <c r="S275" s="393"/>
      <c r="T275" s="393"/>
      <c r="U275" s="393"/>
      <c r="V275" s="393"/>
      <c r="W275" s="393"/>
      <c r="BL275" s="316"/>
      <c r="BM275" s="316"/>
      <c r="BN275" s="316"/>
      <c r="BO275" s="316"/>
      <c r="BP275" s="316"/>
      <c r="BQ275" s="316"/>
      <c r="BR275" s="316"/>
      <c r="BS275" s="316"/>
      <c r="BT275" s="316"/>
      <c r="BU275" s="316"/>
      <c r="BV275" s="316"/>
      <c r="BW275" s="316"/>
      <c r="BX275" s="316"/>
      <c r="BY275" s="316"/>
      <c r="BZ275" s="316"/>
      <c r="CA275" s="316"/>
      <c r="CB275" s="316"/>
      <c r="CC275" s="316"/>
      <c r="CD275" s="316"/>
    </row>
    <row r="276" ht="15.75" customHeight="1">
      <c r="A276" s="308"/>
      <c r="N276" s="394"/>
      <c r="O276" s="392"/>
      <c r="P276" s="392"/>
      <c r="Q276" s="392"/>
      <c r="R276" s="392"/>
      <c r="S276" s="393"/>
      <c r="T276" s="393"/>
      <c r="U276" s="393"/>
      <c r="V276" s="393"/>
      <c r="W276" s="393"/>
      <c r="BL276" s="316"/>
      <c r="BM276" s="316"/>
      <c r="BN276" s="316"/>
      <c r="BO276" s="316"/>
      <c r="BP276" s="316"/>
      <c r="BQ276" s="316"/>
      <c r="BR276" s="316"/>
      <c r="BS276" s="316"/>
      <c r="BT276" s="316"/>
      <c r="BU276" s="316"/>
      <c r="BV276" s="316"/>
      <c r="BW276" s="316"/>
      <c r="BX276" s="316"/>
      <c r="BY276" s="316"/>
      <c r="BZ276" s="316"/>
      <c r="CA276" s="316"/>
      <c r="CB276" s="316"/>
      <c r="CC276" s="316"/>
      <c r="CD276" s="316"/>
    </row>
    <row r="277" ht="15.75" customHeight="1">
      <c r="A277" s="308"/>
      <c r="N277" s="394"/>
      <c r="O277" s="392"/>
      <c r="P277" s="392"/>
      <c r="Q277" s="392"/>
      <c r="R277" s="392"/>
      <c r="S277" s="393"/>
      <c r="T277" s="393"/>
      <c r="U277" s="393"/>
      <c r="V277" s="393"/>
      <c r="W277" s="393"/>
      <c r="BL277" s="316"/>
      <c r="BM277" s="316"/>
      <c r="BN277" s="316"/>
      <c r="BO277" s="316"/>
      <c r="BP277" s="316"/>
      <c r="BQ277" s="316"/>
      <c r="BR277" s="316"/>
      <c r="BS277" s="316"/>
      <c r="BT277" s="316"/>
      <c r="BU277" s="316"/>
      <c r="BV277" s="316"/>
      <c r="BW277" s="316"/>
      <c r="BX277" s="316"/>
      <c r="BY277" s="316"/>
      <c r="BZ277" s="316"/>
      <c r="CA277" s="316"/>
      <c r="CB277" s="316"/>
      <c r="CC277" s="316"/>
      <c r="CD277" s="316"/>
    </row>
    <row r="278" ht="15.75" customHeight="1">
      <c r="A278" s="308"/>
      <c r="N278" s="394"/>
      <c r="O278" s="392"/>
      <c r="P278" s="392"/>
      <c r="Q278" s="392"/>
      <c r="R278" s="392"/>
      <c r="S278" s="393"/>
      <c r="T278" s="393"/>
      <c r="U278" s="393"/>
      <c r="V278" s="393"/>
      <c r="W278" s="393"/>
      <c r="BL278" s="316"/>
      <c r="BM278" s="316"/>
      <c r="BN278" s="316"/>
      <c r="BO278" s="316"/>
      <c r="BP278" s="316"/>
      <c r="BQ278" s="316"/>
      <c r="BR278" s="316"/>
      <c r="BS278" s="316"/>
      <c r="BT278" s="316"/>
      <c r="BU278" s="316"/>
      <c r="BV278" s="316"/>
      <c r="BW278" s="316"/>
      <c r="BX278" s="316"/>
      <c r="BY278" s="316"/>
      <c r="BZ278" s="316"/>
      <c r="CA278" s="316"/>
      <c r="CB278" s="316"/>
      <c r="CC278" s="316"/>
      <c r="CD278" s="316"/>
    </row>
    <row r="279" ht="15.75" customHeight="1">
      <c r="A279" s="308"/>
      <c r="N279" s="394"/>
      <c r="O279" s="392"/>
      <c r="P279" s="392"/>
      <c r="Q279" s="392"/>
      <c r="R279" s="392"/>
      <c r="S279" s="393"/>
      <c r="T279" s="393"/>
      <c r="U279" s="393"/>
      <c r="V279" s="393"/>
      <c r="W279" s="393"/>
      <c r="BL279" s="316"/>
      <c r="BM279" s="316"/>
      <c r="BN279" s="316"/>
      <c r="BO279" s="316"/>
      <c r="BP279" s="316"/>
      <c r="BQ279" s="316"/>
      <c r="BR279" s="316"/>
      <c r="BS279" s="316"/>
      <c r="BT279" s="316"/>
      <c r="BU279" s="316"/>
      <c r="BV279" s="316"/>
      <c r="BW279" s="316"/>
      <c r="BX279" s="316"/>
      <c r="BY279" s="316"/>
      <c r="BZ279" s="316"/>
      <c r="CA279" s="316"/>
      <c r="CB279" s="316"/>
      <c r="CC279" s="316"/>
      <c r="CD279" s="316"/>
    </row>
    <row r="280" ht="15.75" customHeight="1">
      <c r="A280" s="308"/>
      <c r="N280" s="394"/>
      <c r="O280" s="392"/>
      <c r="P280" s="392"/>
      <c r="Q280" s="392"/>
      <c r="R280" s="392"/>
      <c r="S280" s="393"/>
      <c r="T280" s="393"/>
      <c r="U280" s="393"/>
      <c r="V280" s="393"/>
      <c r="W280" s="393"/>
      <c r="BL280" s="316"/>
      <c r="BM280" s="316"/>
      <c r="BN280" s="316"/>
      <c r="BO280" s="316"/>
      <c r="BP280" s="316"/>
      <c r="BQ280" s="316"/>
      <c r="BR280" s="316"/>
      <c r="BS280" s="316"/>
      <c r="BT280" s="316"/>
      <c r="BU280" s="316"/>
      <c r="BV280" s="316"/>
      <c r="BW280" s="316"/>
      <c r="BX280" s="316"/>
      <c r="BY280" s="316"/>
      <c r="BZ280" s="316"/>
      <c r="CA280" s="316"/>
      <c r="CB280" s="316"/>
      <c r="CC280" s="316"/>
      <c r="CD280" s="316"/>
    </row>
    <row r="281" ht="15.75" customHeight="1">
      <c r="A281" s="308"/>
      <c r="N281" s="394"/>
      <c r="O281" s="392"/>
      <c r="P281" s="392"/>
      <c r="Q281" s="392"/>
      <c r="R281" s="392"/>
      <c r="S281" s="393"/>
      <c r="T281" s="393"/>
      <c r="U281" s="393"/>
      <c r="V281" s="393"/>
      <c r="W281" s="393"/>
      <c r="BL281" s="316"/>
      <c r="BM281" s="316"/>
      <c r="BN281" s="316"/>
      <c r="BO281" s="316"/>
      <c r="BP281" s="316"/>
      <c r="BQ281" s="316"/>
      <c r="BR281" s="316"/>
      <c r="BS281" s="316"/>
      <c r="BT281" s="316"/>
      <c r="BU281" s="316"/>
      <c r="BV281" s="316"/>
      <c r="BW281" s="316"/>
      <c r="BX281" s="316"/>
      <c r="BY281" s="316"/>
      <c r="BZ281" s="316"/>
      <c r="CA281" s="316"/>
      <c r="CB281" s="316"/>
      <c r="CC281" s="316"/>
      <c r="CD281" s="316"/>
    </row>
    <row r="282" ht="15.75" customHeight="1">
      <c r="A282" s="308"/>
      <c r="N282" s="394"/>
      <c r="O282" s="392"/>
      <c r="P282" s="392"/>
      <c r="Q282" s="392"/>
      <c r="R282" s="392"/>
      <c r="S282" s="393"/>
      <c r="T282" s="393"/>
      <c r="U282" s="393"/>
      <c r="V282" s="393"/>
      <c r="W282" s="393"/>
      <c r="BL282" s="316"/>
      <c r="BM282" s="316"/>
      <c r="BN282" s="316"/>
      <c r="BO282" s="316"/>
      <c r="BP282" s="316"/>
      <c r="BQ282" s="316"/>
      <c r="BR282" s="316"/>
      <c r="BS282" s="316"/>
      <c r="BT282" s="316"/>
      <c r="BU282" s="316"/>
      <c r="BV282" s="316"/>
      <c r="BW282" s="316"/>
      <c r="BX282" s="316"/>
      <c r="BY282" s="316"/>
      <c r="BZ282" s="316"/>
      <c r="CA282" s="316"/>
      <c r="CB282" s="316"/>
      <c r="CC282" s="316"/>
      <c r="CD282" s="316"/>
    </row>
    <row r="283" ht="15.75" customHeight="1">
      <c r="A283" s="308"/>
      <c r="N283" s="394"/>
      <c r="O283" s="392"/>
      <c r="P283" s="392"/>
      <c r="Q283" s="392"/>
      <c r="R283" s="392"/>
      <c r="S283" s="393"/>
      <c r="T283" s="393"/>
      <c r="U283" s="393"/>
      <c r="V283" s="393"/>
      <c r="W283" s="393"/>
      <c r="BL283" s="316"/>
      <c r="BM283" s="316"/>
      <c r="BN283" s="316"/>
      <c r="BO283" s="316"/>
      <c r="BP283" s="316"/>
      <c r="BQ283" s="316"/>
      <c r="BR283" s="316"/>
      <c r="BS283" s="316"/>
      <c r="BT283" s="316"/>
      <c r="BU283" s="316"/>
      <c r="BV283" s="316"/>
      <c r="BW283" s="316"/>
      <c r="BX283" s="316"/>
      <c r="BY283" s="316"/>
      <c r="BZ283" s="316"/>
      <c r="CA283" s="316"/>
      <c r="CB283" s="316"/>
      <c r="CC283" s="316"/>
      <c r="CD283" s="316"/>
    </row>
    <row r="284" ht="15.75" customHeight="1">
      <c r="A284" s="308"/>
      <c r="N284" s="394"/>
      <c r="O284" s="392"/>
      <c r="P284" s="392"/>
      <c r="Q284" s="392"/>
      <c r="R284" s="392"/>
      <c r="S284" s="393"/>
      <c r="T284" s="393"/>
      <c r="U284" s="393"/>
      <c r="V284" s="393"/>
      <c r="W284" s="393"/>
      <c r="BL284" s="316"/>
      <c r="BM284" s="316"/>
      <c r="BN284" s="316"/>
      <c r="BO284" s="316"/>
      <c r="BP284" s="316"/>
      <c r="BQ284" s="316"/>
      <c r="BR284" s="316"/>
      <c r="BS284" s="316"/>
      <c r="BT284" s="316"/>
      <c r="BU284" s="316"/>
      <c r="BV284" s="316"/>
      <c r="BW284" s="316"/>
      <c r="BX284" s="316"/>
      <c r="BY284" s="316"/>
      <c r="BZ284" s="316"/>
      <c r="CA284" s="316"/>
      <c r="CB284" s="316"/>
      <c r="CC284" s="316"/>
      <c r="CD284" s="316"/>
    </row>
    <row r="285" ht="15.75" customHeight="1">
      <c r="A285" s="308"/>
      <c r="N285" s="395"/>
      <c r="O285" s="395"/>
      <c r="P285" s="395"/>
      <c r="Q285" s="395"/>
      <c r="R285" s="395"/>
      <c r="S285" s="395"/>
      <c r="T285" s="395"/>
      <c r="U285" s="393"/>
      <c r="V285" s="393"/>
      <c r="W285" s="393"/>
      <c r="BL285" s="316"/>
      <c r="BM285" s="316"/>
      <c r="BN285" s="316"/>
      <c r="BO285" s="316"/>
      <c r="BP285" s="316"/>
      <c r="BQ285" s="316"/>
      <c r="BR285" s="316"/>
      <c r="BS285" s="316"/>
      <c r="BT285" s="316"/>
      <c r="BU285" s="316"/>
      <c r="BV285" s="316"/>
      <c r="BW285" s="316"/>
      <c r="BX285" s="316"/>
      <c r="BY285" s="316"/>
      <c r="BZ285" s="316"/>
      <c r="CA285" s="316"/>
      <c r="CB285" s="316"/>
      <c r="CC285" s="316"/>
      <c r="CD285" s="316"/>
    </row>
    <row r="286" ht="15.75" customHeight="1">
      <c r="A286" s="308"/>
      <c r="N286" s="32"/>
      <c r="O286" s="32"/>
      <c r="P286" s="32"/>
      <c r="Q286" s="32"/>
      <c r="R286" s="32"/>
      <c r="S286" s="32"/>
      <c r="T286" s="32"/>
      <c r="U286" s="32"/>
      <c r="V286" s="32"/>
      <c r="W286" s="32"/>
      <c r="BL286" s="316"/>
      <c r="BM286" s="316"/>
      <c r="BN286" s="316"/>
      <c r="BO286" s="316"/>
      <c r="BP286" s="316"/>
      <c r="BQ286" s="316"/>
      <c r="BR286" s="316"/>
      <c r="BS286" s="316"/>
      <c r="BT286" s="316"/>
      <c r="BU286" s="316"/>
      <c r="BV286" s="316"/>
      <c r="BW286" s="316"/>
      <c r="BX286" s="316"/>
      <c r="BY286" s="316"/>
      <c r="BZ286" s="316"/>
      <c r="CA286" s="316"/>
      <c r="CB286" s="316"/>
      <c r="CC286" s="316"/>
      <c r="CD286" s="316"/>
    </row>
    <row r="287" ht="15.75" customHeight="1">
      <c r="A287" s="308"/>
      <c r="N287" s="32"/>
      <c r="O287" s="32"/>
      <c r="P287" s="32"/>
      <c r="Q287" s="32"/>
      <c r="R287" s="32"/>
      <c r="S287" s="32"/>
      <c r="T287" s="32"/>
      <c r="U287" s="32"/>
      <c r="V287" s="32"/>
      <c r="W287" s="32"/>
      <c r="BL287" s="316"/>
      <c r="BM287" s="316"/>
      <c r="BN287" s="316"/>
      <c r="BO287" s="316"/>
      <c r="BP287" s="316"/>
      <c r="BQ287" s="316"/>
      <c r="BR287" s="316"/>
      <c r="BS287" s="316"/>
      <c r="BT287" s="316"/>
      <c r="BU287" s="316"/>
      <c r="BV287" s="316"/>
      <c r="BW287" s="316"/>
      <c r="BX287" s="316"/>
      <c r="BY287" s="316"/>
      <c r="BZ287" s="316"/>
      <c r="CA287" s="316"/>
      <c r="CB287" s="316"/>
      <c r="CC287" s="316"/>
      <c r="CD287" s="316"/>
    </row>
    <row r="288" ht="15.75" customHeight="1">
      <c r="A288" s="308"/>
      <c r="BL288" s="316"/>
      <c r="BM288" s="316"/>
      <c r="BN288" s="316"/>
      <c r="BO288" s="316"/>
      <c r="BP288" s="316"/>
      <c r="BQ288" s="316"/>
      <c r="BR288" s="316"/>
      <c r="BS288" s="316"/>
      <c r="BT288" s="316"/>
      <c r="BU288" s="316"/>
      <c r="BV288" s="316"/>
      <c r="BW288" s="316"/>
      <c r="BX288" s="316"/>
      <c r="BY288" s="316"/>
      <c r="BZ288" s="316"/>
      <c r="CA288" s="316"/>
      <c r="CB288" s="316"/>
      <c r="CC288" s="316"/>
      <c r="CD288" s="316"/>
    </row>
    <row r="289" ht="15.75" customHeight="1">
      <c r="A289" s="308"/>
      <c r="BL289" s="316"/>
      <c r="BM289" s="316"/>
      <c r="BN289" s="316"/>
      <c r="BO289" s="316"/>
      <c r="BP289" s="316"/>
      <c r="BQ289" s="316"/>
      <c r="BR289" s="316"/>
      <c r="BS289" s="316"/>
      <c r="BT289" s="316"/>
      <c r="BU289" s="316"/>
      <c r="BV289" s="316"/>
      <c r="BW289" s="316"/>
      <c r="BX289" s="316"/>
      <c r="BY289" s="316"/>
      <c r="BZ289" s="316"/>
      <c r="CA289" s="316"/>
      <c r="CB289" s="316"/>
      <c r="CC289" s="316"/>
      <c r="CD289" s="316"/>
    </row>
    <row r="290" ht="15.75" customHeight="1">
      <c r="A290" s="308"/>
      <c r="BL290" s="316"/>
      <c r="BM290" s="316"/>
      <c r="BN290" s="316"/>
      <c r="BO290" s="316"/>
      <c r="BP290" s="316"/>
      <c r="BQ290" s="316"/>
      <c r="BR290" s="316"/>
      <c r="BS290" s="316"/>
      <c r="BT290" s="316"/>
      <c r="BU290" s="316"/>
      <c r="BV290" s="316"/>
      <c r="BW290" s="316"/>
      <c r="BX290" s="316"/>
      <c r="BY290" s="316"/>
      <c r="BZ290" s="316"/>
      <c r="CA290" s="316"/>
      <c r="CB290" s="316"/>
      <c r="CC290" s="316"/>
      <c r="CD290" s="316"/>
    </row>
    <row r="291" ht="15.75" customHeight="1">
      <c r="A291" s="308"/>
      <c r="BL291" s="316"/>
      <c r="BM291" s="316"/>
      <c r="BN291" s="316"/>
      <c r="BO291" s="316"/>
      <c r="BP291" s="316"/>
      <c r="BQ291" s="316"/>
      <c r="BR291" s="316"/>
      <c r="BS291" s="316"/>
      <c r="BT291" s="316"/>
      <c r="BU291" s="316"/>
      <c r="BV291" s="316"/>
      <c r="BW291" s="316"/>
      <c r="BX291" s="316"/>
      <c r="BY291" s="316"/>
      <c r="BZ291" s="316"/>
      <c r="CA291" s="316"/>
      <c r="CB291" s="316"/>
      <c r="CC291" s="316"/>
      <c r="CD291" s="316"/>
    </row>
    <row r="292" ht="15.75" customHeight="1">
      <c r="A292" s="308"/>
      <c r="BL292" s="316"/>
      <c r="BM292" s="316"/>
      <c r="BN292" s="316"/>
      <c r="BO292" s="316"/>
      <c r="BP292" s="316"/>
      <c r="BQ292" s="316"/>
      <c r="BR292" s="316"/>
      <c r="BS292" s="316"/>
      <c r="BT292" s="316"/>
      <c r="BU292" s="316"/>
      <c r="BV292" s="316"/>
      <c r="BW292" s="316"/>
      <c r="BX292" s="316"/>
      <c r="BY292" s="316"/>
      <c r="BZ292" s="316"/>
      <c r="CA292" s="316"/>
      <c r="CB292" s="316"/>
      <c r="CC292" s="316"/>
      <c r="CD292" s="316"/>
    </row>
    <row r="293" ht="15.75" customHeight="1">
      <c r="A293" s="308"/>
      <c r="BL293" s="316"/>
      <c r="BM293" s="316"/>
      <c r="BN293" s="316"/>
      <c r="BO293" s="316"/>
      <c r="BP293" s="316"/>
      <c r="BQ293" s="316"/>
      <c r="BR293" s="316"/>
      <c r="BS293" s="316"/>
      <c r="BT293" s="316"/>
      <c r="BU293" s="316"/>
      <c r="BV293" s="316"/>
      <c r="BW293" s="316"/>
      <c r="BX293" s="316"/>
      <c r="BY293" s="316"/>
      <c r="BZ293" s="316"/>
      <c r="CA293" s="316"/>
      <c r="CB293" s="316"/>
      <c r="CC293" s="316"/>
      <c r="CD293" s="316"/>
    </row>
    <row r="294" ht="15.75" customHeight="1">
      <c r="A294" s="308"/>
      <c r="BL294" s="316"/>
      <c r="BM294" s="316"/>
      <c r="BN294" s="316"/>
      <c r="BO294" s="316"/>
      <c r="BP294" s="316"/>
      <c r="BQ294" s="316"/>
      <c r="BR294" s="316"/>
      <c r="BS294" s="316"/>
      <c r="BT294" s="316"/>
      <c r="BU294" s="316"/>
      <c r="BV294" s="316"/>
      <c r="BW294" s="316"/>
      <c r="BX294" s="316"/>
      <c r="BY294" s="316"/>
      <c r="BZ294" s="316"/>
      <c r="CA294" s="316"/>
      <c r="CB294" s="316"/>
      <c r="CC294" s="316"/>
      <c r="CD294" s="316"/>
    </row>
    <row r="295" ht="15.75" customHeight="1">
      <c r="A295" s="308"/>
      <c r="BL295" s="316"/>
      <c r="BM295" s="316"/>
      <c r="BN295" s="316"/>
      <c r="BO295" s="316"/>
      <c r="BP295" s="316"/>
      <c r="BQ295" s="316"/>
      <c r="BR295" s="316"/>
      <c r="BS295" s="316"/>
      <c r="BT295" s="316"/>
      <c r="BU295" s="316"/>
      <c r="BV295" s="316"/>
      <c r="BW295" s="316"/>
      <c r="BX295" s="316"/>
      <c r="BY295" s="316"/>
      <c r="BZ295" s="316"/>
      <c r="CA295" s="316"/>
      <c r="CB295" s="316"/>
      <c r="CC295" s="316"/>
      <c r="CD295" s="316"/>
    </row>
    <row r="296" ht="15.75" customHeight="1">
      <c r="A296" s="308"/>
      <c r="BL296" s="316"/>
      <c r="BM296" s="316"/>
      <c r="BN296" s="316"/>
      <c r="BO296" s="316"/>
      <c r="BP296" s="316"/>
      <c r="BQ296" s="316"/>
      <c r="BR296" s="316"/>
      <c r="BS296" s="316"/>
      <c r="BT296" s="316"/>
      <c r="BU296" s="316"/>
      <c r="BV296" s="316"/>
      <c r="BW296" s="316"/>
      <c r="BX296" s="316"/>
      <c r="BY296" s="316"/>
      <c r="BZ296" s="316"/>
      <c r="CA296" s="316"/>
      <c r="CB296" s="316"/>
      <c r="CC296" s="316"/>
      <c r="CD296" s="316"/>
    </row>
    <row r="297" ht="15.75" customHeight="1">
      <c r="A297" s="308"/>
      <c r="BL297" s="316"/>
      <c r="BM297" s="316"/>
      <c r="BN297" s="316"/>
      <c r="BO297" s="316"/>
      <c r="BP297" s="316"/>
      <c r="BQ297" s="316"/>
      <c r="BR297" s="316"/>
      <c r="BS297" s="316"/>
      <c r="BT297" s="316"/>
      <c r="BU297" s="316"/>
      <c r="BV297" s="316"/>
      <c r="BW297" s="316"/>
      <c r="BX297" s="316"/>
      <c r="BY297" s="316"/>
      <c r="BZ297" s="316"/>
      <c r="CA297" s="316"/>
      <c r="CB297" s="316"/>
      <c r="CC297" s="316"/>
      <c r="CD297" s="316"/>
    </row>
    <row r="298" ht="15.75" customHeight="1">
      <c r="A298" s="308"/>
      <c r="BL298" s="316"/>
      <c r="BM298" s="316"/>
      <c r="BN298" s="316"/>
      <c r="BO298" s="316"/>
      <c r="BP298" s="316"/>
      <c r="BQ298" s="316"/>
      <c r="BR298" s="316"/>
      <c r="BS298" s="316"/>
      <c r="BT298" s="316"/>
      <c r="BU298" s="316"/>
      <c r="BV298" s="316"/>
      <c r="BW298" s="316"/>
      <c r="BX298" s="316"/>
      <c r="BY298" s="316"/>
      <c r="BZ298" s="316"/>
      <c r="CA298" s="316"/>
      <c r="CB298" s="316"/>
      <c r="CC298" s="316"/>
      <c r="CD298" s="316"/>
    </row>
    <row r="299" ht="15.75" customHeight="1">
      <c r="A299" s="308"/>
      <c r="BL299" s="316"/>
      <c r="BM299" s="316"/>
      <c r="BN299" s="316"/>
      <c r="BO299" s="316"/>
      <c r="BP299" s="316"/>
      <c r="BQ299" s="316"/>
      <c r="BR299" s="316"/>
      <c r="BS299" s="316"/>
      <c r="BT299" s="316"/>
      <c r="BU299" s="316"/>
      <c r="BV299" s="316"/>
      <c r="BW299" s="316"/>
      <c r="BX299" s="316"/>
      <c r="BY299" s="316"/>
      <c r="BZ299" s="316"/>
      <c r="CA299" s="316"/>
      <c r="CB299" s="316"/>
      <c r="CC299" s="316"/>
      <c r="CD299" s="316"/>
    </row>
    <row r="300" ht="15.75" customHeight="1">
      <c r="A300" s="308"/>
      <c r="BL300" s="316"/>
      <c r="BM300" s="316"/>
      <c r="BN300" s="316"/>
      <c r="BO300" s="316"/>
      <c r="BP300" s="316"/>
      <c r="BQ300" s="316"/>
      <c r="BR300" s="316"/>
      <c r="BS300" s="316"/>
      <c r="BT300" s="316"/>
      <c r="BU300" s="316"/>
      <c r="BV300" s="316"/>
      <c r="BW300" s="316"/>
      <c r="BX300" s="316"/>
      <c r="BY300" s="316"/>
      <c r="BZ300" s="316"/>
      <c r="CA300" s="316"/>
      <c r="CB300" s="316"/>
      <c r="CC300" s="316"/>
      <c r="CD300" s="316"/>
    </row>
    <row r="301" ht="15.75" customHeight="1">
      <c r="A301" s="308"/>
      <c r="BL301" s="316"/>
      <c r="BM301" s="316"/>
      <c r="BN301" s="316"/>
      <c r="BO301" s="316"/>
      <c r="BP301" s="316"/>
      <c r="BQ301" s="316"/>
      <c r="BR301" s="316"/>
      <c r="BS301" s="316"/>
      <c r="BT301" s="316"/>
      <c r="BU301" s="316"/>
      <c r="BV301" s="316"/>
      <c r="BW301" s="316"/>
      <c r="BX301" s="316"/>
      <c r="BY301" s="316"/>
      <c r="BZ301" s="316"/>
      <c r="CA301" s="316"/>
      <c r="CB301" s="316"/>
      <c r="CC301" s="316"/>
      <c r="CD301" s="316"/>
    </row>
    <row r="302" ht="15.75" customHeight="1">
      <c r="A302" s="308"/>
      <c r="BL302" s="316"/>
      <c r="BM302" s="316"/>
      <c r="BN302" s="316"/>
      <c r="BO302" s="316"/>
      <c r="BP302" s="316"/>
      <c r="BQ302" s="316"/>
      <c r="BR302" s="316"/>
      <c r="BS302" s="316"/>
      <c r="BT302" s="316"/>
      <c r="BU302" s="316"/>
      <c r="BV302" s="316"/>
      <c r="BW302" s="316"/>
      <c r="BX302" s="316"/>
      <c r="BY302" s="316"/>
      <c r="BZ302" s="316"/>
      <c r="CA302" s="316"/>
      <c r="CB302" s="316"/>
      <c r="CC302" s="316"/>
      <c r="CD302" s="316"/>
    </row>
    <row r="303" ht="15.75" customHeight="1">
      <c r="A303" s="308"/>
      <c r="BL303" s="316"/>
      <c r="BM303" s="316"/>
      <c r="BN303" s="316"/>
      <c r="BO303" s="316"/>
      <c r="BP303" s="316"/>
      <c r="BQ303" s="316"/>
      <c r="BR303" s="316"/>
      <c r="BS303" s="316"/>
      <c r="BT303" s="316"/>
      <c r="BU303" s="316"/>
      <c r="BV303" s="316"/>
      <c r="BW303" s="316"/>
      <c r="BX303" s="316"/>
      <c r="BY303" s="316"/>
      <c r="BZ303" s="316"/>
      <c r="CA303" s="316"/>
      <c r="CB303" s="316"/>
      <c r="CC303" s="316"/>
      <c r="CD303" s="316"/>
    </row>
    <row r="304" ht="15.75" customHeight="1">
      <c r="A304" s="308"/>
      <c r="BL304" s="316"/>
      <c r="BM304" s="316"/>
      <c r="BN304" s="316"/>
      <c r="BO304" s="316"/>
      <c r="BP304" s="316"/>
      <c r="BQ304" s="316"/>
      <c r="BR304" s="316"/>
      <c r="BS304" s="316"/>
      <c r="BT304" s="316"/>
      <c r="BU304" s="316"/>
      <c r="BV304" s="316"/>
      <c r="BW304" s="316"/>
      <c r="BX304" s="316"/>
      <c r="BY304" s="316"/>
      <c r="BZ304" s="316"/>
      <c r="CA304" s="316"/>
      <c r="CB304" s="316"/>
      <c r="CC304" s="316"/>
      <c r="CD304" s="316"/>
    </row>
    <row r="305" ht="15.75" customHeight="1">
      <c r="A305" s="308"/>
      <c r="BL305" s="316"/>
      <c r="BM305" s="316"/>
      <c r="BN305" s="316"/>
      <c r="BO305" s="316"/>
      <c r="BP305" s="316"/>
      <c r="BQ305" s="316"/>
      <c r="BR305" s="316"/>
      <c r="BS305" s="316"/>
      <c r="BT305" s="316"/>
      <c r="BU305" s="316"/>
      <c r="BV305" s="316"/>
      <c r="BW305" s="316"/>
      <c r="BX305" s="316"/>
      <c r="BY305" s="316"/>
      <c r="BZ305" s="316"/>
      <c r="CA305" s="316"/>
      <c r="CB305" s="316"/>
      <c r="CC305" s="316"/>
      <c r="CD305" s="316"/>
    </row>
    <row r="306" ht="15.75" customHeight="1">
      <c r="A306" s="308"/>
      <c r="BL306" s="316"/>
      <c r="BM306" s="316"/>
      <c r="BN306" s="316"/>
      <c r="BO306" s="316"/>
      <c r="BP306" s="316"/>
      <c r="BQ306" s="316"/>
      <c r="BR306" s="316"/>
      <c r="BS306" s="316"/>
      <c r="BT306" s="316"/>
      <c r="BU306" s="316"/>
      <c r="BV306" s="316"/>
      <c r="BW306" s="316"/>
      <c r="BX306" s="316"/>
      <c r="BY306" s="316"/>
      <c r="BZ306" s="316"/>
      <c r="CA306" s="316"/>
      <c r="CB306" s="316"/>
      <c r="CC306" s="316"/>
      <c r="CD306" s="316"/>
    </row>
    <row r="307" ht="15.75" customHeight="1">
      <c r="A307" s="308"/>
      <c r="BL307" s="316"/>
      <c r="BM307" s="316"/>
      <c r="BN307" s="316"/>
      <c r="BO307" s="316"/>
      <c r="BP307" s="316"/>
      <c r="BQ307" s="316"/>
      <c r="BR307" s="316"/>
      <c r="BS307" s="316"/>
      <c r="BT307" s="316"/>
      <c r="BU307" s="316"/>
      <c r="BV307" s="316"/>
      <c r="BW307" s="316"/>
      <c r="BX307" s="316"/>
      <c r="BY307" s="316"/>
      <c r="BZ307" s="316"/>
      <c r="CA307" s="316"/>
      <c r="CB307" s="316"/>
      <c r="CC307" s="316"/>
      <c r="CD307" s="316"/>
    </row>
    <row r="308" ht="15.75" customHeight="1">
      <c r="A308" s="308"/>
      <c r="BL308" s="316"/>
      <c r="BM308" s="316"/>
      <c r="BN308" s="316"/>
      <c r="BO308" s="316"/>
      <c r="BP308" s="316"/>
      <c r="BQ308" s="316"/>
      <c r="BR308" s="316"/>
      <c r="BS308" s="316"/>
      <c r="BT308" s="316"/>
      <c r="BU308" s="316"/>
      <c r="BV308" s="316"/>
      <c r="BW308" s="316"/>
      <c r="BX308" s="316"/>
      <c r="BY308" s="316"/>
      <c r="BZ308" s="316"/>
      <c r="CA308" s="316"/>
      <c r="CB308" s="316"/>
      <c r="CC308" s="316"/>
      <c r="CD308" s="316"/>
    </row>
    <row r="309" ht="15.75" customHeight="1">
      <c r="A309" s="308"/>
      <c r="BL309" s="316"/>
      <c r="BM309" s="316"/>
      <c r="BN309" s="316"/>
      <c r="BO309" s="316"/>
      <c r="BP309" s="316"/>
      <c r="BQ309" s="316"/>
      <c r="BR309" s="316"/>
      <c r="BS309" s="316"/>
      <c r="BT309" s="316"/>
      <c r="BU309" s="316"/>
      <c r="BV309" s="316"/>
      <c r="BW309" s="316"/>
      <c r="BX309" s="316"/>
      <c r="BY309" s="316"/>
      <c r="BZ309" s="316"/>
      <c r="CA309" s="316"/>
      <c r="CB309" s="316"/>
      <c r="CC309" s="316"/>
      <c r="CD309" s="316"/>
    </row>
    <row r="310" ht="15.75" customHeight="1">
      <c r="A310" s="308"/>
      <c r="BL310" s="316"/>
      <c r="BM310" s="316"/>
      <c r="BN310" s="316"/>
      <c r="BO310" s="316"/>
      <c r="BP310" s="316"/>
      <c r="BQ310" s="316"/>
      <c r="BR310" s="316"/>
      <c r="BS310" s="316"/>
      <c r="BT310" s="316"/>
      <c r="BU310" s="316"/>
      <c r="BV310" s="316"/>
      <c r="BW310" s="316"/>
      <c r="BX310" s="316"/>
      <c r="BY310" s="316"/>
      <c r="BZ310" s="316"/>
      <c r="CA310" s="316"/>
      <c r="CB310" s="316"/>
      <c r="CC310" s="316"/>
      <c r="CD310" s="316"/>
    </row>
    <row r="311" ht="15.75" customHeight="1">
      <c r="A311" s="308"/>
      <c r="BL311" s="316"/>
      <c r="BM311" s="316"/>
      <c r="BN311" s="316"/>
      <c r="BO311" s="316"/>
      <c r="BP311" s="316"/>
      <c r="BQ311" s="316"/>
      <c r="BR311" s="316"/>
      <c r="BS311" s="316"/>
      <c r="BT311" s="316"/>
      <c r="BU311" s="316"/>
      <c r="BV311" s="316"/>
      <c r="BW311" s="316"/>
      <c r="BX311" s="316"/>
      <c r="BY311" s="316"/>
      <c r="BZ311" s="316"/>
      <c r="CA311" s="316"/>
      <c r="CB311" s="316"/>
      <c r="CC311" s="316"/>
      <c r="CD311" s="316"/>
    </row>
    <row r="312" ht="15.75" customHeight="1">
      <c r="A312" s="308"/>
      <c r="BL312" s="316"/>
      <c r="BM312" s="316"/>
      <c r="BN312" s="316"/>
      <c r="BO312" s="316"/>
      <c r="BP312" s="316"/>
      <c r="BQ312" s="316"/>
      <c r="BR312" s="316"/>
      <c r="BS312" s="316"/>
      <c r="BT312" s="316"/>
      <c r="BU312" s="316"/>
      <c r="BV312" s="316"/>
      <c r="BW312" s="316"/>
      <c r="BX312" s="316"/>
      <c r="BY312" s="316"/>
      <c r="BZ312" s="316"/>
      <c r="CA312" s="316"/>
      <c r="CB312" s="316"/>
      <c r="CC312" s="316"/>
      <c r="CD312" s="316"/>
    </row>
    <row r="313" ht="15.75" customHeight="1">
      <c r="A313" s="308"/>
      <c r="BL313" s="316"/>
      <c r="BM313" s="316"/>
      <c r="BN313" s="316"/>
      <c r="BO313" s="316"/>
      <c r="BP313" s="316"/>
      <c r="BQ313" s="316"/>
      <c r="BR313" s="316"/>
      <c r="BS313" s="316"/>
      <c r="BT313" s="316"/>
      <c r="BU313" s="316"/>
      <c r="BV313" s="316"/>
      <c r="BW313" s="316"/>
      <c r="BX313" s="316"/>
      <c r="BY313" s="316"/>
      <c r="BZ313" s="316"/>
      <c r="CA313" s="316"/>
      <c r="CB313" s="316"/>
      <c r="CC313" s="316"/>
      <c r="CD313" s="316"/>
    </row>
    <row r="314" ht="15.75" customHeight="1">
      <c r="A314" s="308"/>
      <c r="BL314" s="316"/>
      <c r="BM314" s="316"/>
      <c r="BN314" s="316"/>
      <c r="BO314" s="316"/>
      <c r="BP314" s="316"/>
      <c r="BQ314" s="316"/>
      <c r="BR314" s="316"/>
      <c r="BS314" s="316"/>
      <c r="BT314" s="316"/>
      <c r="BU314" s="316"/>
      <c r="BV314" s="316"/>
      <c r="BW314" s="316"/>
      <c r="BX314" s="316"/>
      <c r="BY314" s="316"/>
      <c r="BZ314" s="316"/>
      <c r="CA314" s="316"/>
      <c r="CB314" s="316"/>
      <c r="CC314" s="316"/>
      <c r="CD314" s="316"/>
    </row>
    <row r="315" ht="15.75" customHeight="1">
      <c r="A315" s="308"/>
      <c r="BL315" s="316"/>
      <c r="BM315" s="316"/>
      <c r="BN315" s="316"/>
      <c r="BO315" s="316"/>
      <c r="BP315" s="316"/>
      <c r="BQ315" s="316"/>
      <c r="BR315" s="316"/>
      <c r="BS315" s="316"/>
      <c r="BT315" s="316"/>
      <c r="BU315" s="316"/>
      <c r="BV315" s="316"/>
      <c r="BW315" s="316"/>
      <c r="BX315" s="316"/>
      <c r="BY315" s="316"/>
      <c r="BZ315" s="316"/>
      <c r="CA315" s="316"/>
      <c r="CB315" s="316"/>
      <c r="CC315" s="316"/>
      <c r="CD315" s="316"/>
    </row>
    <row r="316" ht="15.75" customHeight="1">
      <c r="A316" s="308"/>
      <c r="BL316" s="316"/>
      <c r="BM316" s="316"/>
      <c r="BN316" s="316"/>
      <c r="BO316" s="316"/>
      <c r="BP316" s="316"/>
      <c r="BQ316" s="316"/>
      <c r="BR316" s="316"/>
      <c r="BS316" s="316"/>
      <c r="BT316" s="316"/>
      <c r="BU316" s="316"/>
      <c r="BV316" s="316"/>
      <c r="BW316" s="316"/>
      <c r="BX316" s="316"/>
      <c r="BY316" s="316"/>
      <c r="BZ316" s="316"/>
      <c r="CA316" s="316"/>
      <c r="CB316" s="316"/>
      <c r="CC316" s="316"/>
      <c r="CD316" s="316"/>
    </row>
    <row r="317" ht="15.75" customHeight="1">
      <c r="A317" s="308"/>
      <c r="BL317" s="316"/>
      <c r="BM317" s="316"/>
      <c r="BN317" s="316"/>
      <c r="BO317" s="316"/>
      <c r="BP317" s="316"/>
      <c r="BQ317" s="316"/>
      <c r="BR317" s="316"/>
      <c r="BS317" s="316"/>
      <c r="BT317" s="316"/>
      <c r="BU317" s="316"/>
      <c r="BV317" s="316"/>
      <c r="BW317" s="316"/>
      <c r="BX317" s="316"/>
      <c r="BY317" s="316"/>
      <c r="BZ317" s="316"/>
      <c r="CA317" s="316"/>
      <c r="CB317" s="316"/>
      <c r="CC317" s="316"/>
      <c r="CD317" s="316"/>
    </row>
    <row r="318" ht="15.75" customHeight="1">
      <c r="A318" s="308"/>
      <c r="BL318" s="316"/>
      <c r="BM318" s="316"/>
      <c r="BN318" s="316"/>
      <c r="BO318" s="316"/>
      <c r="BP318" s="316"/>
      <c r="BQ318" s="316"/>
      <c r="BR318" s="316"/>
      <c r="BS318" s="316"/>
      <c r="BT318" s="316"/>
      <c r="BU318" s="316"/>
      <c r="BV318" s="316"/>
      <c r="BW318" s="316"/>
      <c r="BX318" s="316"/>
      <c r="BY318" s="316"/>
      <c r="BZ318" s="316"/>
      <c r="CA318" s="316"/>
      <c r="CB318" s="316"/>
      <c r="CC318" s="316"/>
      <c r="CD318" s="316"/>
    </row>
    <row r="319" ht="15.75" customHeight="1">
      <c r="A319" s="308"/>
      <c r="BL319" s="316"/>
      <c r="BM319" s="316"/>
      <c r="BN319" s="316"/>
      <c r="BO319" s="316"/>
      <c r="BP319" s="316"/>
      <c r="BQ319" s="316"/>
      <c r="BR319" s="316"/>
      <c r="BS319" s="316"/>
      <c r="BT319" s="316"/>
      <c r="BU319" s="316"/>
      <c r="BV319" s="316"/>
      <c r="BW319" s="316"/>
      <c r="BX319" s="316"/>
      <c r="BY319" s="316"/>
      <c r="BZ319" s="316"/>
      <c r="CA319" s="316"/>
      <c r="CB319" s="316"/>
      <c r="CC319" s="316"/>
      <c r="CD319" s="316"/>
    </row>
    <row r="320" ht="15.75" customHeight="1">
      <c r="A320" s="308"/>
      <c r="BL320" s="316"/>
      <c r="BM320" s="316"/>
      <c r="BN320" s="316"/>
      <c r="BO320" s="316"/>
      <c r="BP320" s="316"/>
      <c r="BQ320" s="316"/>
      <c r="BR320" s="316"/>
      <c r="BS320" s="316"/>
      <c r="BT320" s="316"/>
      <c r="BU320" s="316"/>
      <c r="BV320" s="316"/>
      <c r="BW320" s="316"/>
      <c r="BX320" s="316"/>
      <c r="BY320" s="316"/>
      <c r="BZ320" s="316"/>
      <c r="CA320" s="316"/>
      <c r="CB320" s="316"/>
      <c r="CC320" s="316"/>
      <c r="CD320" s="316"/>
    </row>
    <row r="321" ht="15.75" customHeight="1">
      <c r="A321" s="308"/>
      <c r="BL321" s="316"/>
      <c r="BM321" s="316"/>
      <c r="BN321" s="316"/>
      <c r="BO321" s="316"/>
      <c r="BP321" s="316"/>
      <c r="BQ321" s="316"/>
      <c r="BR321" s="316"/>
      <c r="BS321" s="316"/>
      <c r="BT321" s="316"/>
      <c r="BU321" s="316"/>
      <c r="BV321" s="316"/>
      <c r="BW321" s="316"/>
      <c r="BX321" s="316"/>
      <c r="BY321" s="316"/>
      <c r="BZ321" s="316"/>
      <c r="CA321" s="316"/>
      <c r="CB321" s="316"/>
      <c r="CC321" s="316"/>
      <c r="CD321" s="316"/>
    </row>
    <row r="322" ht="15.75" customHeight="1">
      <c r="A322" s="308"/>
      <c r="BL322" s="316"/>
      <c r="BM322" s="316"/>
      <c r="BN322" s="316"/>
      <c r="BO322" s="316"/>
      <c r="BP322" s="316"/>
      <c r="BQ322" s="316"/>
      <c r="BR322" s="316"/>
      <c r="BS322" s="316"/>
      <c r="BT322" s="316"/>
      <c r="BU322" s="316"/>
      <c r="BV322" s="316"/>
      <c r="BW322" s="316"/>
      <c r="BX322" s="316"/>
      <c r="BY322" s="316"/>
      <c r="BZ322" s="316"/>
      <c r="CA322" s="316"/>
      <c r="CB322" s="316"/>
      <c r="CC322" s="316"/>
      <c r="CD322" s="316"/>
    </row>
    <row r="323" ht="15.75" customHeight="1">
      <c r="A323" s="308"/>
      <c r="BL323" s="316"/>
      <c r="BM323" s="316"/>
      <c r="BN323" s="316"/>
      <c r="BO323" s="316"/>
      <c r="BP323" s="316"/>
      <c r="BQ323" s="316"/>
      <c r="BR323" s="316"/>
      <c r="BS323" s="316"/>
      <c r="BT323" s="316"/>
      <c r="BU323" s="316"/>
      <c r="BV323" s="316"/>
      <c r="BW323" s="316"/>
      <c r="BX323" s="316"/>
      <c r="BY323" s="316"/>
      <c r="BZ323" s="316"/>
      <c r="CA323" s="316"/>
      <c r="CB323" s="316"/>
      <c r="CC323" s="316"/>
      <c r="CD323" s="316"/>
    </row>
    <row r="324" ht="15.75" customHeight="1">
      <c r="A324" s="308"/>
      <c r="BL324" s="316"/>
      <c r="BM324" s="316"/>
      <c r="BN324" s="316"/>
      <c r="BO324" s="316"/>
      <c r="BP324" s="316"/>
      <c r="BQ324" s="316"/>
      <c r="BR324" s="316"/>
      <c r="BS324" s="316"/>
      <c r="BT324" s="316"/>
      <c r="BU324" s="316"/>
      <c r="BV324" s="316"/>
      <c r="BW324" s="316"/>
      <c r="BX324" s="316"/>
      <c r="BY324" s="316"/>
      <c r="BZ324" s="316"/>
      <c r="CA324" s="316"/>
      <c r="CB324" s="316"/>
      <c r="CC324" s="316"/>
      <c r="CD324" s="316"/>
    </row>
    <row r="325" ht="15.75" customHeight="1">
      <c r="A325" s="308"/>
      <c r="BL325" s="316"/>
      <c r="BM325" s="316"/>
      <c r="BN325" s="316"/>
      <c r="BO325" s="316"/>
      <c r="BP325" s="316"/>
      <c r="BQ325" s="316"/>
      <c r="BR325" s="316"/>
      <c r="BS325" s="316"/>
      <c r="BT325" s="316"/>
      <c r="BU325" s="316"/>
      <c r="BV325" s="316"/>
      <c r="BW325" s="316"/>
      <c r="BX325" s="316"/>
      <c r="BY325" s="316"/>
      <c r="BZ325" s="316"/>
      <c r="CA325" s="316"/>
      <c r="CB325" s="316"/>
      <c r="CC325" s="316"/>
      <c r="CD325" s="316"/>
    </row>
    <row r="326" ht="15.75" customHeight="1">
      <c r="A326" s="308"/>
      <c r="BL326" s="316"/>
      <c r="BM326" s="316"/>
      <c r="BN326" s="316"/>
      <c r="BO326" s="316"/>
      <c r="BP326" s="316"/>
      <c r="BQ326" s="316"/>
      <c r="BR326" s="316"/>
      <c r="BS326" s="316"/>
      <c r="BT326" s="316"/>
      <c r="BU326" s="316"/>
      <c r="BV326" s="316"/>
      <c r="BW326" s="316"/>
      <c r="BX326" s="316"/>
      <c r="BY326" s="316"/>
      <c r="BZ326" s="316"/>
      <c r="CA326" s="316"/>
      <c r="CB326" s="316"/>
      <c r="CC326" s="316"/>
      <c r="CD326" s="316"/>
    </row>
    <row r="327" ht="15.75" customHeight="1">
      <c r="A327" s="308"/>
      <c r="BL327" s="316"/>
      <c r="BM327" s="316"/>
      <c r="BN327" s="316"/>
      <c r="BO327" s="316"/>
      <c r="BP327" s="316"/>
      <c r="BQ327" s="316"/>
      <c r="BR327" s="316"/>
      <c r="BS327" s="316"/>
      <c r="BT327" s="316"/>
      <c r="BU327" s="316"/>
      <c r="BV327" s="316"/>
      <c r="BW327" s="316"/>
      <c r="BX327" s="316"/>
      <c r="BY327" s="316"/>
      <c r="BZ327" s="316"/>
      <c r="CA327" s="316"/>
      <c r="CB327" s="316"/>
      <c r="CC327" s="316"/>
      <c r="CD327" s="316"/>
    </row>
    <row r="328" ht="15.75" customHeight="1">
      <c r="A328" s="308"/>
      <c r="BL328" s="316"/>
      <c r="BM328" s="316"/>
      <c r="BN328" s="316"/>
      <c r="BO328" s="316"/>
      <c r="BP328" s="316"/>
      <c r="BQ328" s="316"/>
      <c r="BR328" s="316"/>
      <c r="BS328" s="316"/>
      <c r="BT328" s="316"/>
      <c r="BU328" s="316"/>
      <c r="BV328" s="316"/>
      <c r="BW328" s="316"/>
      <c r="BX328" s="316"/>
      <c r="BY328" s="316"/>
      <c r="BZ328" s="316"/>
      <c r="CA328" s="316"/>
      <c r="CB328" s="316"/>
      <c r="CC328" s="316"/>
      <c r="CD328" s="316"/>
    </row>
    <row r="329" ht="15.75" customHeight="1">
      <c r="A329" s="308"/>
      <c r="BL329" s="316"/>
      <c r="BM329" s="316"/>
      <c r="BN329" s="316"/>
      <c r="BO329" s="316"/>
      <c r="BP329" s="316"/>
      <c r="BQ329" s="316"/>
      <c r="BR329" s="316"/>
      <c r="BS329" s="316"/>
      <c r="BT329" s="316"/>
      <c r="BU329" s="316"/>
      <c r="BV329" s="316"/>
      <c r="BW329" s="316"/>
      <c r="BX329" s="316"/>
      <c r="BY329" s="316"/>
      <c r="BZ329" s="316"/>
      <c r="CA329" s="316"/>
      <c r="CB329" s="316"/>
      <c r="CC329" s="316"/>
      <c r="CD329" s="316"/>
    </row>
    <row r="330" ht="15.75" customHeight="1">
      <c r="A330" s="308"/>
      <c r="BL330" s="316"/>
      <c r="BM330" s="316"/>
      <c r="BN330" s="316"/>
      <c r="BO330" s="316"/>
      <c r="BP330" s="316"/>
      <c r="BQ330" s="316"/>
      <c r="BR330" s="316"/>
      <c r="BS330" s="316"/>
      <c r="BT330" s="316"/>
      <c r="BU330" s="316"/>
      <c r="BV330" s="316"/>
      <c r="BW330" s="316"/>
      <c r="BX330" s="316"/>
      <c r="BY330" s="316"/>
      <c r="BZ330" s="316"/>
      <c r="CA330" s="316"/>
      <c r="CB330" s="316"/>
      <c r="CC330" s="316"/>
      <c r="CD330" s="316"/>
    </row>
    <row r="331" ht="15.75" customHeight="1">
      <c r="A331" s="308"/>
      <c r="BL331" s="316"/>
      <c r="BM331" s="316"/>
      <c r="BN331" s="316"/>
      <c r="BO331" s="316"/>
      <c r="BP331" s="316"/>
      <c r="BQ331" s="316"/>
      <c r="BR331" s="316"/>
      <c r="BS331" s="316"/>
      <c r="BT331" s="316"/>
      <c r="BU331" s="316"/>
      <c r="BV331" s="316"/>
      <c r="BW331" s="316"/>
      <c r="BX331" s="316"/>
      <c r="BY331" s="316"/>
      <c r="BZ331" s="316"/>
      <c r="CA331" s="316"/>
      <c r="CB331" s="316"/>
      <c r="CC331" s="316"/>
      <c r="CD331" s="316"/>
    </row>
    <row r="332" ht="15.75" customHeight="1">
      <c r="A332" s="308"/>
      <c r="BL332" s="316"/>
      <c r="BM332" s="316"/>
      <c r="BN332" s="316"/>
      <c r="BO332" s="316"/>
      <c r="BP332" s="316"/>
      <c r="BQ332" s="316"/>
      <c r="BR332" s="316"/>
      <c r="BS332" s="316"/>
      <c r="BT332" s="316"/>
      <c r="BU332" s="316"/>
      <c r="BV332" s="316"/>
      <c r="BW332" s="316"/>
      <c r="BX332" s="316"/>
      <c r="BY332" s="316"/>
      <c r="BZ332" s="316"/>
      <c r="CA332" s="316"/>
      <c r="CB332" s="316"/>
      <c r="CC332" s="316"/>
      <c r="CD332" s="316"/>
    </row>
    <row r="333" ht="15.75" customHeight="1">
      <c r="A333" s="308"/>
      <c r="BL333" s="316"/>
      <c r="BM333" s="316"/>
      <c r="BN333" s="316"/>
      <c r="BO333" s="316"/>
      <c r="BP333" s="316"/>
      <c r="BQ333" s="316"/>
      <c r="BR333" s="316"/>
      <c r="BS333" s="316"/>
      <c r="BT333" s="316"/>
      <c r="BU333" s="316"/>
      <c r="BV333" s="316"/>
      <c r="BW333" s="316"/>
      <c r="BX333" s="316"/>
      <c r="BY333" s="316"/>
      <c r="BZ333" s="316"/>
      <c r="CA333" s="316"/>
      <c r="CB333" s="316"/>
      <c r="CC333" s="316"/>
      <c r="CD333" s="316"/>
    </row>
    <row r="334" ht="15.75" customHeight="1">
      <c r="A334" s="308"/>
      <c r="BL334" s="316"/>
      <c r="BM334" s="316"/>
      <c r="BN334" s="316"/>
      <c r="BO334" s="316"/>
      <c r="BP334" s="316"/>
      <c r="BQ334" s="316"/>
      <c r="BR334" s="316"/>
      <c r="BS334" s="316"/>
      <c r="BT334" s="316"/>
      <c r="BU334" s="316"/>
      <c r="BV334" s="316"/>
      <c r="BW334" s="316"/>
      <c r="BX334" s="316"/>
      <c r="BY334" s="316"/>
      <c r="BZ334" s="316"/>
      <c r="CA334" s="316"/>
      <c r="CB334" s="316"/>
      <c r="CC334" s="316"/>
      <c r="CD334" s="316"/>
    </row>
    <row r="335" ht="15.75" customHeight="1">
      <c r="A335" s="308"/>
      <c r="BL335" s="316"/>
      <c r="BM335" s="316"/>
      <c r="BN335" s="316"/>
      <c r="BO335" s="316"/>
      <c r="BP335" s="316"/>
      <c r="BQ335" s="316"/>
      <c r="BR335" s="316"/>
      <c r="BS335" s="316"/>
      <c r="BT335" s="316"/>
      <c r="BU335" s="316"/>
      <c r="BV335" s="316"/>
      <c r="BW335" s="316"/>
      <c r="BX335" s="316"/>
      <c r="BY335" s="316"/>
      <c r="BZ335" s="316"/>
      <c r="CA335" s="316"/>
      <c r="CB335" s="316"/>
      <c r="CC335" s="316"/>
      <c r="CD335" s="316"/>
    </row>
    <row r="336" ht="15.75" customHeight="1">
      <c r="A336" s="308"/>
      <c r="BL336" s="316"/>
      <c r="BM336" s="316"/>
      <c r="BN336" s="316"/>
      <c r="BO336" s="316"/>
      <c r="BP336" s="316"/>
      <c r="BQ336" s="316"/>
      <c r="BR336" s="316"/>
      <c r="BS336" s="316"/>
      <c r="BT336" s="316"/>
      <c r="BU336" s="316"/>
      <c r="BV336" s="316"/>
      <c r="BW336" s="316"/>
      <c r="BX336" s="316"/>
      <c r="BY336" s="316"/>
      <c r="BZ336" s="316"/>
      <c r="CA336" s="316"/>
      <c r="CB336" s="316"/>
      <c r="CC336" s="316"/>
      <c r="CD336" s="316"/>
    </row>
    <row r="337" ht="15.75" customHeight="1">
      <c r="A337" s="308"/>
      <c r="BL337" s="316"/>
      <c r="BM337" s="316"/>
      <c r="BN337" s="316"/>
      <c r="BO337" s="316"/>
      <c r="BP337" s="316"/>
      <c r="BQ337" s="316"/>
      <c r="BR337" s="316"/>
      <c r="BS337" s="316"/>
      <c r="BT337" s="316"/>
      <c r="BU337" s="316"/>
      <c r="BV337" s="316"/>
      <c r="BW337" s="316"/>
      <c r="BX337" s="316"/>
      <c r="BY337" s="316"/>
      <c r="BZ337" s="316"/>
      <c r="CA337" s="316"/>
      <c r="CB337" s="316"/>
      <c r="CC337" s="316"/>
      <c r="CD337" s="316"/>
    </row>
    <row r="338" ht="15.75" customHeight="1">
      <c r="A338" s="308"/>
      <c r="BL338" s="316"/>
      <c r="BM338" s="316"/>
      <c r="BN338" s="316"/>
      <c r="BO338" s="316"/>
      <c r="BP338" s="316"/>
      <c r="BQ338" s="316"/>
      <c r="BR338" s="316"/>
      <c r="BS338" s="316"/>
      <c r="BT338" s="316"/>
      <c r="BU338" s="316"/>
      <c r="BV338" s="316"/>
      <c r="BW338" s="316"/>
      <c r="BX338" s="316"/>
      <c r="BY338" s="316"/>
      <c r="BZ338" s="316"/>
      <c r="CA338" s="316"/>
      <c r="CB338" s="316"/>
      <c r="CC338" s="316"/>
      <c r="CD338" s="316"/>
    </row>
    <row r="339" ht="15.75" customHeight="1">
      <c r="A339" s="308"/>
      <c r="BL339" s="316"/>
      <c r="BM339" s="316"/>
      <c r="BN339" s="316"/>
      <c r="BO339" s="316"/>
      <c r="BP339" s="316"/>
      <c r="BQ339" s="316"/>
      <c r="BR339" s="316"/>
      <c r="BS339" s="316"/>
      <c r="BT339" s="316"/>
      <c r="BU339" s="316"/>
      <c r="BV339" s="316"/>
      <c r="BW339" s="316"/>
      <c r="BX339" s="316"/>
      <c r="BY339" s="316"/>
      <c r="BZ339" s="316"/>
      <c r="CA339" s="316"/>
      <c r="CB339" s="316"/>
      <c r="CC339" s="316"/>
      <c r="CD339" s="316"/>
    </row>
    <row r="340" ht="15.75" customHeight="1">
      <c r="A340" s="308"/>
      <c r="BL340" s="316"/>
      <c r="BM340" s="316"/>
      <c r="BN340" s="316"/>
      <c r="BO340" s="316"/>
      <c r="BP340" s="316"/>
      <c r="BQ340" s="316"/>
      <c r="BR340" s="316"/>
      <c r="BS340" s="316"/>
      <c r="BT340" s="316"/>
      <c r="BU340" s="316"/>
      <c r="BV340" s="316"/>
      <c r="BW340" s="316"/>
      <c r="BX340" s="316"/>
      <c r="BY340" s="316"/>
      <c r="BZ340" s="316"/>
      <c r="CA340" s="316"/>
      <c r="CB340" s="316"/>
      <c r="CC340" s="316"/>
      <c r="CD340" s="316"/>
    </row>
    <row r="341" ht="15.75" customHeight="1">
      <c r="A341" s="308"/>
      <c r="BL341" s="316"/>
      <c r="BM341" s="316"/>
      <c r="BN341" s="316"/>
      <c r="BO341" s="316"/>
      <c r="BP341" s="316"/>
      <c r="BQ341" s="316"/>
      <c r="BR341" s="316"/>
      <c r="BS341" s="316"/>
      <c r="BT341" s="316"/>
      <c r="BU341" s="316"/>
      <c r="BV341" s="316"/>
      <c r="BW341" s="316"/>
      <c r="BX341" s="316"/>
      <c r="BY341" s="316"/>
      <c r="BZ341" s="316"/>
      <c r="CA341" s="316"/>
      <c r="CB341" s="316"/>
      <c r="CC341" s="316"/>
      <c r="CD341" s="316"/>
    </row>
    <row r="342" ht="15.75" customHeight="1">
      <c r="A342" s="308"/>
      <c r="BL342" s="316"/>
      <c r="BM342" s="316"/>
      <c r="BN342" s="316"/>
      <c r="BO342" s="316"/>
      <c r="BP342" s="316"/>
      <c r="BQ342" s="316"/>
      <c r="BR342" s="316"/>
      <c r="BS342" s="316"/>
      <c r="BT342" s="316"/>
      <c r="BU342" s="316"/>
      <c r="BV342" s="316"/>
      <c r="BW342" s="316"/>
      <c r="BX342" s="316"/>
      <c r="BY342" s="316"/>
      <c r="BZ342" s="316"/>
      <c r="CA342" s="316"/>
      <c r="CB342" s="316"/>
      <c r="CC342" s="316"/>
      <c r="CD342" s="316"/>
    </row>
    <row r="343" ht="15.75" customHeight="1">
      <c r="A343" s="308"/>
      <c r="BL343" s="316"/>
      <c r="BM343" s="316"/>
      <c r="BN343" s="316"/>
      <c r="BO343" s="316"/>
      <c r="BP343" s="316"/>
      <c r="BQ343" s="316"/>
      <c r="BR343" s="316"/>
      <c r="BS343" s="316"/>
      <c r="BT343" s="316"/>
      <c r="BU343" s="316"/>
      <c r="BV343" s="316"/>
      <c r="BW343" s="316"/>
      <c r="BX343" s="316"/>
      <c r="BY343" s="316"/>
      <c r="BZ343" s="316"/>
      <c r="CA343" s="316"/>
      <c r="CB343" s="316"/>
      <c r="CC343" s="316"/>
      <c r="CD343" s="316"/>
    </row>
    <row r="344" ht="15.75" customHeight="1">
      <c r="A344" s="308"/>
      <c r="BL344" s="316"/>
      <c r="BM344" s="316"/>
      <c r="BN344" s="316"/>
      <c r="BO344" s="316"/>
      <c r="BP344" s="316"/>
      <c r="BQ344" s="316"/>
      <c r="BR344" s="316"/>
      <c r="BS344" s="316"/>
      <c r="BT344" s="316"/>
      <c r="BU344" s="316"/>
      <c r="BV344" s="316"/>
      <c r="BW344" s="316"/>
      <c r="BX344" s="316"/>
      <c r="BY344" s="316"/>
      <c r="BZ344" s="316"/>
      <c r="CA344" s="316"/>
      <c r="CB344" s="316"/>
      <c r="CC344" s="316"/>
      <c r="CD344" s="316"/>
    </row>
    <row r="345" ht="15.75" customHeight="1">
      <c r="A345" s="308"/>
      <c r="BL345" s="316"/>
      <c r="BM345" s="316"/>
      <c r="BN345" s="316"/>
      <c r="BO345" s="316"/>
      <c r="BP345" s="316"/>
      <c r="BQ345" s="316"/>
      <c r="BR345" s="316"/>
      <c r="BS345" s="316"/>
      <c r="BT345" s="316"/>
      <c r="BU345" s="316"/>
      <c r="BV345" s="316"/>
      <c r="BW345" s="316"/>
      <c r="BX345" s="316"/>
      <c r="BY345" s="316"/>
      <c r="BZ345" s="316"/>
      <c r="CA345" s="316"/>
      <c r="CB345" s="316"/>
      <c r="CC345" s="316"/>
      <c r="CD345" s="316"/>
    </row>
    <row r="346" ht="15.75" customHeight="1">
      <c r="A346" s="308"/>
      <c r="B346" s="312"/>
      <c r="C346" s="312"/>
      <c r="D346" s="312"/>
      <c r="E346" s="312"/>
      <c r="F346" s="312"/>
      <c r="G346" s="312"/>
      <c r="H346" s="312"/>
      <c r="I346" s="312"/>
      <c r="J346" s="312"/>
      <c r="K346" s="312"/>
      <c r="L346" s="312"/>
      <c r="M346" s="312"/>
      <c r="N346" s="312"/>
      <c r="O346" s="312"/>
      <c r="P346" s="312"/>
      <c r="Q346" s="312"/>
      <c r="R346" s="312"/>
      <c r="S346" s="312"/>
      <c r="T346" s="312"/>
      <c r="U346" s="312"/>
      <c r="V346" s="312"/>
      <c r="W346" s="312"/>
      <c r="X346" s="312"/>
      <c r="Y346" s="312"/>
      <c r="Z346" s="312"/>
      <c r="AA346" s="312"/>
      <c r="AB346" s="312"/>
      <c r="AC346" s="396"/>
      <c r="AD346" s="312"/>
      <c r="AE346" s="312"/>
      <c r="AF346" s="312"/>
      <c r="AG346" s="312"/>
      <c r="AH346" s="312"/>
      <c r="AI346" s="312"/>
      <c r="AJ346" s="312"/>
      <c r="AK346" s="312"/>
      <c r="AL346" s="312"/>
      <c r="AM346" s="312"/>
      <c r="AN346" s="312"/>
      <c r="AO346" s="312"/>
      <c r="AP346" s="312"/>
      <c r="AQ346" s="312"/>
      <c r="AR346" s="312"/>
      <c r="AS346" s="312"/>
      <c r="AT346" s="312"/>
      <c r="AU346" s="312"/>
      <c r="AV346" s="312"/>
      <c r="AW346" s="312"/>
      <c r="AX346" s="312"/>
      <c r="AY346" s="312"/>
      <c r="AZ346" s="312"/>
      <c r="BA346" s="312"/>
      <c r="BB346" s="312"/>
      <c r="BC346" s="312"/>
      <c r="BD346" s="316"/>
      <c r="BE346" s="316"/>
      <c r="BF346" s="316"/>
      <c r="BG346" s="316"/>
      <c r="BH346" s="316"/>
      <c r="BI346" s="316"/>
      <c r="BJ346" s="316"/>
      <c r="BK346" s="316"/>
      <c r="BL346" s="316"/>
      <c r="BM346" s="316"/>
      <c r="BN346" s="316"/>
      <c r="BO346" s="316"/>
      <c r="BP346" s="316"/>
      <c r="BQ346" s="316"/>
      <c r="BR346" s="316"/>
      <c r="BS346" s="316"/>
      <c r="BT346" s="316"/>
      <c r="BU346" s="316"/>
      <c r="BV346" s="316"/>
      <c r="BW346" s="316"/>
      <c r="BX346" s="316"/>
      <c r="BY346" s="316"/>
      <c r="BZ346" s="316"/>
      <c r="CA346" s="316"/>
      <c r="CB346" s="316"/>
      <c r="CC346" s="316"/>
      <c r="CD346" s="316"/>
    </row>
    <row r="347" ht="15.75" customHeight="1">
      <c r="A347" s="308"/>
      <c r="B347" s="312"/>
      <c r="C347" s="312"/>
      <c r="D347" s="312"/>
      <c r="E347" s="312"/>
      <c r="F347" s="312"/>
      <c r="G347" s="312"/>
      <c r="H347" s="312"/>
      <c r="I347" s="312"/>
      <c r="J347" s="312"/>
      <c r="K347" s="312"/>
      <c r="L347" s="312"/>
      <c r="M347" s="312"/>
      <c r="N347" s="312"/>
      <c r="O347" s="312"/>
      <c r="P347" s="312"/>
      <c r="Q347" s="312"/>
      <c r="R347" s="312"/>
      <c r="S347" s="312"/>
      <c r="T347" s="312"/>
      <c r="U347" s="312"/>
      <c r="V347" s="312"/>
      <c r="W347" s="312"/>
      <c r="X347" s="312"/>
      <c r="Y347" s="312"/>
      <c r="Z347" s="312"/>
      <c r="AA347" s="312"/>
      <c r="AB347" s="312"/>
      <c r="AC347" s="396"/>
      <c r="AD347" s="312"/>
      <c r="AE347" s="312"/>
      <c r="AF347" s="312"/>
      <c r="AG347" s="312"/>
      <c r="AH347" s="312"/>
      <c r="AI347" s="312"/>
      <c r="AJ347" s="312"/>
      <c r="AK347" s="312"/>
      <c r="AL347" s="312"/>
      <c r="AM347" s="312"/>
      <c r="AN347" s="312"/>
      <c r="AO347" s="312"/>
      <c r="AP347" s="312"/>
      <c r="AQ347" s="312"/>
      <c r="AR347" s="312"/>
      <c r="AS347" s="312"/>
      <c r="AT347" s="312"/>
      <c r="AU347" s="312"/>
      <c r="AV347" s="312"/>
      <c r="AW347" s="312"/>
      <c r="AX347" s="312"/>
      <c r="AY347" s="312"/>
      <c r="AZ347" s="312"/>
      <c r="BA347" s="312"/>
      <c r="BB347" s="312"/>
      <c r="BC347" s="312"/>
      <c r="BD347" s="316"/>
      <c r="BE347" s="316"/>
      <c r="BF347" s="316"/>
      <c r="BG347" s="316"/>
      <c r="BH347" s="316"/>
      <c r="BI347" s="316"/>
      <c r="BJ347" s="316"/>
      <c r="BK347" s="316"/>
      <c r="BL347" s="316"/>
      <c r="BM347" s="316"/>
      <c r="BN347" s="316"/>
      <c r="BO347" s="316"/>
      <c r="BP347" s="316"/>
      <c r="BQ347" s="316"/>
      <c r="BR347" s="316"/>
      <c r="BS347" s="316"/>
      <c r="BT347" s="316"/>
      <c r="BU347" s="316"/>
      <c r="BV347" s="316"/>
      <c r="BW347" s="316"/>
      <c r="BX347" s="316"/>
      <c r="BY347" s="316"/>
      <c r="BZ347" s="316"/>
      <c r="CA347" s="316"/>
      <c r="CB347" s="316"/>
      <c r="CC347" s="316"/>
      <c r="CD347" s="316"/>
    </row>
    <row r="348" ht="15.75" customHeight="1">
      <c r="A348" s="308"/>
      <c r="B348" s="312"/>
      <c r="C348" s="312"/>
      <c r="D348" s="312"/>
      <c r="E348" s="312"/>
      <c r="F348" s="312"/>
      <c r="G348" s="312"/>
      <c r="H348" s="312"/>
      <c r="I348" s="312"/>
      <c r="J348" s="312"/>
      <c r="K348" s="312"/>
      <c r="L348" s="312"/>
      <c r="M348" s="312"/>
      <c r="N348" s="312"/>
      <c r="O348" s="312"/>
      <c r="P348" s="312"/>
      <c r="Q348" s="312"/>
      <c r="R348" s="312"/>
      <c r="S348" s="312"/>
      <c r="T348" s="312"/>
      <c r="U348" s="312"/>
      <c r="V348" s="312"/>
      <c r="W348" s="312"/>
      <c r="X348" s="312"/>
      <c r="Y348" s="312"/>
      <c r="Z348" s="312"/>
      <c r="AA348" s="312"/>
      <c r="AB348" s="312"/>
      <c r="AC348" s="396"/>
      <c r="AD348" s="312"/>
      <c r="AE348" s="312"/>
      <c r="AF348" s="312"/>
      <c r="AG348" s="312"/>
      <c r="AH348" s="312"/>
      <c r="AI348" s="312"/>
      <c r="AJ348" s="312"/>
      <c r="AK348" s="312"/>
      <c r="AL348" s="312"/>
      <c r="AM348" s="312"/>
      <c r="AN348" s="312"/>
      <c r="AO348" s="312"/>
      <c r="AP348" s="312"/>
      <c r="AQ348" s="312"/>
      <c r="AR348" s="312"/>
      <c r="AS348" s="312"/>
      <c r="AT348" s="312"/>
      <c r="AU348" s="312"/>
      <c r="AV348" s="312"/>
      <c r="AW348" s="312"/>
      <c r="AX348" s="312"/>
      <c r="AY348" s="312"/>
      <c r="AZ348" s="312"/>
      <c r="BA348" s="312"/>
      <c r="BB348" s="312"/>
      <c r="BC348" s="312"/>
      <c r="BD348" s="316"/>
      <c r="BE348" s="316"/>
      <c r="BF348" s="316"/>
      <c r="BG348" s="316"/>
      <c r="BH348" s="316"/>
      <c r="BI348" s="316"/>
      <c r="BJ348" s="316"/>
      <c r="BK348" s="316"/>
      <c r="BL348" s="316"/>
      <c r="BM348" s="316"/>
      <c r="BN348" s="316"/>
      <c r="BO348" s="316"/>
      <c r="BP348" s="316"/>
      <c r="BQ348" s="316"/>
      <c r="BR348" s="316"/>
      <c r="BS348" s="316"/>
      <c r="BT348" s="316"/>
      <c r="BU348" s="316"/>
      <c r="BV348" s="316"/>
      <c r="BW348" s="316"/>
      <c r="BX348" s="316"/>
      <c r="BY348" s="316"/>
      <c r="BZ348" s="316"/>
      <c r="CA348" s="316"/>
      <c r="CB348" s="316"/>
      <c r="CC348" s="316"/>
      <c r="CD348" s="316"/>
    </row>
    <row r="349" ht="15.75" customHeight="1">
      <c r="A349" s="308"/>
      <c r="B349" s="312"/>
      <c r="C349" s="312"/>
      <c r="D349" s="312"/>
      <c r="E349" s="312"/>
      <c r="F349" s="312"/>
      <c r="G349" s="312"/>
      <c r="H349" s="312"/>
      <c r="I349" s="312"/>
      <c r="J349" s="312"/>
      <c r="K349" s="312"/>
      <c r="L349" s="312"/>
      <c r="M349" s="312"/>
      <c r="N349" s="312"/>
      <c r="O349" s="312"/>
      <c r="P349" s="312"/>
      <c r="Q349" s="312"/>
      <c r="R349" s="312"/>
      <c r="S349" s="312"/>
      <c r="T349" s="312"/>
      <c r="U349" s="312"/>
      <c r="V349" s="312"/>
      <c r="W349" s="312"/>
      <c r="X349" s="312"/>
      <c r="Y349" s="312"/>
      <c r="Z349" s="312"/>
      <c r="AA349" s="312"/>
      <c r="AB349" s="312"/>
      <c r="AC349" s="396"/>
      <c r="AD349" s="312"/>
      <c r="AE349" s="312"/>
      <c r="AF349" s="312"/>
      <c r="AG349" s="312"/>
      <c r="AH349" s="312"/>
      <c r="AI349" s="312"/>
      <c r="AJ349" s="312"/>
      <c r="AK349" s="312"/>
      <c r="AL349" s="312"/>
      <c r="AM349" s="312"/>
      <c r="AN349" s="312"/>
      <c r="AO349" s="312"/>
      <c r="AP349" s="312"/>
      <c r="AQ349" s="312"/>
      <c r="AR349" s="312"/>
      <c r="AS349" s="312"/>
      <c r="AT349" s="312"/>
      <c r="AU349" s="312"/>
      <c r="AV349" s="312"/>
      <c r="AW349" s="312"/>
      <c r="AX349" s="312"/>
      <c r="AY349" s="312"/>
      <c r="AZ349" s="312"/>
      <c r="BA349" s="312"/>
      <c r="BB349" s="312"/>
      <c r="BC349" s="312"/>
      <c r="BD349" s="316"/>
      <c r="BE349" s="316"/>
      <c r="BF349" s="316"/>
      <c r="BG349" s="316"/>
      <c r="BH349" s="316"/>
      <c r="BI349" s="316"/>
      <c r="BJ349" s="316"/>
      <c r="BK349" s="316"/>
      <c r="BL349" s="316"/>
      <c r="BM349" s="316"/>
      <c r="BN349" s="316"/>
      <c r="BO349" s="316"/>
      <c r="BP349" s="316"/>
      <c r="BQ349" s="316"/>
      <c r="BR349" s="316"/>
      <c r="BS349" s="316"/>
      <c r="BT349" s="316"/>
      <c r="BU349" s="316"/>
      <c r="BV349" s="316"/>
      <c r="BW349" s="316"/>
      <c r="BX349" s="316"/>
      <c r="BY349" s="316"/>
      <c r="BZ349" s="316"/>
      <c r="CA349" s="316"/>
      <c r="CB349" s="316"/>
      <c r="CC349" s="316"/>
      <c r="CD349" s="316"/>
    </row>
    <row r="350" ht="15.75" customHeight="1">
      <c r="A350" s="308"/>
      <c r="B350" s="312"/>
      <c r="C350" s="312"/>
      <c r="D350" s="312"/>
      <c r="E350" s="312"/>
      <c r="F350" s="312"/>
      <c r="G350" s="312"/>
      <c r="H350" s="312"/>
      <c r="I350" s="312"/>
      <c r="J350" s="312"/>
      <c r="K350" s="312"/>
      <c r="L350" s="312"/>
      <c r="M350" s="312"/>
      <c r="N350" s="312"/>
      <c r="O350" s="312"/>
      <c r="P350" s="312"/>
      <c r="Q350" s="312"/>
      <c r="R350" s="312"/>
      <c r="S350" s="312"/>
      <c r="T350" s="312"/>
      <c r="U350" s="312"/>
      <c r="V350" s="312"/>
      <c r="W350" s="312"/>
      <c r="X350" s="312"/>
      <c r="Y350" s="312"/>
      <c r="Z350" s="312"/>
      <c r="AA350" s="312"/>
      <c r="AB350" s="312"/>
      <c r="AC350" s="396"/>
      <c r="AD350" s="312"/>
      <c r="AE350" s="312"/>
      <c r="AF350" s="312"/>
      <c r="AG350" s="312"/>
      <c r="AH350" s="312"/>
      <c r="AI350" s="312"/>
      <c r="AJ350" s="312"/>
      <c r="AK350" s="312"/>
      <c r="AL350" s="312"/>
      <c r="AM350" s="312"/>
      <c r="AN350" s="312"/>
      <c r="AO350" s="312"/>
      <c r="AP350" s="312"/>
      <c r="AQ350" s="312"/>
      <c r="AR350" s="312"/>
      <c r="AS350" s="312"/>
      <c r="AT350" s="312"/>
      <c r="AU350" s="312"/>
      <c r="AV350" s="312"/>
      <c r="AW350" s="312"/>
      <c r="AX350" s="312"/>
      <c r="AY350" s="312"/>
      <c r="AZ350" s="312"/>
      <c r="BA350" s="312"/>
      <c r="BB350" s="312"/>
      <c r="BC350" s="312"/>
      <c r="BD350" s="316"/>
      <c r="BE350" s="316"/>
      <c r="BF350" s="316"/>
      <c r="BG350" s="316"/>
      <c r="BH350" s="316"/>
      <c r="BI350" s="316"/>
      <c r="BJ350" s="316"/>
      <c r="BK350" s="316"/>
      <c r="BL350" s="316"/>
      <c r="BM350" s="316"/>
      <c r="BN350" s="316"/>
      <c r="BO350" s="316"/>
      <c r="BP350" s="316"/>
      <c r="BQ350" s="316"/>
      <c r="BR350" s="316"/>
      <c r="BS350" s="316"/>
      <c r="BT350" s="316"/>
      <c r="BU350" s="316"/>
      <c r="BV350" s="316"/>
      <c r="BW350" s="316"/>
      <c r="BX350" s="316"/>
      <c r="BY350" s="316"/>
      <c r="BZ350" s="316"/>
      <c r="CA350" s="316"/>
      <c r="CB350" s="316"/>
      <c r="CC350" s="316"/>
      <c r="CD350" s="316"/>
    </row>
    <row r="351" ht="15.75" customHeight="1">
      <c r="A351" s="308"/>
      <c r="B351" s="312"/>
      <c r="C351" s="312"/>
      <c r="D351" s="312"/>
      <c r="E351" s="312"/>
      <c r="F351" s="312"/>
      <c r="G351" s="312"/>
      <c r="H351" s="312"/>
      <c r="I351" s="312"/>
      <c r="J351" s="312"/>
      <c r="K351" s="312"/>
      <c r="L351" s="312"/>
      <c r="M351" s="312"/>
      <c r="N351" s="312"/>
      <c r="O351" s="312"/>
      <c r="P351" s="312"/>
      <c r="Q351" s="312"/>
      <c r="R351" s="312"/>
      <c r="S351" s="312"/>
      <c r="T351" s="312"/>
      <c r="U351" s="312"/>
      <c r="V351" s="312"/>
      <c r="W351" s="312"/>
      <c r="X351" s="312"/>
      <c r="Y351" s="312"/>
      <c r="Z351" s="312"/>
      <c r="AA351" s="312"/>
      <c r="AB351" s="312"/>
      <c r="AC351" s="396"/>
      <c r="AD351" s="312"/>
      <c r="AE351" s="312"/>
      <c r="AF351" s="312"/>
      <c r="AG351" s="312"/>
      <c r="AH351" s="312"/>
      <c r="AI351" s="312"/>
      <c r="AJ351" s="312"/>
      <c r="AK351" s="312"/>
      <c r="AL351" s="312"/>
      <c r="AM351" s="312"/>
      <c r="AN351" s="312"/>
      <c r="AO351" s="312"/>
      <c r="AP351" s="312"/>
      <c r="AQ351" s="312"/>
      <c r="AR351" s="312"/>
      <c r="AS351" s="312"/>
      <c r="AT351" s="312"/>
      <c r="AU351" s="312"/>
      <c r="AV351" s="312"/>
      <c r="AW351" s="312"/>
      <c r="AX351" s="312"/>
      <c r="AY351" s="312"/>
      <c r="AZ351" s="312"/>
      <c r="BA351" s="312"/>
      <c r="BB351" s="312"/>
      <c r="BC351" s="312"/>
      <c r="BD351" s="316"/>
      <c r="BE351" s="316"/>
      <c r="BF351" s="316"/>
      <c r="BG351" s="316"/>
      <c r="BH351" s="316"/>
      <c r="BI351" s="316"/>
      <c r="BJ351" s="316"/>
      <c r="BK351" s="316"/>
      <c r="BL351" s="316"/>
      <c r="BM351" s="316"/>
      <c r="BN351" s="316"/>
      <c r="BO351" s="316"/>
      <c r="BP351" s="316"/>
      <c r="BQ351" s="316"/>
      <c r="BR351" s="316"/>
      <c r="BS351" s="316"/>
      <c r="BT351" s="316"/>
      <c r="BU351" s="316"/>
      <c r="BV351" s="316"/>
      <c r="BW351" s="316"/>
      <c r="BX351" s="316"/>
      <c r="BY351" s="316"/>
      <c r="BZ351" s="316"/>
      <c r="CA351" s="316"/>
      <c r="CB351" s="316"/>
      <c r="CC351" s="316"/>
      <c r="CD351" s="316"/>
    </row>
    <row r="352" ht="15.75" customHeight="1">
      <c r="A352" s="308"/>
      <c r="B352" s="312"/>
      <c r="C352" s="312"/>
      <c r="D352" s="312"/>
      <c r="E352" s="312"/>
      <c r="F352" s="312"/>
      <c r="G352" s="312"/>
      <c r="H352" s="312"/>
      <c r="I352" s="312"/>
      <c r="J352" s="312"/>
      <c r="K352" s="312"/>
      <c r="L352" s="312"/>
      <c r="M352" s="312"/>
      <c r="N352" s="312"/>
      <c r="O352" s="312"/>
      <c r="P352" s="312"/>
      <c r="Q352" s="312"/>
      <c r="R352" s="312"/>
      <c r="S352" s="312"/>
      <c r="T352" s="312"/>
      <c r="U352" s="312"/>
      <c r="V352" s="312"/>
      <c r="W352" s="312"/>
      <c r="X352" s="312"/>
      <c r="Y352" s="312"/>
      <c r="Z352" s="312"/>
      <c r="AA352" s="312"/>
      <c r="AB352" s="312"/>
      <c r="AC352" s="396"/>
      <c r="AD352" s="312"/>
      <c r="AE352" s="312"/>
      <c r="AF352" s="312"/>
      <c r="AG352" s="312"/>
      <c r="AH352" s="312"/>
      <c r="AI352" s="312"/>
      <c r="AJ352" s="312"/>
      <c r="AK352" s="312"/>
      <c r="AL352" s="312"/>
      <c r="AM352" s="312"/>
      <c r="AN352" s="312"/>
      <c r="AO352" s="312"/>
      <c r="AP352" s="312"/>
      <c r="AQ352" s="312"/>
      <c r="AR352" s="312"/>
      <c r="AS352" s="312"/>
      <c r="AT352" s="312"/>
      <c r="AU352" s="312"/>
      <c r="AV352" s="312"/>
      <c r="AW352" s="312"/>
      <c r="AX352" s="312"/>
      <c r="AY352" s="312"/>
      <c r="AZ352" s="312"/>
      <c r="BA352" s="312"/>
      <c r="BB352" s="312"/>
      <c r="BC352" s="312"/>
      <c r="BD352" s="316"/>
      <c r="BE352" s="316"/>
      <c r="BF352" s="316"/>
      <c r="BG352" s="316"/>
      <c r="BH352" s="316"/>
      <c r="BI352" s="316"/>
      <c r="BJ352" s="316"/>
      <c r="BK352" s="316"/>
      <c r="BL352" s="316"/>
      <c r="BM352" s="316"/>
      <c r="BN352" s="316"/>
      <c r="BO352" s="316"/>
      <c r="BP352" s="316"/>
      <c r="BQ352" s="316"/>
      <c r="BR352" s="316"/>
      <c r="BS352" s="316"/>
      <c r="BT352" s="316"/>
      <c r="BU352" s="316"/>
      <c r="BV352" s="316"/>
      <c r="BW352" s="316"/>
      <c r="BX352" s="316"/>
      <c r="BY352" s="316"/>
      <c r="BZ352" s="316"/>
      <c r="CA352" s="316"/>
      <c r="CB352" s="316"/>
      <c r="CC352" s="316"/>
      <c r="CD352" s="316"/>
    </row>
    <row r="353" ht="15.75" customHeight="1">
      <c r="A353" s="308"/>
      <c r="B353" s="312"/>
      <c r="C353" s="312"/>
      <c r="D353" s="312"/>
      <c r="E353" s="312"/>
      <c r="F353" s="312"/>
      <c r="G353" s="312"/>
      <c r="H353" s="312"/>
      <c r="I353" s="312"/>
      <c r="J353" s="312"/>
      <c r="K353" s="312"/>
      <c r="L353" s="312"/>
      <c r="M353" s="312"/>
      <c r="N353" s="312"/>
      <c r="O353" s="312"/>
      <c r="P353" s="312"/>
      <c r="Q353" s="312"/>
      <c r="R353" s="312"/>
      <c r="S353" s="312"/>
      <c r="T353" s="312"/>
      <c r="U353" s="312"/>
      <c r="V353" s="312"/>
      <c r="W353" s="312"/>
      <c r="X353" s="312"/>
      <c r="Y353" s="312"/>
      <c r="Z353" s="312"/>
      <c r="AA353" s="312"/>
      <c r="AB353" s="312"/>
      <c r="AC353" s="396"/>
      <c r="AD353" s="312"/>
      <c r="AE353" s="312"/>
      <c r="AF353" s="312"/>
      <c r="AG353" s="312"/>
      <c r="AH353" s="312"/>
      <c r="AI353" s="312"/>
      <c r="AJ353" s="312"/>
      <c r="AK353" s="312"/>
      <c r="AL353" s="312"/>
      <c r="AM353" s="312"/>
      <c r="AN353" s="312"/>
      <c r="AO353" s="312"/>
      <c r="AP353" s="312"/>
      <c r="AQ353" s="312"/>
      <c r="AR353" s="312"/>
      <c r="AS353" s="312"/>
      <c r="AT353" s="312"/>
      <c r="AU353" s="312"/>
      <c r="AV353" s="312"/>
      <c r="AW353" s="312"/>
      <c r="AX353" s="312"/>
      <c r="AY353" s="312"/>
      <c r="AZ353" s="312"/>
      <c r="BA353" s="312"/>
      <c r="BB353" s="312"/>
      <c r="BC353" s="312"/>
      <c r="BD353" s="316"/>
      <c r="BE353" s="316"/>
      <c r="BF353" s="316"/>
      <c r="BG353" s="316"/>
      <c r="BH353" s="316"/>
      <c r="BI353" s="316"/>
      <c r="BJ353" s="316"/>
      <c r="BK353" s="316"/>
      <c r="BL353" s="316"/>
      <c r="BM353" s="316"/>
      <c r="BN353" s="316"/>
      <c r="BO353" s="316"/>
      <c r="BP353" s="316"/>
      <c r="BQ353" s="316"/>
      <c r="BR353" s="316"/>
      <c r="BS353" s="316"/>
      <c r="BT353" s="316"/>
      <c r="BU353" s="316"/>
      <c r="BV353" s="316"/>
      <c r="BW353" s="316"/>
      <c r="BX353" s="316"/>
      <c r="BY353" s="316"/>
      <c r="BZ353" s="316"/>
      <c r="CA353" s="316"/>
      <c r="CB353" s="316"/>
      <c r="CC353" s="316"/>
      <c r="CD353" s="316"/>
    </row>
    <row r="354" ht="15.75" customHeight="1">
      <c r="A354" s="308"/>
      <c r="B354" s="312"/>
      <c r="C354" s="312"/>
      <c r="D354" s="312"/>
      <c r="E354" s="312"/>
      <c r="F354" s="312"/>
      <c r="G354" s="312"/>
      <c r="H354" s="312"/>
      <c r="I354" s="312"/>
      <c r="J354" s="312"/>
      <c r="K354" s="312"/>
      <c r="L354" s="312"/>
      <c r="M354" s="312"/>
      <c r="N354" s="312"/>
      <c r="O354" s="312"/>
      <c r="P354" s="312"/>
      <c r="Q354" s="312"/>
      <c r="R354" s="312"/>
      <c r="S354" s="312"/>
      <c r="T354" s="312"/>
      <c r="U354" s="312"/>
      <c r="V354" s="312"/>
      <c r="W354" s="312"/>
      <c r="X354" s="312"/>
      <c r="Y354" s="312"/>
      <c r="Z354" s="312"/>
      <c r="AA354" s="312"/>
      <c r="AB354" s="312"/>
      <c r="AC354" s="396"/>
      <c r="AD354" s="312"/>
      <c r="AE354" s="312"/>
      <c r="AF354" s="312"/>
      <c r="AG354" s="312"/>
      <c r="AH354" s="312"/>
      <c r="AI354" s="312"/>
      <c r="AJ354" s="312"/>
      <c r="AK354" s="312"/>
      <c r="AL354" s="312"/>
      <c r="AM354" s="312"/>
      <c r="AN354" s="312"/>
      <c r="AO354" s="312"/>
      <c r="AP354" s="312"/>
      <c r="AQ354" s="312"/>
      <c r="AR354" s="312"/>
      <c r="AS354" s="312"/>
      <c r="AT354" s="312"/>
      <c r="AU354" s="312"/>
      <c r="AV354" s="312"/>
      <c r="AW354" s="312"/>
      <c r="AX354" s="312"/>
      <c r="AY354" s="312"/>
      <c r="AZ354" s="312"/>
      <c r="BA354" s="312"/>
      <c r="BB354" s="312"/>
      <c r="BC354" s="312"/>
      <c r="BD354" s="316"/>
      <c r="BE354" s="316"/>
      <c r="BF354" s="316"/>
      <c r="BG354" s="316"/>
      <c r="BH354" s="316"/>
      <c r="BI354" s="316"/>
      <c r="BJ354" s="316"/>
      <c r="BK354" s="316"/>
      <c r="BL354" s="316"/>
      <c r="BM354" s="316"/>
      <c r="BN354" s="316"/>
      <c r="BO354" s="316"/>
      <c r="BP354" s="316"/>
      <c r="BQ354" s="316"/>
      <c r="BR354" s="316"/>
      <c r="BS354" s="316"/>
      <c r="BT354" s="316"/>
      <c r="BU354" s="316"/>
      <c r="BV354" s="316"/>
      <c r="BW354" s="316"/>
      <c r="BX354" s="316"/>
      <c r="BY354" s="316"/>
      <c r="BZ354" s="316"/>
      <c r="CA354" s="316"/>
      <c r="CB354" s="316"/>
      <c r="CC354" s="316"/>
      <c r="CD354" s="316"/>
    </row>
    <row r="355" ht="15.75" customHeight="1">
      <c r="A355" s="308"/>
      <c r="B355" s="312"/>
      <c r="C355" s="312"/>
      <c r="D355" s="312"/>
      <c r="E355" s="312"/>
      <c r="F355" s="312"/>
      <c r="G355" s="312"/>
      <c r="H355" s="312"/>
      <c r="I355" s="312"/>
      <c r="J355" s="312"/>
      <c r="K355" s="312"/>
      <c r="L355" s="312"/>
      <c r="M355" s="312"/>
      <c r="N355" s="312"/>
      <c r="O355" s="312"/>
      <c r="P355" s="312"/>
      <c r="Q355" s="312"/>
      <c r="R355" s="312"/>
      <c r="S355" s="312"/>
      <c r="T355" s="312"/>
      <c r="U355" s="312"/>
      <c r="V355" s="312"/>
      <c r="W355" s="312"/>
      <c r="X355" s="312"/>
      <c r="Y355" s="312"/>
      <c r="Z355" s="312"/>
      <c r="AA355" s="312"/>
      <c r="AB355" s="312"/>
      <c r="AC355" s="396"/>
      <c r="AD355" s="312"/>
      <c r="AE355" s="312"/>
      <c r="AF355" s="312"/>
      <c r="AG355" s="312"/>
      <c r="AH355" s="312"/>
      <c r="AI355" s="312"/>
      <c r="AJ355" s="312"/>
      <c r="AK355" s="312"/>
      <c r="AL355" s="312"/>
      <c r="AM355" s="312"/>
      <c r="AN355" s="312"/>
      <c r="AO355" s="312"/>
      <c r="AP355" s="312"/>
      <c r="AQ355" s="312"/>
      <c r="AR355" s="312"/>
      <c r="AS355" s="312"/>
      <c r="AT355" s="312"/>
      <c r="AU355" s="312"/>
      <c r="AV355" s="312"/>
      <c r="AW355" s="312"/>
      <c r="AX355" s="312"/>
      <c r="AY355" s="312"/>
      <c r="AZ355" s="312"/>
      <c r="BA355" s="312"/>
      <c r="BB355" s="312"/>
      <c r="BC355" s="312"/>
      <c r="BD355" s="316"/>
      <c r="BE355" s="316"/>
      <c r="BF355" s="316"/>
      <c r="BG355" s="316"/>
      <c r="BH355" s="316"/>
      <c r="BI355" s="316"/>
      <c r="BJ355" s="316"/>
      <c r="BK355" s="316"/>
      <c r="BL355" s="316"/>
      <c r="BM355" s="316"/>
      <c r="BN355" s="316"/>
      <c r="BO355" s="316"/>
      <c r="BP355" s="316"/>
      <c r="BQ355" s="316"/>
      <c r="BR355" s="316"/>
      <c r="BS355" s="316"/>
      <c r="BT355" s="316"/>
      <c r="BU355" s="316"/>
      <c r="BV355" s="316"/>
      <c r="BW355" s="316"/>
      <c r="BX355" s="316"/>
      <c r="BY355" s="316"/>
      <c r="BZ355" s="316"/>
      <c r="CA355" s="316"/>
      <c r="CB355" s="316"/>
      <c r="CC355" s="316"/>
      <c r="CD355" s="316"/>
    </row>
    <row r="356" ht="15.75" customHeight="1">
      <c r="A356" s="308"/>
      <c r="B356" s="312"/>
      <c r="C356" s="312"/>
      <c r="D356" s="312"/>
      <c r="E356" s="312"/>
      <c r="F356" s="312"/>
      <c r="G356" s="312"/>
      <c r="H356" s="312"/>
      <c r="I356" s="312"/>
      <c r="J356" s="312"/>
      <c r="K356" s="312"/>
      <c r="L356" s="312"/>
      <c r="M356" s="312"/>
      <c r="N356" s="312"/>
      <c r="O356" s="312"/>
      <c r="P356" s="312"/>
      <c r="Q356" s="312"/>
      <c r="R356" s="312"/>
      <c r="S356" s="312"/>
      <c r="T356" s="312"/>
      <c r="U356" s="312"/>
      <c r="V356" s="312"/>
      <c r="W356" s="312"/>
      <c r="X356" s="312"/>
      <c r="Y356" s="312"/>
      <c r="Z356" s="312"/>
      <c r="AA356" s="312"/>
      <c r="AB356" s="312"/>
      <c r="AC356" s="396"/>
      <c r="AD356" s="312"/>
      <c r="AE356" s="312"/>
      <c r="AF356" s="312"/>
      <c r="AG356" s="312"/>
      <c r="AH356" s="312"/>
      <c r="AI356" s="312"/>
      <c r="AJ356" s="312"/>
      <c r="AK356" s="312"/>
      <c r="AL356" s="312"/>
      <c r="AM356" s="312"/>
      <c r="AN356" s="312"/>
      <c r="AO356" s="312"/>
      <c r="AP356" s="312"/>
      <c r="AQ356" s="312"/>
      <c r="AR356" s="312"/>
      <c r="AS356" s="312"/>
      <c r="AT356" s="312"/>
      <c r="AU356" s="312"/>
      <c r="AV356" s="312"/>
      <c r="AW356" s="312"/>
      <c r="AX356" s="312"/>
      <c r="AY356" s="312"/>
      <c r="AZ356" s="312"/>
      <c r="BA356" s="312"/>
      <c r="BB356" s="312"/>
      <c r="BC356" s="312"/>
      <c r="BD356" s="316"/>
      <c r="BE356" s="316"/>
      <c r="BF356" s="316"/>
      <c r="BG356" s="316"/>
      <c r="BH356" s="316"/>
      <c r="BI356" s="316"/>
      <c r="BJ356" s="316"/>
      <c r="BK356" s="316"/>
      <c r="BL356" s="316"/>
      <c r="BM356" s="316"/>
      <c r="BN356" s="316"/>
      <c r="BO356" s="316"/>
      <c r="BP356" s="316"/>
      <c r="BQ356" s="316"/>
      <c r="BR356" s="316"/>
      <c r="BS356" s="316"/>
      <c r="BT356" s="316"/>
      <c r="BU356" s="316"/>
      <c r="BV356" s="316"/>
      <c r="BW356" s="316"/>
      <c r="BX356" s="316"/>
      <c r="BY356" s="316"/>
      <c r="BZ356" s="316"/>
      <c r="CA356" s="316"/>
      <c r="CB356" s="316"/>
      <c r="CC356" s="316"/>
      <c r="CD356" s="316"/>
    </row>
    <row r="357" ht="15.75" customHeight="1">
      <c r="A357" s="308"/>
      <c r="B357" s="312"/>
      <c r="C357" s="312"/>
      <c r="D357" s="312"/>
      <c r="E357" s="312"/>
      <c r="F357" s="312"/>
      <c r="G357" s="312"/>
      <c r="H357" s="312"/>
      <c r="I357" s="312"/>
      <c r="J357" s="312"/>
      <c r="K357" s="312"/>
      <c r="L357" s="312"/>
      <c r="M357" s="312"/>
      <c r="N357" s="312"/>
      <c r="O357" s="312"/>
      <c r="P357" s="312"/>
      <c r="Q357" s="312"/>
      <c r="R357" s="312"/>
      <c r="S357" s="312"/>
      <c r="T357" s="312"/>
      <c r="U357" s="312"/>
      <c r="V357" s="312"/>
      <c r="W357" s="312"/>
      <c r="X357" s="312"/>
      <c r="Y357" s="312"/>
      <c r="Z357" s="312"/>
      <c r="AA357" s="312"/>
      <c r="AB357" s="312"/>
      <c r="AC357" s="396"/>
      <c r="AD357" s="312"/>
      <c r="AE357" s="312"/>
      <c r="AF357" s="312"/>
      <c r="AG357" s="312"/>
      <c r="AH357" s="312"/>
      <c r="AI357" s="312"/>
      <c r="AJ357" s="312"/>
      <c r="AK357" s="312"/>
      <c r="AL357" s="312"/>
      <c r="AM357" s="312"/>
      <c r="AN357" s="312"/>
      <c r="AO357" s="312"/>
      <c r="AP357" s="312"/>
      <c r="AQ357" s="312"/>
      <c r="AR357" s="312"/>
      <c r="AS357" s="312"/>
      <c r="AT357" s="312"/>
      <c r="AU357" s="312"/>
      <c r="AV357" s="312"/>
      <c r="AW357" s="312"/>
      <c r="AX357" s="312"/>
      <c r="AY357" s="312"/>
      <c r="AZ357" s="312"/>
      <c r="BA357" s="312"/>
      <c r="BB357" s="312"/>
      <c r="BC357" s="312"/>
      <c r="BD357" s="316"/>
      <c r="BE357" s="316"/>
      <c r="BF357" s="316"/>
      <c r="BG357" s="316"/>
      <c r="BH357" s="316"/>
      <c r="BI357" s="316"/>
      <c r="BJ357" s="316"/>
      <c r="BK357" s="316"/>
      <c r="BL357" s="316"/>
      <c r="BM357" s="316"/>
      <c r="BN357" s="316"/>
      <c r="BO357" s="316"/>
      <c r="BP357" s="316"/>
      <c r="BQ357" s="316"/>
      <c r="BR357" s="316"/>
      <c r="BS357" s="316"/>
      <c r="BT357" s="316"/>
      <c r="BU357" s="316"/>
      <c r="BV357" s="316"/>
      <c r="BW357" s="316"/>
      <c r="BX357" s="316"/>
      <c r="BY357" s="316"/>
      <c r="BZ357" s="316"/>
      <c r="CA357" s="316"/>
      <c r="CB357" s="316"/>
      <c r="CC357" s="316"/>
      <c r="CD357" s="316"/>
    </row>
    <row r="358" ht="15.75" customHeight="1">
      <c r="A358" s="308"/>
      <c r="B358" s="312"/>
      <c r="C358" s="312"/>
      <c r="D358" s="312"/>
      <c r="E358" s="312"/>
      <c r="F358" s="312"/>
      <c r="G358" s="312"/>
      <c r="H358" s="312"/>
      <c r="I358" s="312"/>
      <c r="J358" s="312"/>
      <c r="K358" s="312"/>
      <c r="L358" s="312"/>
      <c r="M358" s="312"/>
      <c r="N358" s="312"/>
      <c r="O358" s="312"/>
      <c r="P358" s="312"/>
      <c r="Q358" s="312"/>
      <c r="R358" s="312"/>
      <c r="S358" s="312"/>
      <c r="T358" s="312"/>
      <c r="U358" s="312"/>
      <c r="V358" s="312"/>
      <c r="W358" s="312"/>
      <c r="X358" s="312"/>
      <c r="Y358" s="312"/>
      <c r="Z358" s="312"/>
      <c r="AA358" s="312"/>
      <c r="AB358" s="312"/>
      <c r="AC358" s="396"/>
      <c r="AD358" s="312"/>
      <c r="AE358" s="312"/>
      <c r="AF358" s="312"/>
      <c r="AG358" s="312"/>
      <c r="AH358" s="312"/>
      <c r="AI358" s="312"/>
      <c r="AJ358" s="312"/>
      <c r="AK358" s="312"/>
      <c r="AL358" s="312"/>
      <c r="AM358" s="312"/>
      <c r="AN358" s="312"/>
      <c r="AO358" s="312"/>
      <c r="AP358" s="312"/>
      <c r="AQ358" s="312"/>
      <c r="AR358" s="312"/>
      <c r="AS358" s="312"/>
      <c r="AT358" s="312"/>
      <c r="AU358" s="312"/>
      <c r="AV358" s="312"/>
      <c r="AW358" s="312"/>
      <c r="AX358" s="312"/>
      <c r="AY358" s="312"/>
      <c r="AZ358" s="312"/>
      <c r="BA358" s="312"/>
      <c r="BB358" s="312"/>
      <c r="BC358" s="312"/>
      <c r="BD358" s="316"/>
      <c r="BE358" s="316"/>
      <c r="BF358" s="316"/>
      <c r="BG358" s="316"/>
      <c r="BH358" s="316"/>
      <c r="BI358" s="316"/>
      <c r="BJ358" s="316"/>
      <c r="BK358" s="316"/>
      <c r="BL358" s="316"/>
      <c r="BM358" s="316"/>
      <c r="BN358" s="316"/>
      <c r="BO358" s="316"/>
      <c r="BP358" s="316"/>
      <c r="BQ358" s="316"/>
      <c r="BR358" s="316"/>
      <c r="BS358" s="316"/>
      <c r="BT358" s="316"/>
      <c r="BU358" s="316"/>
      <c r="BV358" s="316"/>
      <c r="BW358" s="316"/>
      <c r="BX358" s="316"/>
      <c r="BY358" s="316"/>
      <c r="BZ358" s="316"/>
      <c r="CA358" s="316"/>
      <c r="CB358" s="316"/>
      <c r="CC358" s="316"/>
      <c r="CD358" s="316"/>
    </row>
    <row r="359" ht="15.75" customHeight="1">
      <c r="A359" s="308"/>
      <c r="B359" s="312"/>
      <c r="C359" s="312"/>
      <c r="D359" s="312"/>
      <c r="E359" s="312"/>
      <c r="F359" s="312"/>
      <c r="G359" s="312"/>
      <c r="H359" s="312"/>
      <c r="I359" s="312"/>
      <c r="J359" s="312"/>
      <c r="K359" s="312"/>
      <c r="L359" s="312"/>
      <c r="M359" s="312"/>
      <c r="N359" s="312"/>
      <c r="O359" s="312"/>
      <c r="P359" s="312"/>
      <c r="Q359" s="312"/>
      <c r="R359" s="312"/>
      <c r="S359" s="312"/>
      <c r="T359" s="312"/>
      <c r="U359" s="312"/>
      <c r="V359" s="312"/>
      <c r="W359" s="312"/>
      <c r="X359" s="312"/>
      <c r="Y359" s="312"/>
      <c r="Z359" s="312"/>
      <c r="AA359" s="312"/>
      <c r="AB359" s="312"/>
      <c r="AC359" s="396"/>
      <c r="AD359" s="312"/>
      <c r="AE359" s="312"/>
      <c r="AF359" s="312"/>
      <c r="AG359" s="312"/>
      <c r="AH359" s="312"/>
      <c r="AI359" s="312"/>
      <c r="AJ359" s="312"/>
      <c r="AK359" s="312"/>
      <c r="AL359" s="312"/>
      <c r="AM359" s="312"/>
      <c r="AN359" s="312"/>
      <c r="AO359" s="312"/>
      <c r="AP359" s="312"/>
      <c r="AQ359" s="312"/>
      <c r="AR359" s="312"/>
      <c r="AS359" s="312"/>
      <c r="AT359" s="312"/>
      <c r="AU359" s="312"/>
      <c r="AV359" s="312"/>
      <c r="AW359" s="312"/>
      <c r="AX359" s="312"/>
      <c r="AY359" s="312"/>
      <c r="AZ359" s="312"/>
      <c r="BA359" s="312"/>
      <c r="BB359" s="312"/>
      <c r="BC359" s="312"/>
      <c r="BD359" s="316"/>
      <c r="BE359" s="316"/>
      <c r="BF359" s="316"/>
      <c r="BG359" s="316"/>
      <c r="BH359" s="316"/>
      <c r="BI359" s="316"/>
      <c r="BJ359" s="316"/>
      <c r="BK359" s="316"/>
      <c r="BL359" s="316"/>
      <c r="BM359" s="316"/>
      <c r="BN359" s="316"/>
      <c r="BO359" s="316"/>
      <c r="BP359" s="316"/>
      <c r="BQ359" s="316"/>
      <c r="BR359" s="316"/>
      <c r="BS359" s="316"/>
      <c r="BT359" s="316"/>
      <c r="BU359" s="316"/>
      <c r="BV359" s="316"/>
      <c r="BW359" s="316"/>
      <c r="BX359" s="316"/>
      <c r="BY359" s="316"/>
      <c r="BZ359" s="316"/>
      <c r="CA359" s="316"/>
      <c r="CB359" s="316"/>
      <c r="CC359" s="316"/>
      <c r="CD359" s="316"/>
    </row>
    <row r="360" ht="15.75" customHeight="1">
      <c r="A360" s="308"/>
      <c r="B360" s="312"/>
      <c r="C360" s="312"/>
      <c r="D360" s="312"/>
      <c r="E360" s="312"/>
      <c r="F360" s="312"/>
      <c r="G360" s="312"/>
      <c r="H360" s="312"/>
      <c r="I360" s="312"/>
      <c r="J360" s="312"/>
      <c r="K360" s="312"/>
      <c r="L360" s="312"/>
      <c r="M360" s="312"/>
      <c r="N360" s="312"/>
      <c r="O360" s="312"/>
      <c r="P360" s="312"/>
      <c r="Q360" s="312"/>
      <c r="R360" s="312"/>
      <c r="S360" s="312"/>
      <c r="T360" s="312"/>
      <c r="U360" s="312"/>
      <c r="V360" s="312"/>
      <c r="W360" s="312"/>
      <c r="X360" s="312"/>
      <c r="Y360" s="312"/>
      <c r="Z360" s="312"/>
      <c r="AA360" s="312"/>
      <c r="AB360" s="312"/>
      <c r="AC360" s="396"/>
      <c r="AD360" s="312"/>
      <c r="AE360" s="312"/>
      <c r="AF360" s="312"/>
      <c r="AG360" s="312"/>
      <c r="AH360" s="312"/>
      <c r="AI360" s="312"/>
      <c r="AJ360" s="312"/>
      <c r="AK360" s="312"/>
      <c r="AL360" s="312"/>
      <c r="AM360" s="312"/>
      <c r="AN360" s="312"/>
      <c r="AO360" s="312"/>
      <c r="AP360" s="312"/>
      <c r="AQ360" s="312"/>
      <c r="AR360" s="312"/>
      <c r="AS360" s="312"/>
      <c r="AT360" s="312"/>
      <c r="AU360" s="312"/>
      <c r="AV360" s="312"/>
      <c r="AW360" s="312"/>
      <c r="AX360" s="312"/>
      <c r="AY360" s="312"/>
      <c r="AZ360" s="312"/>
      <c r="BA360" s="312"/>
      <c r="BB360" s="312"/>
      <c r="BC360" s="312"/>
      <c r="BD360" s="316"/>
      <c r="BE360" s="316"/>
      <c r="BF360" s="316"/>
      <c r="BG360" s="316"/>
      <c r="BH360" s="316"/>
      <c r="BI360" s="316"/>
      <c r="BJ360" s="316"/>
      <c r="BK360" s="316"/>
      <c r="BL360" s="316"/>
      <c r="BM360" s="316"/>
      <c r="BN360" s="316"/>
      <c r="BO360" s="316"/>
      <c r="BP360" s="316"/>
      <c r="BQ360" s="316"/>
      <c r="BR360" s="316"/>
      <c r="BS360" s="316"/>
      <c r="BT360" s="316"/>
      <c r="BU360" s="316"/>
      <c r="BV360" s="316"/>
      <c r="BW360" s="316"/>
      <c r="BX360" s="316"/>
      <c r="BY360" s="316"/>
      <c r="BZ360" s="316"/>
      <c r="CA360" s="316"/>
      <c r="CB360" s="316"/>
      <c r="CC360" s="316"/>
      <c r="CD360" s="316"/>
    </row>
    <row r="361" ht="15.75" customHeight="1">
      <c r="A361" s="308"/>
      <c r="B361" s="312"/>
      <c r="C361" s="312"/>
      <c r="D361" s="312"/>
      <c r="E361" s="312"/>
      <c r="F361" s="312"/>
      <c r="G361" s="312"/>
      <c r="H361" s="312"/>
      <c r="I361" s="312"/>
      <c r="J361" s="312"/>
      <c r="K361" s="312"/>
      <c r="L361" s="312"/>
      <c r="M361" s="312"/>
      <c r="N361" s="312"/>
      <c r="O361" s="312"/>
      <c r="P361" s="312"/>
      <c r="Q361" s="312"/>
      <c r="R361" s="312"/>
      <c r="S361" s="312"/>
      <c r="T361" s="312"/>
      <c r="U361" s="312"/>
      <c r="V361" s="312"/>
      <c r="W361" s="312"/>
      <c r="X361" s="312"/>
      <c r="Y361" s="312"/>
      <c r="Z361" s="312"/>
      <c r="AA361" s="312"/>
      <c r="AB361" s="312"/>
      <c r="AC361" s="396"/>
      <c r="AD361" s="312"/>
      <c r="AE361" s="312"/>
      <c r="AF361" s="312"/>
      <c r="AG361" s="312"/>
      <c r="AH361" s="312"/>
      <c r="AI361" s="312"/>
      <c r="AJ361" s="312"/>
      <c r="AK361" s="312"/>
      <c r="AL361" s="312"/>
      <c r="AM361" s="312"/>
      <c r="AN361" s="312"/>
      <c r="AO361" s="312"/>
      <c r="AP361" s="312"/>
      <c r="AQ361" s="312"/>
      <c r="AR361" s="312"/>
      <c r="AS361" s="312"/>
      <c r="AT361" s="312"/>
      <c r="AU361" s="312"/>
      <c r="AV361" s="312"/>
      <c r="AW361" s="312"/>
      <c r="AX361" s="312"/>
      <c r="AY361" s="312"/>
      <c r="AZ361" s="312"/>
      <c r="BA361" s="312"/>
      <c r="BB361" s="312"/>
      <c r="BC361" s="312"/>
      <c r="BD361" s="316"/>
      <c r="BE361" s="316"/>
      <c r="BF361" s="316"/>
      <c r="BG361" s="316"/>
      <c r="BH361" s="316"/>
      <c r="BI361" s="316"/>
      <c r="BJ361" s="316"/>
      <c r="BK361" s="316"/>
      <c r="BL361" s="316"/>
      <c r="BM361" s="316"/>
      <c r="BN361" s="316"/>
      <c r="BO361" s="316"/>
      <c r="BP361" s="316"/>
      <c r="BQ361" s="316"/>
      <c r="BR361" s="316"/>
      <c r="BS361" s="316"/>
      <c r="BT361" s="316"/>
      <c r="BU361" s="316"/>
      <c r="BV361" s="316"/>
      <c r="BW361" s="316"/>
      <c r="BX361" s="316"/>
      <c r="BY361" s="316"/>
      <c r="BZ361" s="316"/>
      <c r="CA361" s="316"/>
      <c r="CB361" s="316"/>
      <c r="CC361" s="316"/>
      <c r="CD361" s="316"/>
    </row>
    <row r="362" ht="15.75" customHeight="1">
      <c r="A362" s="308"/>
      <c r="B362" s="312"/>
      <c r="C362" s="312"/>
      <c r="D362" s="312"/>
      <c r="E362" s="312"/>
      <c r="F362" s="312"/>
      <c r="G362" s="312"/>
      <c r="H362" s="312"/>
      <c r="I362" s="312"/>
      <c r="J362" s="312"/>
      <c r="K362" s="312"/>
      <c r="L362" s="312"/>
      <c r="M362" s="312"/>
      <c r="N362" s="312"/>
      <c r="O362" s="312"/>
      <c r="P362" s="312"/>
      <c r="Q362" s="312"/>
      <c r="R362" s="312"/>
      <c r="S362" s="312"/>
      <c r="T362" s="312"/>
      <c r="U362" s="312"/>
      <c r="V362" s="312"/>
      <c r="W362" s="312"/>
      <c r="X362" s="312"/>
      <c r="Y362" s="312"/>
      <c r="Z362" s="312"/>
      <c r="AA362" s="312"/>
      <c r="AB362" s="312"/>
      <c r="AC362" s="396"/>
      <c r="AD362" s="312"/>
      <c r="AE362" s="312"/>
      <c r="AF362" s="312"/>
      <c r="AG362" s="312"/>
      <c r="AH362" s="312"/>
      <c r="AI362" s="312"/>
      <c r="AJ362" s="312"/>
      <c r="AK362" s="312"/>
      <c r="AL362" s="312"/>
      <c r="AM362" s="312"/>
      <c r="AN362" s="312"/>
      <c r="AO362" s="312"/>
      <c r="AP362" s="312"/>
      <c r="AQ362" s="312"/>
      <c r="AR362" s="312"/>
      <c r="AS362" s="312"/>
      <c r="AT362" s="312"/>
      <c r="AU362" s="312"/>
      <c r="AV362" s="312"/>
      <c r="AW362" s="312"/>
      <c r="AX362" s="312"/>
      <c r="AY362" s="312"/>
      <c r="AZ362" s="312"/>
      <c r="BA362" s="312"/>
      <c r="BB362" s="312"/>
      <c r="BC362" s="312"/>
      <c r="BD362" s="316"/>
      <c r="BE362" s="316"/>
      <c r="BF362" s="316"/>
      <c r="BG362" s="316"/>
      <c r="BH362" s="316"/>
      <c r="BI362" s="316"/>
      <c r="BJ362" s="316"/>
      <c r="BK362" s="316"/>
      <c r="BL362" s="316"/>
      <c r="BM362" s="316"/>
      <c r="BN362" s="316"/>
      <c r="BO362" s="316"/>
      <c r="BP362" s="316"/>
      <c r="BQ362" s="316"/>
      <c r="BR362" s="316"/>
      <c r="BS362" s="316"/>
      <c r="BT362" s="316"/>
      <c r="BU362" s="316"/>
      <c r="BV362" s="316"/>
      <c r="BW362" s="316"/>
      <c r="BX362" s="316"/>
      <c r="BY362" s="316"/>
      <c r="BZ362" s="316"/>
      <c r="CA362" s="316"/>
      <c r="CB362" s="316"/>
      <c r="CC362" s="316"/>
      <c r="CD362" s="316"/>
    </row>
    <row r="363" ht="15.75" customHeight="1">
      <c r="A363" s="308"/>
      <c r="B363" s="312"/>
      <c r="C363" s="312"/>
      <c r="D363" s="312"/>
      <c r="E363" s="312"/>
      <c r="F363" s="312"/>
      <c r="G363" s="312"/>
      <c r="H363" s="312"/>
      <c r="I363" s="312"/>
      <c r="J363" s="312"/>
      <c r="K363" s="312"/>
      <c r="L363" s="312"/>
      <c r="M363" s="312"/>
      <c r="N363" s="312"/>
      <c r="O363" s="312"/>
      <c r="P363" s="312"/>
      <c r="Q363" s="312"/>
      <c r="R363" s="312"/>
      <c r="S363" s="312"/>
      <c r="T363" s="312"/>
      <c r="U363" s="312"/>
      <c r="V363" s="312"/>
      <c r="W363" s="312"/>
      <c r="X363" s="312"/>
      <c r="Y363" s="312"/>
      <c r="Z363" s="312"/>
      <c r="AA363" s="312"/>
      <c r="AB363" s="312"/>
      <c r="AC363" s="396"/>
      <c r="AD363" s="312"/>
      <c r="AE363" s="312"/>
      <c r="AF363" s="312"/>
      <c r="AG363" s="312"/>
      <c r="AH363" s="312"/>
      <c r="AI363" s="312"/>
      <c r="AJ363" s="312"/>
      <c r="AK363" s="312"/>
      <c r="AL363" s="312"/>
      <c r="AM363" s="312"/>
      <c r="AN363" s="312"/>
      <c r="AO363" s="312"/>
      <c r="AP363" s="312"/>
      <c r="AQ363" s="312"/>
      <c r="AR363" s="312"/>
      <c r="AS363" s="312"/>
      <c r="AT363" s="312"/>
      <c r="AU363" s="312"/>
      <c r="AV363" s="312"/>
      <c r="AW363" s="312"/>
      <c r="AX363" s="312"/>
      <c r="AY363" s="312"/>
      <c r="AZ363" s="312"/>
      <c r="BA363" s="312"/>
      <c r="BB363" s="312"/>
      <c r="BC363" s="312"/>
      <c r="BD363" s="316"/>
      <c r="BE363" s="316"/>
      <c r="BF363" s="316"/>
      <c r="BG363" s="316"/>
      <c r="BH363" s="316"/>
      <c r="BI363" s="316"/>
      <c r="BJ363" s="316"/>
      <c r="BK363" s="316"/>
      <c r="BL363" s="316"/>
      <c r="BM363" s="316"/>
      <c r="BN363" s="316"/>
      <c r="BO363" s="316"/>
      <c r="BP363" s="316"/>
      <c r="BQ363" s="316"/>
      <c r="BR363" s="316"/>
      <c r="BS363" s="316"/>
      <c r="BT363" s="316"/>
      <c r="BU363" s="316"/>
      <c r="BV363" s="316"/>
      <c r="BW363" s="316"/>
      <c r="BX363" s="316"/>
      <c r="BY363" s="316"/>
      <c r="BZ363" s="316"/>
      <c r="CA363" s="316"/>
      <c r="CB363" s="316"/>
      <c r="CC363" s="316"/>
      <c r="CD363" s="316"/>
    </row>
    <row r="364" ht="15.75" customHeight="1">
      <c r="A364" s="308"/>
      <c r="B364" s="312"/>
      <c r="C364" s="312"/>
      <c r="D364" s="312"/>
      <c r="E364" s="312"/>
      <c r="F364" s="312"/>
      <c r="G364" s="312"/>
      <c r="H364" s="312"/>
      <c r="I364" s="312"/>
      <c r="J364" s="312"/>
      <c r="K364" s="312"/>
      <c r="L364" s="312"/>
      <c r="M364" s="312"/>
      <c r="N364" s="312"/>
      <c r="O364" s="312"/>
      <c r="P364" s="312"/>
      <c r="Q364" s="312"/>
      <c r="R364" s="312"/>
      <c r="S364" s="312"/>
      <c r="T364" s="312"/>
      <c r="U364" s="312"/>
      <c r="V364" s="312"/>
      <c r="W364" s="312"/>
      <c r="X364" s="312"/>
      <c r="Y364" s="312"/>
      <c r="Z364" s="312"/>
      <c r="AA364" s="312"/>
      <c r="AB364" s="312"/>
      <c r="AC364" s="396"/>
      <c r="AD364" s="312"/>
      <c r="AE364" s="312"/>
      <c r="AF364" s="312"/>
      <c r="AG364" s="312"/>
      <c r="AH364" s="312"/>
      <c r="AI364" s="312"/>
      <c r="AJ364" s="312"/>
      <c r="AK364" s="312"/>
      <c r="AL364" s="312"/>
      <c r="AM364" s="312"/>
      <c r="AN364" s="312"/>
      <c r="AO364" s="312"/>
      <c r="AP364" s="312"/>
      <c r="AQ364" s="312"/>
      <c r="AR364" s="312"/>
      <c r="AS364" s="312"/>
      <c r="AT364" s="312"/>
      <c r="AU364" s="312"/>
      <c r="AV364" s="312"/>
      <c r="AW364" s="312"/>
      <c r="AX364" s="312"/>
      <c r="AY364" s="312"/>
      <c r="AZ364" s="312"/>
      <c r="BA364" s="312"/>
      <c r="BB364" s="312"/>
      <c r="BC364" s="312"/>
      <c r="BD364" s="316"/>
      <c r="BE364" s="316"/>
      <c r="BF364" s="316"/>
      <c r="BG364" s="316"/>
      <c r="BH364" s="316"/>
      <c r="BI364" s="316"/>
      <c r="BJ364" s="316"/>
      <c r="BK364" s="316"/>
      <c r="BL364" s="316"/>
      <c r="BM364" s="316"/>
      <c r="BN364" s="316"/>
      <c r="BO364" s="316"/>
      <c r="BP364" s="316"/>
      <c r="BQ364" s="316"/>
      <c r="BR364" s="316"/>
      <c r="BS364" s="316"/>
      <c r="BT364" s="316"/>
      <c r="BU364" s="316"/>
      <c r="BV364" s="316"/>
      <c r="BW364" s="316"/>
      <c r="BX364" s="316"/>
      <c r="BY364" s="316"/>
      <c r="BZ364" s="316"/>
      <c r="CA364" s="316"/>
      <c r="CB364" s="316"/>
      <c r="CC364" s="316"/>
      <c r="CD364" s="316"/>
    </row>
    <row r="365" ht="15.75" customHeight="1">
      <c r="A365" s="308"/>
      <c r="B365" s="312"/>
      <c r="C365" s="312"/>
      <c r="D365" s="312"/>
      <c r="E365" s="312"/>
      <c r="F365" s="312"/>
      <c r="G365" s="312"/>
      <c r="H365" s="312"/>
      <c r="I365" s="312"/>
      <c r="J365" s="312"/>
      <c r="K365" s="312"/>
      <c r="L365" s="312"/>
      <c r="M365" s="312"/>
      <c r="N365" s="312"/>
      <c r="O365" s="312"/>
      <c r="P365" s="312"/>
      <c r="Q365" s="312"/>
      <c r="R365" s="312"/>
      <c r="S365" s="312"/>
      <c r="T365" s="312"/>
      <c r="U365" s="312"/>
      <c r="V365" s="312"/>
      <c r="W365" s="312"/>
      <c r="X365" s="312"/>
      <c r="Y365" s="312"/>
      <c r="Z365" s="312"/>
      <c r="AA365" s="312"/>
      <c r="AB365" s="312"/>
      <c r="AC365" s="396"/>
      <c r="AD365" s="312"/>
      <c r="AE365" s="312"/>
      <c r="AF365" s="312"/>
      <c r="AG365" s="312"/>
      <c r="AH365" s="312"/>
      <c r="AI365" s="312"/>
      <c r="AJ365" s="312"/>
      <c r="AK365" s="312"/>
      <c r="AL365" s="312"/>
      <c r="AM365" s="312"/>
      <c r="AN365" s="312"/>
      <c r="AO365" s="312"/>
      <c r="AP365" s="312"/>
      <c r="AQ365" s="312"/>
      <c r="AR365" s="312"/>
      <c r="AS365" s="312"/>
      <c r="AT365" s="312"/>
      <c r="AU365" s="312"/>
      <c r="AV365" s="312"/>
      <c r="AW365" s="312"/>
      <c r="AX365" s="312"/>
      <c r="AY365" s="312"/>
      <c r="AZ365" s="312"/>
      <c r="BA365" s="312"/>
      <c r="BB365" s="312"/>
      <c r="BC365" s="312"/>
      <c r="BD365" s="316"/>
      <c r="BE365" s="316"/>
      <c r="BF365" s="316"/>
      <c r="BG365" s="316"/>
      <c r="BH365" s="316"/>
      <c r="BI365" s="316"/>
      <c r="BJ365" s="316"/>
      <c r="BK365" s="316"/>
      <c r="BL365" s="316"/>
      <c r="BM365" s="316"/>
      <c r="BN365" s="316"/>
      <c r="BO365" s="316"/>
      <c r="BP365" s="316"/>
      <c r="BQ365" s="316"/>
      <c r="BR365" s="316"/>
      <c r="BS365" s="316"/>
      <c r="BT365" s="316"/>
      <c r="BU365" s="316"/>
      <c r="BV365" s="316"/>
      <c r="BW365" s="316"/>
      <c r="BX365" s="316"/>
      <c r="BY365" s="316"/>
      <c r="BZ365" s="316"/>
      <c r="CA365" s="316"/>
      <c r="CB365" s="316"/>
      <c r="CC365" s="316"/>
      <c r="CD365" s="316"/>
    </row>
    <row r="366" ht="15.75" customHeight="1">
      <c r="A366" s="308"/>
      <c r="B366" s="312"/>
      <c r="C366" s="312"/>
      <c r="D366" s="312"/>
      <c r="E366" s="312"/>
      <c r="F366" s="312"/>
      <c r="G366" s="312"/>
      <c r="H366" s="312"/>
      <c r="I366" s="312"/>
      <c r="J366" s="312"/>
      <c r="K366" s="312"/>
      <c r="L366" s="312"/>
      <c r="M366" s="312"/>
      <c r="N366" s="312"/>
      <c r="O366" s="312"/>
      <c r="P366" s="312"/>
      <c r="Q366" s="312"/>
      <c r="R366" s="312"/>
      <c r="S366" s="312"/>
      <c r="T366" s="312"/>
      <c r="U366" s="312"/>
      <c r="V366" s="312"/>
      <c r="W366" s="312"/>
      <c r="X366" s="312"/>
      <c r="Y366" s="312"/>
      <c r="Z366" s="312"/>
      <c r="AA366" s="312"/>
      <c r="AB366" s="312"/>
      <c r="AC366" s="396"/>
      <c r="AD366" s="312"/>
      <c r="AE366" s="312"/>
      <c r="AF366" s="312"/>
      <c r="AG366" s="312"/>
      <c r="AH366" s="312"/>
      <c r="AI366" s="312"/>
      <c r="AJ366" s="312"/>
      <c r="AK366" s="312"/>
      <c r="AL366" s="312"/>
      <c r="AM366" s="312"/>
      <c r="AN366" s="312"/>
      <c r="AO366" s="312"/>
      <c r="AP366" s="312"/>
      <c r="AQ366" s="312"/>
      <c r="AR366" s="312"/>
      <c r="AS366" s="312"/>
      <c r="AT366" s="312"/>
      <c r="AU366" s="312"/>
      <c r="AV366" s="312"/>
      <c r="AW366" s="312"/>
      <c r="AX366" s="312"/>
      <c r="AY366" s="312"/>
      <c r="AZ366" s="312"/>
      <c r="BA366" s="312"/>
      <c r="BB366" s="312"/>
      <c r="BC366" s="312"/>
      <c r="BD366" s="316"/>
      <c r="BE366" s="316"/>
      <c r="BF366" s="316"/>
      <c r="BG366" s="316"/>
      <c r="BH366" s="316"/>
      <c r="BI366" s="316"/>
      <c r="BJ366" s="316"/>
      <c r="BK366" s="316"/>
      <c r="BL366" s="316"/>
      <c r="BM366" s="316"/>
      <c r="BN366" s="316"/>
      <c r="BO366" s="316"/>
      <c r="BP366" s="316"/>
      <c r="BQ366" s="316"/>
      <c r="BR366" s="316"/>
      <c r="BS366" s="316"/>
      <c r="BT366" s="316"/>
      <c r="BU366" s="316"/>
      <c r="BV366" s="316"/>
      <c r="BW366" s="316"/>
      <c r="BX366" s="316"/>
      <c r="BY366" s="316"/>
      <c r="BZ366" s="316"/>
      <c r="CA366" s="316"/>
      <c r="CB366" s="316"/>
      <c r="CC366" s="316"/>
      <c r="CD366" s="316"/>
    </row>
    <row r="367" ht="15.75" customHeight="1">
      <c r="A367" s="308"/>
      <c r="B367" s="312"/>
      <c r="C367" s="312"/>
      <c r="D367" s="312"/>
      <c r="E367" s="312"/>
      <c r="F367" s="312"/>
      <c r="G367" s="312"/>
      <c r="H367" s="312"/>
      <c r="I367" s="312"/>
      <c r="J367" s="312"/>
      <c r="K367" s="312"/>
      <c r="L367" s="312"/>
      <c r="M367" s="312"/>
      <c r="N367" s="312"/>
      <c r="O367" s="312"/>
      <c r="P367" s="312"/>
      <c r="Q367" s="312"/>
      <c r="R367" s="312"/>
      <c r="S367" s="312"/>
      <c r="T367" s="312"/>
      <c r="U367" s="312"/>
      <c r="V367" s="312"/>
      <c r="W367" s="312"/>
      <c r="X367" s="312"/>
      <c r="Y367" s="312"/>
      <c r="Z367" s="312"/>
      <c r="AA367" s="312"/>
      <c r="AB367" s="312"/>
      <c r="AC367" s="396"/>
      <c r="AD367" s="312"/>
      <c r="AE367" s="312"/>
      <c r="AF367" s="312"/>
      <c r="AG367" s="312"/>
      <c r="AH367" s="312"/>
      <c r="AI367" s="312"/>
      <c r="AJ367" s="312"/>
      <c r="AK367" s="312"/>
      <c r="AL367" s="312"/>
      <c r="AM367" s="312"/>
      <c r="AN367" s="312"/>
      <c r="AO367" s="312"/>
      <c r="AP367" s="312"/>
      <c r="AQ367" s="312"/>
      <c r="AR367" s="312"/>
      <c r="AS367" s="312"/>
      <c r="AT367" s="312"/>
      <c r="AU367" s="312"/>
      <c r="AV367" s="312"/>
      <c r="AW367" s="312"/>
      <c r="AX367" s="312"/>
      <c r="AY367" s="312"/>
      <c r="AZ367" s="312"/>
      <c r="BA367" s="312"/>
      <c r="BB367" s="312"/>
      <c r="BC367" s="312"/>
      <c r="BD367" s="316"/>
      <c r="BE367" s="316"/>
      <c r="BF367" s="316"/>
      <c r="BG367" s="316"/>
      <c r="BH367" s="316"/>
      <c r="BI367" s="316"/>
      <c r="BJ367" s="316"/>
      <c r="BK367" s="316"/>
      <c r="BL367" s="316"/>
      <c r="BM367" s="316"/>
      <c r="BN367" s="316"/>
      <c r="BO367" s="316"/>
      <c r="BP367" s="316"/>
      <c r="BQ367" s="316"/>
      <c r="BR367" s="316"/>
      <c r="BS367" s="316"/>
      <c r="BT367" s="316"/>
      <c r="BU367" s="316"/>
      <c r="BV367" s="316"/>
      <c r="BW367" s="316"/>
      <c r="BX367" s="316"/>
      <c r="BY367" s="316"/>
      <c r="BZ367" s="316"/>
      <c r="CA367" s="316"/>
      <c r="CB367" s="316"/>
      <c r="CC367" s="316"/>
      <c r="CD367" s="316"/>
    </row>
    <row r="368" ht="15.75" customHeight="1">
      <c r="A368" s="308"/>
      <c r="B368" s="312"/>
      <c r="C368" s="312"/>
      <c r="D368" s="312"/>
      <c r="E368" s="312"/>
      <c r="F368" s="312"/>
      <c r="G368" s="312"/>
      <c r="H368" s="312"/>
      <c r="I368" s="312"/>
      <c r="J368" s="312"/>
      <c r="K368" s="312"/>
      <c r="L368" s="312"/>
      <c r="M368" s="312"/>
      <c r="N368" s="312"/>
      <c r="O368" s="312"/>
      <c r="P368" s="312"/>
      <c r="Q368" s="312"/>
      <c r="R368" s="312"/>
      <c r="S368" s="312"/>
      <c r="T368" s="312"/>
      <c r="U368" s="312"/>
      <c r="V368" s="312"/>
      <c r="W368" s="312"/>
      <c r="X368" s="312"/>
      <c r="Y368" s="312"/>
      <c r="Z368" s="312"/>
      <c r="AA368" s="312"/>
      <c r="AB368" s="312"/>
      <c r="AC368" s="396"/>
      <c r="AD368" s="312"/>
      <c r="AE368" s="312"/>
      <c r="AF368" s="312"/>
      <c r="AG368" s="312"/>
      <c r="AH368" s="312"/>
      <c r="AI368" s="312"/>
      <c r="AJ368" s="312"/>
      <c r="AK368" s="312"/>
      <c r="AL368" s="312"/>
      <c r="AM368" s="312"/>
      <c r="AN368" s="312"/>
      <c r="AO368" s="312"/>
      <c r="AP368" s="312"/>
      <c r="AQ368" s="312"/>
      <c r="AR368" s="312"/>
      <c r="AS368" s="312"/>
      <c r="AT368" s="312"/>
      <c r="AU368" s="312"/>
      <c r="AV368" s="312"/>
      <c r="AW368" s="312"/>
      <c r="AX368" s="312"/>
      <c r="AY368" s="312"/>
      <c r="AZ368" s="312"/>
      <c r="BA368" s="312"/>
      <c r="BB368" s="312"/>
      <c r="BC368" s="312"/>
      <c r="BD368" s="316"/>
      <c r="BE368" s="316"/>
      <c r="BF368" s="316"/>
      <c r="BG368" s="316"/>
      <c r="BH368" s="316"/>
      <c r="BI368" s="316"/>
      <c r="BJ368" s="316"/>
      <c r="BK368" s="316"/>
      <c r="BL368" s="316"/>
      <c r="BM368" s="316"/>
      <c r="BN368" s="316"/>
      <c r="BO368" s="316"/>
      <c r="BP368" s="316"/>
      <c r="BQ368" s="316"/>
      <c r="BR368" s="316"/>
      <c r="BS368" s="316"/>
      <c r="BT368" s="316"/>
      <c r="BU368" s="316"/>
      <c r="BV368" s="316"/>
      <c r="BW368" s="316"/>
      <c r="BX368" s="316"/>
      <c r="BY368" s="316"/>
      <c r="BZ368" s="316"/>
      <c r="CA368" s="316"/>
      <c r="CB368" s="316"/>
      <c r="CC368" s="316"/>
      <c r="CD368" s="316"/>
    </row>
    <row r="369" ht="15.75" customHeight="1">
      <c r="A369" s="308"/>
      <c r="B369" s="312"/>
      <c r="C369" s="312"/>
      <c r="D369" s="312"/>
      <c r="E369" s="312"/>
      <c r="F369" s="312"/>
      <c r="G369" s="312"/>
      <c r="H369" s="312"/>
      <c r="I369" s="312"/>
      <c r="J369" s="312"/>
      <c r="K369" s="312"/>
      <c r="L369" s="312"/>
      <c r="M369" s="312"/>
      <c r="N369" s="312"/>
      <c r="O369" s="312"/>
      <c r="P369" s="312"/>
      <c r="Q369" s="312"/>
      <c r="R369" s="312"/>
      <c r="S369" s="312"/>
      <c r="T369" s="312"/>
      <c r="U369" s="312"/>
      <c r="V369" s="312"/>
      <c r="W369" s="312"/>
      <c r="X369" s="312"/>
      <c r="Y369" s="312"/>
      <c r="Z369" s="312"/>
      <c r="AA369" s="312"/>
      <c r="AB369" s="312"/>
      <c r="AC369" s="396"/>
      <c r="AD369" s="312"/>
      <c r="AE369" s="312"/>
      <c r="AF369" s="312"/>
      <c r="AG369" s="312"/>
      <c r="AH369" s="312"/>
      <c r="AI369" s="312"/>
      <c r="AJ369" s="312"/>
      <c r="AK369" s="312"/>
      <c r="AL369" s="312"/>
      <c r="AM369" s="312"/>
      <c r="AN369" s="312"/>
      <c r="AO369" s="312"/>
      <c r="AP369" s="312"/>
      <c r="AQ369" s="312"/>
      <c r="AR369" s="312"/>
      <c r="AS369" s="312"/>
      <c r="AT369" s="312"/>
      <c r="AU369" s="312"/>
      <c r="AV369" s="312"/>
      <c r="AW369" s="312"/>
      <c r="AX369" s="312"/>
      <c r="AY369" s="312"/>
      <c r="AZ369" s="312"/>
      <c r="BA369" s="312"/>
      <c r="BB369" s="312"/>
      <c r="BC369" s="312"/>
      <c r="BD369" s="316"/>
      <c r="BE369" s="316"/>
      <c r="BF369" s="316"/>
      <c r="BG369" s="316"/>
      <c r="BH369" s="316"/>
      <c r="BI369" s="316"/>
      <c r="BJ369" s="316"/>
      <c r="BK369" s="316"/>
      <c r="BL369" s="316"/>
      <c r="BM369" s="316"/>
      <c r="BN369" s="316"/>
      <c r="BO369" s="316"/>
      <c r="BP369" s="316"/>
      <c r="BQ369" s="316"/>
      <c r="BR369" s="316"/>
      <c r="BS369" s="316"/>
      <c r="BT369" s="316"/>
      <c r="BU369" s="316"/>
      <c r="BV369" s="316"/>
      <c r="BW369" s="316"/>
      <c r="BX369" s="316"/>
      <c r="BY369" s="316"/>
      <c r="BZ369" s="316"/>
      <c r="CA369" s="316"/>
      <c r="CB369" s="316"/>
      <c r="CC369" s="316"/>
      <c r="CD369" s="316"/>
    </row>
    <row r="370" ht="15.75" customHeight="1">
      <c r="A370" s="308"/>
      <c r="B370" s="312"/>
      <c r="C370" s="312"/>
      <c r="D370" s="312"/>
      <c r="E370" s="312"/>
      <c r="F370" s="312"/>
      <c r="G370" s="312"/>
      <c r="H370" s="312"/>
      <c r="I370" s="312"/>
      <c r="J370" s="312"/>
      <c r="K370" s="312"/>
      <c r="L370" s="312"/>
      <c r="M370" s="312"/>
      <c r="N370" s="312"/>
      <c r="O370" s="312"/>
      <c r="P370" s="312"/>
      <c r="Q370" s="312"/>
      <c r="R370" s="312"/>
      <c r="S370" s="312"/>
      <c r="T370" s="312"/>
      <c r="U370" s="312"/>
      <c r="V370" s="312"/>
      <c r="W370" s="312"/>
      <c r="X370" s="312"/>
      <c r="Y370" s="312"/>
      <c r="Z370" s="312"/>
      <c r="AA370" s="312"/>
      <c r="AB370" s="312"/>
      <c r="AC370" s="396"/>
      <c r="AD370" s="312"/>
      <c r="AE370" s="312"/>
      <c r="AF370" s="312"/>
      <c r="AG370" s="312"/>
      <c r="AH370" s="312"/>
      <c r="AI370" s="312"/>
      <c r="AJ370" s="312"/>
      <c r="AK370" s="312"/>
      <c r="AL370" s="312"/>
      <c r="AM370" s="312"/>
      <c r="AN370" s="312"/>
      <c r="AO370" s="312"/>
      <c r="AP370" s="312"/>
      <c r="AQ370" s="312"/>
      <c r="AR370" s="312"/>
      <c r="AS370" s="312"/>
      <c r="AT370" s="312"/>
      <c r="AU370" s="312"/>
      <c r="AV370" s="312"/>
      <c r="AW370" s="312"/>
      <c r="AX370" s="312"/>
      <c r="AY370" s="312"/>
      <c r="AZ370" s="312"/>
      <c r="BA370" s="312"/>
      <c r="BB370" s="312"/>
      <c r="BC370" s="312"/>
      <c r="BD370" s="316"/>
      <c r="BE370" s="316"/>
      <c r="BF370" s="316"/>
      <c r="BG370" s="316"/>
      <c r="BH370" s="316"/>
      <c r="BI370" s="316"/>
      <c r="BJ370" s="316"/>
      <c r="BK370" s="316"/>
      <c r="BL370" s="316"/>
      <c r="BM370" s="316"/>
      <c r="BN370" s="316"/>
      <c r="BO370" s="316"/>
      <c r="BP370" s="316"/>
      <c r="BQ370" s="316"/>
      <c r="BR370" s="316"/>
      <c r="BS370" s="316"/>
      <c r="BT370" s="316"/>
      <c r="BU370" s="316"/>
      <c r="BV370" s="316"/>
      <c r="BW370" s="316"/>
      <c r="BX370" s="316"/>
      <c r="BY370" s="316"/>
      <c r="BZ370" s="316"/>
      <c r="CA370" s="316"/>
      <c r="CB370" s="316"/>
      <c r="CC370" s="316"/>
      <c r="CD370" s="316"/>
    </row>
    <row r="371" ht="15.75" customHeight="1">
      <c r="A371" s="308"/>
      <c r="B371" s="312"/>
      <c r="C371" s="312"/>
      <c r="D371" s="312"/>
      <c r="E371" s="312"/>
      <c r="F371" s="312"/>
      <c r="G371" s="312"/>
      <c r="H371" s="312"/>
      <c r="I371" s="312"/>
      <c r="J371" s="312"/>
      <c r="K371" s="312"/>
      <c r="L371" s="312"/>
      <c r="M371" s="312"/>
      <c r="N371" s="312"/>
      <c r="O371" s="312"/>
      <c r="P371" s="312"/>
      <c r="Q371" s="312"/>
      <c r="R371" s="312"/>
      <c r="S371" s="312"/>
      <c r="T371" s="312"/>
      <c r="U371" s="312"/>
      <c r="V371" s="312"/>
      <c r="W371" s="312"/>
      <c r="X371" s="312"/>
      <c r="Y371" s="312"/>
      <c r="Z371" s="312"/>
      <c r="AA371" s="312"/>
      <c r="AB371" s="312"/>
      <c r="AC371" s="396"/>
      <c r="AD371" s="312"/>
      <c r="AE371" s="312"/>
      <c r="AF371" s="312"/>
      <c r="AG371" s="312"/>
      <c r="AH371" s="312"/>
      <c r="AI371" s="312"/>
      <c r="AJ371" s="312"/>
      <c r="AK371" s="312"/>
      <c r="AL371" s="312"/>
      <c r="AM371" s="312"/>
      <c r="AN371" s="312"/>
      <c r="AO371" s="312"/>
      <c r="AP371" s="312"/>
      <c r="AQ371" s="312"/>
      <c r="AR371" s="312"/>
      <c r="AS371" s="312"/>
      <c r="AT371" s="312"/>
      <c r="AU371" s="312"/>
      <c r="AV371" s="312"/>
      <c r="AW371" s="312"/>
      <c r="AX371" s="312"/>
      <c r="AY371" s="312"/>
      <c r="AZ371" s="312"/>
      <c r="BA371" s="312"/>
      <c r="BB371" s="312"/>
      <c r="BC371" s="312"/>
      <c r="BD371" s="316"/>
      <c r="BE371" s="316"/>
      <c r="BF371" s="316"/>
      <c r="BG371" s="316"/>
      <c r="BH371" s="316"/>
      <c r="BI371" s="316"/>
      <c r="BJ371" s="316"/>
      <c r="BK371" s="316"/>
      <c r="BL371" s="316"/>
      <c r="BM371" s="316"/>
      <c r="BN371" s="316"/>
      <c r="BO371" s="316"/>
      <c r="BP371" s="316"/>
      <c r="BQ371" s="316"/>
      <c r="BR371" s="316"/>
      <c r="BS371" s="316"/>
      <c r="BT371" s="316"/>
      <c r="BU371" s="316"/>
      <c r="BV371" s="316"/>
      <c r="BW371" s="316"/>
      <c r="BX371" s="316"/>
      <c r="BY371" s="316"/>
      <c r="BZ371" s="316"/>
      <c r="CA371" s="316"/>
      <c r="CB371" s="316"/>
      <c r="CC371" s="316"/>
      <c r="CD371" s="316"/>
    </row>
    <row r="372" ht="15.75" customHeight="1">
      <c r="A372" s="308"/>
      <c r="B372" s="312"/>
      <c r="C372" s="312"/>
      <c r="D372" s="312"/>
      <c r="E372" s="312"/>
      <c r="F372" s="312"/>
      <c r="G372" s="312"/>
      <c r="H372" s="312"/>
      <c r="I372" s="312"/>
      <c r="J372" s="312"/>
      <c r="K372" s="312"/>
      <c r="L372" s="312"/>
      <c r="M372" s="312"/>
      <c r="N372" s="312"/>
      <c r="O372" s="312"/>
      <c r="P372" s="312"/>
      <c r="Q372" s="312"/>
      <c r="R372" s="312"/>
      <c r="S372" s="312"/>
      <c r="T372" s="312"/>
      <c r="U372" s="312"/>
      <c r="V372" s="312"/>
      <c r="W372" s="312"/>
      <c r="X372" s="312"/>
      <c r="Y372" s="312"/>
      <c r="Z372" s="312"/>
      <c r="AA372" s="312"/>
      <c r="AB372" s="312"/>
      <c r="AC372" s="396"/>
      <c r="AD372" s="312"/>
      <c r="AE372" s="312"/>
      <c r="AF372" s="312"/>
      <c r="AG372" s="312"/>
      <c r="AH372" s="312"/>
      <c r="AI372" s="312"/>
      <c r="AJ372" s="312"/>
      <c r="AK372" s="312"/>
      <c r="AL372" s="312"/>
      <c r="AM372" s="312"/>
      <c r="AN372" s="312"/>
      <c r="AO372" s="312"/>
      <c r="AP372" s="312"/>
      <c r="AQ372" s="312"/>
      <c r="AR372" s="312"/>
      <c r="AS372" s="312"/>
      <c r="AT372" s="312"/>
      <c r="AU372" s="312"/>
      <c r="AV372" s="312"/>
      <c r="AW372" s="312"/>
      <c r="AX372" s="312"/>
      <c r="AY372" s="312"/>
      <c r="AZ372" s="312"/>
      <c r="BA372" s="312"/>
      <c r="BB372" s="312"/>
      <c r="BC372" s="312"/>
      <c r="BD372" s="316"/>
      <c r="BE372" s="316"/>
      <c r="BF372" s="316"/>
      <c r="BG372" s="316"/>
      <c r="BH372" s="316"/>
      <c r="BI372" s="316"/>
      <c r="BJ372" s="316"/>
      <c r="BK372" s="316"/>
      <c r="BL372" s="316"/>
      <c r="BM372" s="316"/>
      <c r="BN372" s="316"/>
      <c r="BO372" s="316"/>
      <c r="BP372" s="316"/>
      <c r="BQ372" s="316"/>
      <c r="BR372" s="316"/>
      <c r="BS372" s="316"/>
      <c r="BT372" s="316"/>
      <c r="BU372" s="316"/>
      <c r="BV372" s="316"/>
      <c r="BW372" s="316"/>
      <c r="BX372" s="316"/>
      <c r="BY372" s="316"/>
      <c r="BZ372" s="316"/>
      <c r="CA372" s="316"/>
      <c r="CB372" s="316"/>
      <c r="CC372" s="316"/>
      <c r="CD372" s="316"/>
    </row>
    <row r="373" ht="15.75" customHeight="1">
      <c r="A373" s="308"/>
      <c r="B373" s="312"/>
      <c r="C373" s="312"/>
      <c r="D373" s="312"/>
      <c r="E373" s="312"/>
      <c r="F373" s="312"/>
      <c r="G373" s="312"/>
      <c r="H373" s="312"/>
      <c r="I373" s="312"/>
      <c r="J373" s="312"/>
      <c r="K373" s="312"/>
      <c r="L373" s="312"/>
      <c r="M373" s="312"/>
      <c r="N373" s="312"/>
      <c r="O373" s="312"/>
      <c r="P373" s="312"/>
      <c r="Q373" s="312"/>
      <c r="R373" s="312"/>
      <c r="S373" s="312"/>
      <c r="T373" s="312"/>
      <c r="U373" s="312"/>
      <c r="V373" s="312"/>
      <c r="W373" s="312"/>
      <c r="X373" s="312"/>
      <c r="Y373" s="312"/>
      <c r="Z373" s="312"/>
      <c r="AA373" s="312"/>
      <c r="AB373" s="312"/>
      <c r="AC373" s="396"/>
      <c r="AD373" s="312"/>
      <c r="AE373" s="312"/>
      <c r="AF373" s="312"/>
      <c r="AG373" s="312"/>
      <c r="AH373" s="312"/>
      <c r="AI373" s="312"/>
      <c r="AJ373" s="312"/>
      <c r="AK373" s="312"/>
      <c r="AL373" s="312"/>
      <c r="AM373" s="312"/>
      <c r="AN373" s="312"/>
      <c r="AO373" s="312"/>
      <c r="AP373" s="312"/>
      <c r="AQ373" s="312"/>
      <c r="AR373" s="312"/>
      <c r="AS373" s="312"/>
      <c r="AT373" s="312"/>
      <c r="AU373" s="312"/>
      <c r="AV373" s="312"/>
      <c r="AW373" s="312"/>
      <c r="AX373" s="312"/>
      <c r="AY373" s="312"/>
      <c r="AZ373" s="312"/>
      <c r="BA373" s="312"/>
      <c r="BB373" s="312"/>
      <c r="BC373" s="312"/>
      <c r="BD373" s="316"/>
      <c r="BE373" s="316"/>
      <c r="BF373" s="316"/>
      <c r="BG373" s="316"/>
      <c r="BH373" s="316"/>
      <c r="BI373" s="316"/>
      <c r="BJ373" s="316"/>
      <c r="BK373" s="316"/>
      <c r="BL373" s="316"/>
      <c r="BM373" s="316"/>
      <c r="BN373" s="316"/>
      <c r="BO373" s="316"/>
      <c r="BP373" s="316"/>
      <c r="BQ373" s="316"/>
      <c r="BR373" s="316"/>
      <c r="BS373" s="316"/>
      <c r="BT373" s="316"/>
      <c r="BU373" s="316"/>
      <c r="BV373" s="316"/>
      <c r="BW373" s="316"/>
      <c r="BX373" s="316"/>
      <c r="BY373" s="316"/>
      <c r="BZ373" s="316"/>
      <c r="CA373" s="316"/>
      <c r="CB373" s="316"/>
      <c r="CC373" s="316"/>
      <c r="CD373" s="316"/>
    </row>
    <row r="374" ht="15.75" customHeight="1">
      <c r="A374" s="308"/>
      <c r="B374" s="312"/>
      <c r="C374" s="312"/>
      <c r="D374" s="312"/>
      <c r="E374" s="312"/>
      <c r="F374" s="312"/>
      <c r="G374" s="312"/>
      <c r="H374" s="312"/>
      <c r="I374" s="312"/>
      <c r="J374" s="312"/>
      <c r="K374" s="312"/>
      <c r="L374" s="312"/>
      <c r="M374" s="312"/>
      <c r="N374" s="312"/>
      <c r="O374" s="312"/>
      <c r="P374" s="312"/>
      <c r="Q374" s="312"/>
      <c r="R374" s="312"/>
      <c r="S374" s="312"/>
      <c r="T374" s="312"/>
      <c r="U374" s="312"/>
      <c r="V374" s="312"/>
      <c r="W374" s="312"/>
      <c r="X374" s="312"/>
      <c r="Y374" s="312"/>
      <c r="Z374" s="312"/>
      <c r="AA374" s="312"/>
      <c r="AB374" s="312"/>
      <c r="AC374" s="396"/>
      <c r="AD374" s="312"/>
      <c r="AE374" s="312"/>
      <c r="AF374" s="312"/>
      <c r="AG374" s="312"/>
      <c r="AH374" s="312"/>
      <c r="AI374" s="312"/>
      <c r="AJ374" s="312"/>
      <c r="AK374" s="312"/>
      <c r="AL374" s="312"/>
      <c r="AM374" s="312"/>
      <c r="AN374" s="312"/>
      <c r="AO374" s="312"/>
      <c r="AP374" s="312"/>
      <c r="AQ374" s="312"/>
      <c r="AR374" s="312"/>
      <c r="AS374" s="312"/>
      <c r="AT374" s="312"/>
      <c r="AU374" s="312"/>
      <c r="AV374" s="312"/>
      <c r="AW374" s="312"/>
      <c r="AX374" s="312"/>
      <c r="AY374" s="312"/>
      <c r="AZ374" s="312"/>
      <c r="BA374" s="312"/>
      <c r="BB374" s="312"/>
      <c r="BC374" s="312"/>
      <c r="BD374" s="316"/>
      <c r="BE374" s="316"/>
      <c r="BF374" s="316"/>
      <c r="BG374" s="316"/>
      <c r="BH374" s="316"/>
      <c r="BI374" s="316"/>
      <c r="BJ374" s="316"/>
      <c r="BK374" s="316"/>
      <c r="BL374" s="316"/>
      <c r="BM374" s="316"/>
      <c r="BN374" s="316"/>
      <c r="BO374" s="316"/>
      <c r="BP374" s="316"/>
      <c r="BQ374" s="316"/>
      <c r="BR374" s="316"/>
      <c r="BS374" s="316"/>
      <c r="BT374" s="316"/>
      <c r="BU374" s="316"/>
      <c r="BV374" s="316"/>
      <c r="BW374" s="316"/>
      <c r="BX374" s="316"/>
      <c r="BY374" s="316"/>
      <c r="BZ374" s="316"/>
      <c r="CA374" s="316"/>
      <c r="CB374" s="316"/>
      <c r="CC374" s="316"/>
      <c r="CD374" s="316"/>
    </row>
    <row r="375" ht="15.75" customHeight="1">
      <c r="A375" s="308"/>
      <c r="B375" s="312"/>
      <c r="C375" s="312"/>
      <c r="D375" s="312"/>
      <c r="E375" s="312"/>
      <c r="F375" s="312"/>
      <c r="G375" s="312"/>
      <c r="H375" s="312"/>
      <c r="I375" s="312"/>
      <c r="J375" s="312"/>
      <c r="K375" s="312"/>
      <c r="L375" s="312"/>
      <c r="M375" s="312"/>
      <c r="N375" s="312"/>
      <c r="O375" s="312"/>
      <c r="P375" s="312"/>
      <c r="Q375" s="312"/>
      <c r="R375" s="312"/>
      <c r="S375" s="312"/>
      <c r="T375" s="312"/>
      <c r="U375" s="312"/>
      <c r="V375" s="312"/>
      <c r="W375" s="312"/>
      <c r="X375" s="312"/>
      <c r="Y375" s="312"/>
      <c r="Z375" s="312"/>
      <c r="AA375" s="312"/>
      <c r="AB375" s="312"/>
      <c r="AC375" s="396"/>
      <c r="AD375" s="312"/>
      <c r="AE375" s="312"/>
      <c r="AF375" s="312"/>
      <c r="AG375" s="312"/>
      <c r="AH375" s="312"/>
      <c r="AI375" s="312"/>
      <c r="AJ375" s="312"/>
      <c r="AK375" s="312"/>
      <c r="AL375" s="312"/>
      <c r="AM375" s="312"/>
      <c r="AN375" s="312"/>
      <c r="AO375" s="312"/>
      <c r="AP375" s="312"/>
      <c r="AQ375" s="312"/>
      <c r="AR375" s="312"/>
      <c r="AS375" s="312"/>
      <c r="AT375" s="312"/>
      <c r="AU375" s="312"/>
      <c r="AV375" s="312"/>
      <c r="AW375" s="312"/>
      <c r="AX375" s="312"/>
      <c r="AY375" s="312"/>
      <c r="AZ375" s="312"/>
      <c r="BA375" s="312"/>
      <c r="BB375" s="312"/>
      <c r="BC375" s="312"/>
      <c r="BD375" s="316"/>
      <c r="BE375" s="316"/>
      <c r="BF375" s="316"/>
      <c r="BG375" s="316"/>
      <c r="BH375" s="316"/>
      <c r="BI375" s="316"/>
      <c r="BJ375" s="316"/>
      <c r="BK375" s="316"/>
      <c r="BL375" s="316"/>
      <c r="BM375" s="316"/>
      <c r="BN375" s="316"/>
      <c r="BO375" s="316"/>
      <c r="BP375" s="316"/>
      <c r="BQ375" s="316"/>
      <c r="BR375" s="316"/>
      <c r="BS375" s="316"/>
      <c r="BT375" s="316"/>
      <c r="BU375" s="316"/>
      <c r="BV375" s="316"/>
      <c r="BW375" s="316"/>
      <c r="BX375" s="316"/>
      <c r="BY375" s="316"/>
      <c r="BZ375" s="316"/>
      <c r="CA375" s="316"/>
      <c r="CB375" s="316"/>
      <c r="CC375" s="316"/>
      <c r="CD375" s="316"/>
    </row>
    <row r="376" ht="15.75" customHeight="1">
      <c r="A376" s="308"/>
      <c r="B376" s="312"/>
      <c r="C376" s="312"/>
      <c r="D376" s="312"/>
      <c r="E376" s="312"/>
      <c r="F376" s="312"/>
      <c r="G376" s="312"/>
      <c r="H376" s="312"/>
      <c r="I376" s="312"/>
      <c r="J376" s="312"/>
      <c r="K376" s="312"/>
      <c r="L376" s="312"/>
      <c r="M376" s="312"/>
      <c r="N376" s="312"/>
      <c r="O376" s="312"/>
      <c r="P376" s="312"/>
      <c r="Q376" s="312"/>
      <c r="R376" s="312"/>
      <c r="S376" s="312"/>
      <c r="T376" s="312"/>
      <c r="U376" s="312"/>
      <c r="V376" s="312"/>
      <c r="W376" s="312"/>
      <c r="X376" s="312"/>
      <c r="Y376" s="312"/>
      <c r="Z376" s="312"/>
      <c r="AA376" s="312"/>
      <c r="AB376" s="312"/>
      <c r="AC376" s="396"/>
      <c r="AD376" s="312"/>
      <c r="AE376" s="312"/>
      <c r="AF376" s="312"/>
      <c r="AG376" s="312"/>
      <c r="AH376" s="312"/>
      <c r="AI376" s="312"/>
      <c r="AJ376" s="312"/>
      <c r="AK376" s="312"/>
      <c r="AL376" s="312"/>
      <c r="AM376" s="312"/>
      <c r="AN376" s="312"/>
      <c r="AO376" s="312"/>
      <c r="AP376" s="312"/>
      <c r="AQ376" s="312"/>
      <c r="AR376" s="312"/>
      <c r="AS376" s="312"/>
      <c r="AT376" s="312"/>
      <c r="AU376" s="312"/>
      <c r="AV376" s="312"/>
      <c r="AW376" s="312"/>
      <c r="AX376" s="312"/>
      <c r="AY376" s="312"/>
      <c r="AZ376" s="312"/>
      <c r="BA376" s="312"/>
      <c r="BB376" s="312"/>
      <c r="BC376" s="312"/>
      <c r="BD376" s="316"/>
      <c r="BE376" s="316"/>
      <c r="BF376" s="316"/>
      <c r="BG376" s="316"/>
      <c r="BH376" s="316"/>
      <c r="BI376" s="316"/>
      <c r="BJ376" s="316"/>
      <c r="BK376" s="316"/>
      <c r="BL376" s="316"/>
      <c r="BM376" s="316"/>
      <c r="BN376" s="316"/>
      <c r="BO376" s="316"/>
      <c r="BP376" s="316"/>
      <c r="BQ376" s="316"/>
      <c r="BR376" s="316"/>
      <c r="BS376" s="316"/>
      <c r="BT376" s="316"/>
      <c r="BU376" s="316"/>
      <c r="BV376" s="316"/>
      <c r="BW376" s="316"/>
      <c r="BX376" s="316"/>
      <c r="BY376" s="316"/>
      <c r="BZ376" s="316"/>
      <c r="CA376" s="316"/>
      <c r="CB376" s="316"/>
      <c r="CC376" s="316"/>
      <c r="CD376" s="316"/>
    </row>
    <row r="377" ht="15.75" customHeight="1">
      <c r="A377" s="308"/>
      <c r="B377" s="312"/>
      <c r="C377" s="312"/>
      <c r="D377" s="312"/>
      <c r="E377" s="312"/>
      <c r="F377" s="312"/>
      <c r="G377" s="312"/>
      <c r="H377" s="312"/>
      <c r="I377" s="312"/>
      <c r="J377" s="312"/>
      <c r="K377" s="312"/>
      <c r="L377" s="312"/>
      <c r="M377" s="312"/>
      <c r="N377" s="312"/>
      <c r="O377" s="312"/>
      <c r="P377" s="312"/>
      <c r="Q377" s="312"/>
      <c r="R377" s="312"/>
      <c r="S377" s="312"/>
      <c r="T377" s="312"/>
      <c r="U377" s="312"/>
      <c r="V377" s="312"/>
      <c r="W377" s="312"/>
      <c r="X377" s="312"/>
      <c r="Y377" s="312"/>
      <c r="Z377" s="312"/>
      <c r="AA377" s="312"/>
      <c r="AB377" s="312"/>
      <c r="AC377" s="396"/>
      <c r="AD377" s="312"/>
      <c r="AE377" s="312"/>
      <c r="AF377" s="312"/>
      <c r="AG377" s="312"/>
      <c r="AH377" s="312"/>
      <c r="AI377" s="312"/>
      <c r="AJ377" s="312"/>
      <c r="AK377" s="312"/>
      <c r="AL377" s="312"/>
      <c r="AM377" s="312"/>
      <c r="AN377" s="312"/>
      <c r="AO377" s="312"/>
      <c r="AP377" s="312"/>
      <c r="AQ377" s="312"/>
      <c r="AR377" s="312"/>
      <c r="AS377" s="312"/>
      <c r="AT377" s="312"/>
      <c r="AU377" s="312"/>
      <c r="AV377" s="312"/>
      <c r="AW377" s="312"/>
      <c r="AX377" s="312"/>
      <c r="AY377" s="312"/>
      <c r="AZ377" s="312"/>
      <c r="BA377" s="312"/>
      <c r="BB377" s="312"/>
      <c r="BC377" s="312"/>
      <c r="BD377" s="316"/>
      <c r="BE377" s="316"/>
      <c r="BF377" s="316"/>
      <c r="BG377" s="316"/>
      <c r="BH377" s="316"/>
      <c r="BI377" s="316"/>
      <c r="BJ377" s="316"/>
      <c r="BK377" s="316"/>
      <c r="BL377" s="316"/>
      <c r="BM377" s="316"/>
      <c r="BN377" s="316"/>
      <c r="BO377" s="316"/>
      <c r="BP377" s="316"/>
      <c r="BQ377" s="316"/>
      <c r="BR377" s="316"/>
      <c r="BS377" s="316"/>
      <c r="BT377" s="316"/>
      <c r="BU377" s="316"/>
      <c r="BV377" s="316"/>
      <c r="BW377" s="316"/>
      <c r="BX377" s="316"/>
      <c r="BY377" s="316"/>
      <c r="BZ377" s="316"/>
      <c r="CA377" s="316"/>
      <c r="CB377" s="316"/>
      <c r="CC377" s="316"/>
      <c r="CD377" s="316"/>
    </row>
    <row r="378" ht="15.75" customHeight="1">
      <c r="A378" s="308"/>
      <c r="B378" s="312"/>
      <c r="C378" s="312"/>
      <c r="D378" s="312"/>
      <c r="E378" s="312"/>
      <c r="F378" s="312"/>
      <c r="G378" s="312"/>
      <c r="H378" s="312"/>
      <c r="I378" s="312"/>
      <c r="J378" s="312"/>
      <c r="K378" s="312"/>
      <c r="L378" s="312"/>
      <c r="M378" s="312"/>
      <c r="N378" s="312"/>
      <c r="O378" s="312"/>
      <c r="P378" s="312"/>
      <c r="Q378" s="312"/>
      <c r="R378" s="312"/>
      <c r="S378" s="312"/>
      <c r="T378" s="312"/>
      <c r="U378" s="312"/>
      <c r="V378" s="312"/>
      <c r="W378" s="312"/>
      <c r="X378" s="312"/>
      <c r="Y378" s="312"/>
      <c r="Z378" s="312"/>
      <c r="AA378" s="312"/>
      <c r="AB378" s="312"/>
      <c r="AC378" s="396"/>
      <c r="AD378" s="312"/>
      <c r="AE378" s="312"/>
      <c r="AF378" s="312"/>
      <c r="AG378" s="312"/>
      <c r="AH378" s="312"/>
      <c r="AI378" s="312"/>
      <c r="AJ378" s="312"/>
      <c r="AK378" s="312"/>
      <c r="AL378" s="312"/>
      <c r="AM378" s="312"/>
      <c r="AN378" s="312"/>
      <c r="AO378" s="312"/>
      <c r="AP378" s="312"/>
      <c r="AQ378" s="312"/>
      <c r="AR378" s="312"/>
      <c r="AS378" s="312"/>
      <c r="AT378" s="312"/>
      <c r="AU378" s="312"/>
      <c r="AV378" s="312"/>
      <c r="AW378" s="312"/>
      <c r="AX378" s="312"/>
      <c r="AY378" s="312"/>
      <c r="AZ378" s="312"/>
      <c r="BA378" s="312"/>
      <c r="BB378" s="312"/>
      <c r="BC378" s="312"/>
      <c r="BD378" s="316"/>
      <c r="BE378" s="316"/>
      <c r="BF378" s="316"/>
      <c r="BG378" s="316"/>
      <c r="BH378" s="316"/>
      <c r="BI378" s="316"/>
      <c r="BJ378" s="316"/>
      <c r="BK378" s="316"/>
      <c r="BL378" s="316"/>
      <c r="BM378" s="316"/>
      <c r="BN378" s="316"/>
      <c r="BO378" s="316"/>
      <c r="BP378" s="316"/>
      <c r="BQ378" s="316"/>
      <c r="BR378" s="316"/>
      <c r="BS378" s="316"/>
      <c r="BT378" s="316"/>
      <c r="BU378" s="316"/>
      <c r="BV378" s="316"/>
      <c r="BW378" s="316"/>
      <c r="BX378" s="316"/>
      <c r="BY378" s="316"/>
      <c r="BZ378" s="316"/>
      <c r="CA378" s="316"/>
      <c r="CB378" s="316"/>
      <c r="CC378" s="316"/>
      <c r="CD378" s="316"/>
    </row>
    <row r="379" ht="15.75" customHeight="1">
      <c r="A379" s="308"/>
      <c r="B379" s="312"/>
      <c r="C379" s="312"/>
      <c r="D379" s="312"/>
      <c r="E379" s="312"/>
      <c r="F379" s="312"/>
      <c r="G379" s="312"/>
      <c r="H379" s="312"/>
      <c r="I379" s="312"/>
      <c r="J379" s="312"/>
      <c r="K379" s="312"/>
      <c r="L379" s="312"/>
      <c r="M379" s="312"/>
      <c r="N379" s="312"/>
      <c r="O379" s="312"/>
      <c r="P379" s="312"/>
      <c r="Q379" s="312"/>
      <c r="R379" s="312"/>
      <c r="S379" s="312"/>
      <c r="T379" s="312"/>
      <c r="U379" s="312"/>
      <c r="V379" s="312"/>
      <c r="W379" s="312"/>
      <c r="X379" s="312"/>
      <c r="Y379" s="312"/>
      <c r="Z379" s="312"/>
      <c r="AA379" s="312"/>
      <c r="AB379" s="312"/>
      <c r="AC379" s="396"/>
      <c r="AD379" s="312"/>
      <c r="AE379" s="312"/>
      <c r="AF379" s="312"/>
      <c r="AG379" s="312"/>
      <c r="AH379" s="312"/>
      <c r="AI379" s="312"/>
      <c r="AJ379" s="312"/>
      <c r="AK379" s="312"/>
      <c r="AL379" s="312"/>
      <c r="AM379" s="312"/>
      <c r="AN379" s="312"/>
      <c r="AO379" s="312"/>
      <c r="AP379" s="312"/>
      <c r="AQ379" s="312"/>
      <c r="AR379" s="312"/>
      <c r="AS379" s="312"/>
      <c r="AT379" s="312"/>
      <c r="AU379" s="312"/>
      <c r="AV379" s="312"/>
      <c r="AW379" s="312"/>
      <c r="AX379" s="312"/>
      <c r="AY379" s="312"/>
      <c r="AZ379" s="312"/>
      <c r="BA379" s="312"/>
      <c r="BB379" s="312"/>
      <c r="BC379" s="312"/>
      <c r="BD379" s="316"/>
      <c r="BE379" s="316"/>
      <c r="BF379" s="316"/>
      <c r="BG379" s="316"/>
      <c r="BH379" s="316"/>
      <c r="BI379" s="316"/>
      <c r="BJ379" s="316"/>
      <c r="BK379" s="316"/>
      <c r="BL379" s="316"/>
      <c r="BM379" s="316"/>
      <c r="BN379" s="316"/>
      <c r="BO379" s="316"/>
      <c r="BP379" s="316"/>
      <c r="BQ379" s="316"/>
      <c r="BR379" s="316"/>
      <c r="BS379" s="316"/>
      <c r="BT379" s="316"/>
      <c r="BU379" s="316"/>
      <c r="BV379" s="316"/>
      <c r="BW379" s="316"/>
      <c r="BX379" s="316"/>
      <c r="BY379" s="316"/>
      <c r="BZ379" s="316"/>
      <c r="CA379" s="316"/>
      <c r="CB379" s="316"/>
      <c r="CC379" s="316"/>
      <c r="CD379" s="316"/>
    </row>
    <row r="380" ht="15.75" customHeight="1">
      <c r="A380" s="308"/>
      <c r="B380" s="312"/>
      <c r="C380" s="312"/>
      <c r="D380" s="312"/>
      <c r="E380" s="312"/>
      <c r="F380" s="312"/>
      <c r="G380" s="312"/>
      <c r="H380" s="312"/>
      <c r="I380" s="312"/>
      <c r="J380" s="312"/>
      <c r="K380" s="312"/>
      <c r="L380" s="312"/>
      <c r="M380" s="312"/>
      <c r="N380" s="312"/>
      <c r="O380" s="312"/>
      <c r="P380" s="312"/>
      <c r="Q380" s="312"/>
      <c r="R380" s="312"/>
      <c r="S380" s="312"/>
      <c r="T380" s="312"/>
      <c r="U380" s="312"/>
      <c r="V380" s="312"/>
      <c r="W380" s="312"/>
      <c r="X380" s="312"/>
      <c r="Y380" s="312"/>
      <c r="Z380" s="312"/>
      <c r="AA380" s="312"/>
      <c r="AB380" s="312"/>
      <c r="AC380" s="396"/>
      <c r="AD380" s="312"/>
      <c r="AE380" s="312"/>
      <c r="AF380" s="312"/>
      <c r="AG380" s="312"/>
      <c r="AH380" s="312"/>
      <c r="AI380" s="312"/>
      <c r="AJ380" s="312"/>
      <c r="AK380" s="312"/>
      <c r="AL380" s="312"/>
      <c r="AM380" s="312"/>
      <c r="AN380" s="312"/>
      <c r="AO380" s="312"/>
      <c r="AP380" s="312"/>
      <c r="AQ380" s="312"/>
      <c r="AR380" s="312"/>
      <c r="AS380" s="312"/>
      <c r="AT380" s="312"/>
      <c r="AU380" s="312"/>
      <c r="AV380" s="312"/>
      <c r="AW380" s="312"/>
      <c r="AX380" s="312"/>
      <c r="AY380" s="312"/>
      <c r="AZ380" s="312"/>
      <c r="BA380" s="312"/>
      <c r="BB380" s="312"/>
      <c r="BC380" s="312"/>
      <c r="BD380" s="316"/>
      <c r="BE380" s="316"/>
      <c r="BF380" s="316"/>
      <c r="BG380" s="316"/>
      <c r="BH380" s="316"/>
      <c r="BI380" s="316"/>
      <c r="BJ380" s="316"/>
      <c r="BK380" s="316"/>
      <c r="BL380" s="316"/>
      <c r="BM380" s="316"/>
      <c r="BN380" s="316"/>
      <c r="BO380" s="316"/>
      <c r="BP380" s="316"/>
      <c r="BQ380" s="316"/>
      <c r="BR380" s="316"/>
      <c r="BS380" s="316"/>
      <c r="BT380" s="316"/>
      <c r="BU380" s="316"/>
      <c r="BV380" s="316"/>
      <c r="BW380" s="316"/>
      <c r="BX380" s="316"/>
      <c r="BY380" s="316"/>
      <c r="BZ380" s="316"/>
      <c r="CA380" s="316"/>
      <c r="CB380" s="316"/>
      <c r="CC380" s="316"/>
      <c r="CD380" s="316"/>
    </row>
    <row r="381" ht="15.75" customHeight="1">
      <c r="A381" s="308"/>
      <c r="B381" s="312"/>
      <c r="C381" s="312"/>
      <c r="D381" s="312"/>
      <c r="E381" s="312"/>
      <c r="F381" s="312"/>
      <c r="G381" s="312"/>
      <c r="H381" s="312"/>
      <c r="I381" s="312"/>
      <c r="J381" s="312"/>
      <c r="K381" s="312"/>
      <c r="L381" s="312"/>
      <c r="M381" s="312"/>
      <c r="N381" s="312"/>
      <c r="O381" s="312"/>
      <c r="P381" s="312"/>
      <c r="Q381" s="312"/>
      <c r="R381" s="312"/>
      <c r="S381" s="312"/>
      <c r="T381" s="312"/>
      <c r="U381" s="312"/>
      <c r="V381" s="312"/>
      <c r="W381" s="312"/>
      <c r="X381" s="312"/>
      <c r="Y381" s="312"/>
      <c r="Z381" s="312"/>
      <c r="AA381" s="312"/>
      <c r="AB381" s="312"/>
      <c r="AC381" s="396"/>
      <c r="AD381" s="312"/>
      <c r="AE381" s="312"/>
      <c r="AF381" s="312"/>
      <c r="AG381" s="312"/>
      <c r="AH381" s="312"/>
      <c r="AI381" s="312"/>
      <c r="AJ381" s="312"/>
      <c r="AK381" s="312"/>
      <c r="AL381" s="312"/>
      <c r="AM381" s="312"/>
      <c r="AN381" s="312"/>
      <c r="AO381" s="312"/>
      <c r="AP381" s="312"/>
      <c r="AQ381" s="312"/>
      <c r="AR381" s="312"/>
      <c r="AS381" s="312"/>
      <c r="AT381" s="312"/>
      <c r="AU381" s="312"/>
      <c r="AV381" s="312"/>
      <c r="AW381" s="312"/>
      <c r="AX381" s="312"/>
      <c r="AY381" s="312"/>
      <c r="AZ381" s="312"/>
      <c r="BA381" s="312"/>
      <c r="BB381" s="312"/>
      <c r="BC381" s="312"/>
      <c r="BD381" s="316"/>
      <c r="BE381" s="316"/>
      <c r="BF381" s="316"/>
      <c r="BG381" s="316"/>
      <c r="BH381" s="316"/>
      <c r="BI381" s="316"/>
      <c r="BJ381" s="316"/>
      <c r="BK381" s="316"/>
      <c r="BL381" s="316"/>
      <c r="BM381" s="316"/>
      <c r="BN381" s="316"/>
      <c r="BO381" s="316"/>
      <c r="BP381" s="316"/>
      <c r="BQ381" s="316"/>
      <c r="BR381" s="316"/>
      <c r="BS381" s="316"/>
      <c r="BT381" s="316"/>
      <c r="BU381" s="316"/>
      <c r="BV381" s="316"/>
      <c r="BW381" s="316"/>
      <c r="BX381" s="316"/>
      <c r="BY381" s="316"/>
      <c r="BZ381" s="316"/>
      <c r="CA381" s="316"/>
      <c r="CB381" s="316"/>
      <c r="CC381" s="316"/>
      <c r="CD381" s="316"/>
    </row>
    <row r="382" ht="15.75" customHeight="1">
      <c r="A382" s="308"/>
      <c r="B382" s="312"/>
      <c r="C382" s="312"/>
      <c r="D382" s="312"/>
      <c r="E382" s="312"/>
      <c r="F382" s="312"/>
      <c r="G382" s="312"/>
      <c r="H382" s="312"/>
      <c r="I382" s="312"/>
      <c r="J382" s="312"/>
      <c r="K382" s="312"/>
      <c r="L382" s="312"/>
      <c r="M382" s="312"/>
      <c r="N382" s="312"/>
      <c r="O382" s="312"/>
      <c r="P382" s="312"/>
      <c r="Q382" s="312"/>
      <c r="R382" s="312"/>
      <c r="S382" s="312"/>
      <c r="T382" s="312"/>
      <c r="U382" s="312"/>
      <c r="V382" s="312"/>
      <c r="W382" s="312"/>
      <c r="X382" s="312"/>
      <c r="Y382" s="312"/>
      <c r="Z382" s="312"/>
      <c r="AA382" s="312"/>
      <c r="AB382" s="312"/>
      <c r="AC382" s="396"/>
      <c r="AD382" s="312"/>
      <c r="AE382" s="312"/>
      <c r="AF382" s="312"/>
      <c r="AG382" s="312"/>
      <c r="AH382" s="312"/>
      <c r="AI382" s="312"/>
      <c r="AJ382" s="312"/>
      <c r="AK382" s="312"/>
      <c r="AL382" s="312"/>
      <c r="AM382" s="312"/>
      <c r="AN382" s="312"/>
      <c r="AO382" s="312"/>
      <c r="AP382" s="312"/>
      <c r="AQ382" s="312"/>
      <c r="AR382" s="312"/>
      <c r="AS382" s="312"/>
      <c r="AT382" s="312"/>
      <c r="AU382" s="312"/>
      <c r="AV382" s="312"/>
      <c r="AW382" s="312"/>
      <c r="AX382" s="312"/>
      <c r="AY382" s="312"/>
      <c r="AZ382" s="312"/>
      <c r="BA382" s="312"/>
      <c r="BB382" s="312"/>
      <c r="BC382" s="312"/>
      <c r="BD382" s="316"/>
      <c r="BE382" s="316"/>
      <c r="BF382" s="316"/>
      <c r="BG382" s="316"/>
      <c r="BH382" s="316"/>
      <c r="BI382" s="316"/>
      <c r="BJ382" s="316"/>
      <c r="BK382" s="316"/>
      <c r="BL382" s="316"/>
      <c r="BM382" s="316"/>
      <c r="BN382" s="316"/>
      <c r="BO382" s="316"/>
      <c r="BP382" s="316"/>
      <c r="BQ382" s="316"/>
      <c r="BR382" s="316"/>
      <c r="BS382" s="316"/>
      <c r="BT382" s="316"/>
      <c r="BU382" s="316"/>
      <c r="BV382" s="316"/>
      <c r="BW382" s="316"/>
      <c r="BX382" s="316"/>
      <c r="BY382" s="316"/>
      <c r="BZ382" s="316"/>
      <c r="CA382" s="316"/>
      <c r="CB382" s="316"/>
      <c r="CC382" s="316"/>
      <c r="CD382" s="316"/>
    </row>
    <row r="383" ht="15.75" customHeight="1">
      <c r="A383" s="308"/>
      <c r="B383" s="312"/>
      <c r="C383" s="312"/>
      <c r="D383" s="312"/>
      <c r="E383" s="312"/>
      <c r="F383" s="312"/>
      <c r="G383" s="312"/>
      <c r="H383" s="312"/>
      <c r="I383" s="312"/>
      <c r="J383" s="312"/>
      <c r="K383" s="312"/>
      <c r="L383" s="312"/>
      <c r="M383" s="312"/>
      <c r="N383" s="312"/>
      <c r="O383" s="312"/>
      <c r="P383" s="312"/>
      <c r="Q383" s="312"/>
      <c r="R383" s="312"/>
      <c r="S383" s="312"/>
      <c r="T383" s="312"/>
      <c r="U383" s="312"/>
      <c r="V383" s="312"/>
      <c r="W383" s="312"/>
      <c r="X383" s="312"/>
      <c r="Y383" s="312"/>
      <c r="Z383" s="312"/>
      <c r="AA383" s="312"/>
      <c r="AB383" s="312"/>
      <c r="AC383" s="396"/>
      <c r="AD383" s="312"/>
      <c r="AE383" s="312"/>
      <c r="AF383" s="312"/>
      <c r="AG383" s="312"/>
      <c r="AH383" s="312"/>
      <c r="AI383" s="312"/>
      <c r="AJ383" s="312"/>
      <c r="AK383" s="312"/>
      <c r="AL383" s="312"/>
      <c r="AM383" s="312"/>
      <c r="AN383" s="312"/>
      <c r="AO383" s="312"/>
      <c r="AP383" s="312"/>
      <c r="AQ383" s="312"/>
      <c r="AR383" s="312"/>
      <c r="AS383" s="312"/>
      <c r="AT383" s="312"/>
      <c r="AU383" s="312"/>
      <c r="AV383" s="312"/>
      <c r="AW383" s="312"/>
      <c r="AX383" s="312"/>
      <c r="AY383" s="312"/>
      <c r="AZ383" s="312"/>
      <c r="BA383" s="312"/>
      <c r="BB383" s="312"/>
      <c r="BC383" s="312"/>
      <c r="BD383" s="316"/>
      <c r="BE383" s="316"/>
      <c r="BF383" s="316"/>
      <c r="BG383" s="316"/>
      <c r="BH383" s="316"/>
      <c r="BI383" s="316"/>
      <c r="BJ383" s="316"/>
      <c r="BK383" s="316"/>
      <c r="BL383" s="316"/>
      <c r="BM383" s="316"/>
      <c r="BN383" s="316"/>
      <c r="BO383" s="316"/>
      <c r="BP383" s="316"/>
      <c r="BQ383" s="316"/>
      <c r="BR383" s="316"/>
      <c r="BS383" s="316"/>
      <c r="BT383" s="316"/>
      <c r="BU383" s="316"/>
      <c r="BV383" s="316"/>
      <c r="BW383" s="316"/>
      <c r="BX383" s="316"/>
      <c r="BY383" s="316"/>
      <c r="BZ383" s="316"/>
      <c r="CA383" s="316"/>
      <c r="CB383" s="316"/>
      <c r="CC383" s="316"/>
      <c r="CD383" s="316"/>
    </row>
    <row r="384" ht="15.75" customHeight="1">
      <c r="A384" s="308"/>
      <c r="B384" s="312"/>
      <c r="C384" s="312"/>
      <c r="D384" s="312"/>
      <c r="E384" s="312"/>
      <c r="F384" s="312"/>
      <c r="G384" s="312"/>
      <c r="H384" s="312"/>
      <c r="I384" s="312"/>
      <c r="J384" s="312"/>
      <c r="K384" s="312"/>
      <c r="L384" s="312"/>
      <c r="M384" s="312"/>
      <c r="N384" s="312"/>
      <c r="O384" s="312"/>
      <c r="P384" s="312"/>
      <c r="Q384" s="312"/>
      <c r="R384" s="312"/>
      <c r="S384" s="312"/>
      <c r="T384" s="312"/>
      <c r="U384" s="312"/>
      <c r="V384" s="312"/>
      <c r="W384" s="312"/>
      <c r="X384" s="312"/>
      <c r="Y384" s="312"/>
      <c r="Z384" s="312"/>
      <c r="AA384" s="312"/>
      <c r="AB384" s="312"/>
      <c r="AC384" s="396"/>
      <c r="AD384" s="312"/>
      <c r="AE384" s="312"/>
      <c r="AF384" s="312"/>
      <c r="AG384" s="312"/>
      <c r="AH384" s="312"/>
      <c r="AI384" s="312"/>
      <c r="AJ384" s="312"/>
      <c r="AK384" s="312"/>
      <c r="AL384" s="312"/>
      <c r="AM384" s="312"/>
      <c r="AN384" s="312"/>
      <c r="AO384" s="312"/>
      <c r="AP384" s="312"/>
      <c r="AQ384" s="312"/>
      <c r="AR384" s="312"/>
      <c r="AS384" s="312"/>
      <c r="AT384" s="312"/>
      <c r="AU384" s="312"/>
      <c r="AV384" s="312"/>
      <c r="AW384" s="312"/>
      <c r="AX384" s="312"/>
      <c r="AY384" s="312"/>
      <c r="AZ384" s="312"/>
      <c r="BA384" s="312"/>
      <c r="BB384" s="312"/>
      <c r="BC384" s="312"/>
      <c r="BD384" s="316"/>
      <c r="BE384" s="316"/>
      <c r="BF384" s="316"/>
      <c r="BG384" s="316"/>
      <c r="BH384" s="316"/>
      <c r="BI384" s="316"/>
      <c r="BJ384" s="316"/>
      <c r="BK384" s="316"/>
      <c r="BL384" s="316"/>
      <c r="BM384" s="316"/>
      <c r="BN384" s="316"/>
      <c r="BO384" s="316"/>
      <c r="BP384" s="316"/>
      <c r="BQ384" s="316"/>
      <c r="BR384" s="316"/>
      <c r="BS384" s="316"/>
      <c r="BT384" s="316"/>
      <c r="BU384" s="316"/>
      <c r="BV384" s="316"/>
      <c r="BW384" s="316"/>
      <c r="BX384" s="316"/>
      <c r="BY384" s="316"/>
      <c r="BZ384" s="316"/>
      <c r="CA384" s="316"/>
      <c r="CB384" s="316"/>
      <c r="CC384" s="316"/>
      <c r="CD384" s="316"/>
    </row>
    <row r="385" ht="15.75" customHeight="1">
      <c r="A385" s="308"/>
      <c r="B385" s="312"/>
      <c r="C385" s="312"/>
      <c r="D385" s="312"/>
      <c r="E385" s="312"/>
      <c r="F385" s="312"/>
      <c r="G385" s="312"/>
      <c r="H385" s="312"/>
      <c r="I385" s="312"/>
      <c r="J385" s="312"/>
      <c r="K385" s="312"/>
      <c r="L385" s="312"/>
      <c r="M385" s="312"/>
      <c r="N385" s="312"/>
      <c r="O385" s="312"/>
      <c r="P385" s="312"/>
      <c r="Q385" s="312"/>
      <c r="R385" s="312"/>
      <c r="S385" s="312"/>
      <c r="T385" s="312"/>
      <c r="U385" s="312"/>
      <c r="V385" s="312"/>
      <c r="W385" s="312"/>
      <c r="X385" s="312"/>
      <c r="Y385" s="312"/>
      <c r="Z385" s="312"/>
      <c r="AA385" s="312"/>
      <c r="AB385" s="312"/>
      <c r="AC385" s="396"/>
      <c r="AD385" s="312"/>
      <c r="AE385" s="312"/>
      <c r="AF385" s="312"/>
      <c r="AG385" s="312"/>
      <c r="AH385" s="312"/>
      <c r="AI385" s="312"/>
      <c r="AJ385" s="312"/>
      <c r="AK385" s="312"/>
      <c r="AL385" s="312"/>
      <c r="AM385" s="312"/>
      <c r="AN385" s="312"/>
      <c r="AO385" s="312"/>
      <c r="AP385" s="312"/>
      <c r="AQ385" s="312"/>
      <c r="AR385" s="312"/>
      <c r="AS385" s="312"/>
      <c r="AT385" s="312"/>
      <c r="AU385" s="312"/>
      <c r="AV385" s="312"/>
      <c r="AW385" s="312"/>
      <c r="AX385" s="312"/>
      <c r="AY385" s="312"/>
      <c r="AZ385" s="312"/>
      <c r="BA385" s="312"/>
      <c r="BB385" s="312"/>
      <c r="BC385" s="312"/>
      <c r="BD385" s="316"/>
      <c r="BE385" s="316"/>
      <c r="BF385" s="316"/>
      <c r="BG385" s="316"/>
      <c r="BH385" s="316"/>
      <c r="BI385" s="316"/>
      <c r="BJ385" s="316"/>
      <c r="BK385" s="316"/>
      <c r="BL385" s="316"/>
      <c r="BM385" s="316"/>
      <c r="BN385" s="316"/>
      <c r="BO385" s="316"/>
      <c r="BP385" s="316"/>
      <c r="BQ385" s="316"/>
      <c r="BR385" s="316"/>
      <c r="BS385" s="316"/>
      <c r="BT385" s="316"/>
      <c r="BU385" s="316"/>
      <c r="BV385" s="316"/>
      <c r="BW385" s="316"/>
      <c r="BX385" s="316"/>
      <c r="BY385" s="316"/>
      <c r="BZ385" s="316"/>
      <c r="CA385" s="316"/>
      <c r="CB385" s="316"/>
      <c r="CC385" s="316"/>
      <c r="CD385" s="316"/>
    </row>
    <row r="386" ht="15.75" customHeight="1">
      <c r="A386" s="308"/>
      <c r="B386" s="312"/>
      <c r="C386" s="312"/>
      <c r="D386" s="312"/>
      <c r="E386" s="312"/>
      <c r="F386" s="312"/>
      <c r="G386" s="312"/>
      <c r="H386" s="312"/>
      <c r="I386" s="312"/>
      <c r="J386" s="312"/>
      <c r="K386" s="312"/>
      <c r="L386" s="312"/>
      <c r="M386" s="312"/>
      <c r="N386" s="312"/>
      <c r="O386" s="312"/>
      <c r="P386" s="312"/>
      <c r="Q386" s="312"/>
      <c r="R386" s="312"/>
      <c r="S386" s="312"/>
      <c r="T386" s="312"/>
      <c r="U386" s="312"/>
      <c r="V386" s="312"/>
      <c r="W386" s="312"/>
      <c r="X386" s="312"/>
      <c r="Y386" s="312"/>
      <c r="Z386" s="312"/>
      <c r="AA386" s="312"/>
      <c r="AB386" s="312"/>
      <c r="AC386" s="396"/>
      <c r="AD386" s="312"/>
      <c r="AE386" s="312"/>
      <c r="AF386" s="312"/>
      <c r="AG386" s="312"/>
      <c r="AH386" s="312"/>
      <c r="AI386" s="312"/>
      <c r="AJ386" s="312"/>
      <c r="AK386" s="312"/>
      <c r="AL386" s="312"/>
      <c r="AM386" s="312"/>
      <c r="AN386" s="312"/>
      <c r="AO386" s="312"/>
      <c r="AP386" s="312"/>
      <c r="AQ386" s="312"/>
      <c r="AR386" s="312"/>
      <c r="AS386" s="312"/>
      <c r="AT386" s="312"/>
      <c r="AU386" s="312"/>
      <c r="AV386" s="312"/>
      <c r="AW386" s="312"/>
      <c r="AX386" s="312"/>
      <c r="AY386" s="312"/>
      <c r="AZ386" s="312"/>
      <c r="BA386" s="312"/>
      <c r="BB386" s="312"/>
      <c r="BC386" s="312"/>
      <c r="BD386" s="316"/>
      <c r="BE386" s="316"/>
      <c r="BF386" s="316"/>
      <c r="BG386" s="316"/>
      <c r="BH386" s="316"/>
      <c r="BI386" s="316"/>
      <c r="BJ386" s="316"/>
      <c r="BK386" s="316"/>
      <c r="BL386" s="316"/>
      <c r="BM386" s="316"/>
      <c r="BN386" s="316"/>
      <c r="BO386" s="316"/>
      <c r="BP386" s="316"/>
      <c r="BQ386" s="316"/>
      <c r="BR386" s="316"/>
      <c r="BS386" s="316"/>
      <c r="BT386" s="316"/>
      <c r="BU386" s="316"/>
      <c r="BV386" s="316"/>
      <c r="BW386" s="316"/>
      <c r="BX386" s="316"/>
      <c r="BY386" s="316"/>
      <c r="BZ386" s="316"/>
      <c r="CA386" s="316"/>
      <c r="CB386" s="316"/>
      <c r="CC386" s="316"/>
      <c r="CD386" s="316"/>
    </row>
    <row r="387" ht="15.75" customHeight="1">
      <c r="A387" s="308"/>
      <c r="B387" s="312"/>
      <c r="C387" s="312"/>
      <c r="D387" s="312"/>
      <c r="E387" s="312"/>
      <c r="F387" s="312"/>
      <c r="G387" s="312"/>
      <c r="H387" s="312"/>
      <c r="I387" s="312"/>
      <c r="J387" s="312"/>
      <c r="K387" s="312"/>
      <c r="L387" s="312"/>
      <c r="M387" s="312"/>
      <c r="N387" s="312"/>
      <c r="O387" s="312"/>
      <c r="P387" s="312"/>
      <c r="Q387" s="312"/>
      <c r="R387" s="312"/>
      <c r="S387" s="312"/>
      <c r="T387" s="312"/>
      <c r="U387" s="312"/>
      <c r="V387" s="312"/>
      <c r="W387" s="312"/>
      <c r="X387" s="312"/>
      <c r="Y387" s="312"/>
      <c r="Z387" s="312"/>
      <c r="AA387" s="312"/>
      <c r="AB387" s="312"/>
      <c r="AC387" s="396"/>
      <c r="AD387" s="312"/>
      <c r="AE387" s="312"/>
      <c r="AF387" s="312"/>
      <c r="AG387" s="312"/>
      <c r="AH387" s="312"/>
      <c r="AI387" s="312"/>
      <c r="AJ387" s="312"/>
      <c r="AK387" s="312"/>
      <c r="AL387" s="312"/>
      <c r="AM387" s="312"/>
      <c r="AN387" s="312"/>
      <c r="AO387" s="312"/>
      <c r="AP387" s="312"/>
      <c r="AQ387" s="312"/>
      <c r="AR387" s="312"/>
      <c r="AS387" s="312"/>
      <c r="AT387" s="312"/>
      <c r="AU387" s="312"/>
      <c r="AV387" s="312"/>
      <c r="AW387" s="312"/>
      <c r="AX387" s="312"/>
      <c r="AY387" s="312"/>
      <c r="AZ387" s="312"/>
      <c r="BA387" s="312"/>
      <c r="BB387" s="312"/>
      <c r="BC387" s="312"/>
      <c r="BD387" s="316"/>
      <c r="BE387" s="316"/>
      <c r="BF387" s="316"/>
      <c r="BG387" s="316"/>
      <c r="BH387" s="316"/>
      <c r="BI387" s="316"/>
      <c r="BJ387" s="316"/>
      <c r="BK387" s="316"/>
      <c r="BL387" s="316"/>
      <c r="BM387" s="316"/>
      <c r="BN387" s="316"/>
      <c r="BO387" s="316"/>
      <c r="BP387" s="316"/>
      <c r="BQ387" s="316"/>
      <c r="BR387" s="316"/>
      <c r="BS387" s="316"/>
      <c r="BT387" s="316"/>
      <c r="BU387" s="316"/>
      <c r="BV387" s="316"/>
      <c r="BW387" s="316"/>
      <c r="BX387" s="316"/>
      <c r="BY387" s="316"/>
      <c r="BZ387" s="316"/>
      <c r="CA387" s="316"/>
      <c r="CB387" s="316"/>
      <c r="CC387" s="316"/>
      <c r="CD387" s="316"/>
    </row>
    <row r="388" ht="15.75" customHeight="1">
      <c r="A388" s="308"/>
      <c r="B388" s="312"/>
      <c r="C388" s="312"/>
      <c r="D388" s="312"/>
      <c r="E388" s="312"/>
      <c r="F388" s="312"/>
      <c r="G388" s="312"/>
      <c r="H388" s="312"/>
      <c r="I388" s="312"/>
      <c r="J388" s="312"/>
      <c r="K388" s="312"/>
      <c r="L388" s="312"/>
      <c r="M388" s="312"/>
      <c r="N388" s="312"/>
      <c r="O388" s="312"/>
      <c r="P388" s="312"/>
      <c r="Q388" s="312"/>
      <c r="R388" s="312"/>
      <c r="S388" s="312"/>
      <c r="T388" s="312"/>
      <c r="U388" s="312"/>
      <c r="V388" s="312"/>
      <c r="W388" s="312"/>
      <c r="X388" s="312"/>
      <c r="Y388" s="312"/>
      <c r="Z388" s="312"/>
      <c r="AA388" s="312"/>
      <c r="AB388" s="312"/>
      <c r="AC388" s="396"/>
      <c r="AD388" s="312"/>
      <c r="AE388" s="312"/>
      <c r="AF388" s="312"/>
      <c r="AG388" s="312"/>
      <c r="AH388" s="312"/>
      <c r="AI388" s="312"/>
      <c r="AJ388" s="312"/>
      <c r="AK388" s="312"/>
      <c r="AL388" s="312"/>
      <c r="AM388" s="312"/>
      <c r="AN388" s="312"/>
      <c r="AO388" s="312"/>
      <c r="AP388" s="312"/>
      <c r="AQ388" s="312"/>
      <c r="AR388" s="312"/>
      <c r="AS388" s="312"/>
      <c r="AT388" s="312"/>
      <c r="AU388" s="312"/>
      <c r="AV388" s="312"/>
      <c r="AW388" s="312"/>
      <c r="AX388" s="312"/>
      <c r="AY388" s="312"/>
      <c r="AZ388" s="312"/>
      <c r="BA388" s="312"/>
      <c r="BB388" s="312"/>
      <c r="BC388" s="312"/>
      <c r="BD388" s="316"/>
      <c r="BE388" s="316"/>
      <c r="BF388" s="316"/>
      <c r="BG388" s="316"/>
      <c r="BH388" s="316"/>
      <c r="BI388" s="316"/>
      <c r="BJ388" s="316"/>
      <c r="BK388" s="316"/>
      <c r="BL388" s="316"/>
      <c r="BM388" s="316"/>
      <c r="BN388" s="316"/>
      <c r="BO388" s="316"/>
      <c r="BP388" s="316"/>
      <c r="BQ388" s="316"/>
      <c r="BR388" s="316"/>
      <c r="BS388" s="316"/>
      <c r="BT388" s="316"/>
      <c r="BU388" s="316"/>
      <c r="BV388" s="316"/>
      <c r="BW388" s="316"/>
      <c r="BX388" s="316"/>
      <c r="BY388" s="316"/>
      <c r="BZ388" s="316"/>
      <c r="CA388" s="316"/>
      <c r="CB388" s="316"/>
      <c r="CC388" s="316"/>
      <c r="CD388" s="316"/>
    </row>
    <row r="389" ht="15.75" customHeight="1">
      <c r="A389" s="308"/>
      <c r="B389" s="312"/>
      <c r="C389" s="312"/>
      <c r="D389" s="312"/>
      <c r="E389" s="312"/>
      <c r="F389" s="312"/>
      <c r="G389" s="312"/>
      <c r="H389" s="312"/>
      <c r="I389" s="312"/>
      <c r="J389" s="312"/>
      <c r="K389" s="312"/>
      <c r="L389" s="312"/>
      <c r="M389" s="312"/>
      <c r="N389" s="312"/>
      <c r="O389" s="312"/>
      <c r="P389" s="312"/>
      <c r="Q389" s="312"/>
      <c r="R389" s="312"/>
      <c r="S389" s="312"/>
      <c r="T389" s="312"/>
      <c r="U389" s="312"/>
      <c r="V389" s="312"/>
      <c r="W389" s="312"/>
      <c r="X389" s="312"/>
      <c r="Y389" s="312"/>
      <c r="Z389" s="312"/>
      <c r="AA389" s="312"/>
      <c r="AB389" s="312"/>
      <c r="AC389" s="396"/>
      <c r="AD389" s="312"/>
      <c r="AE389" s="312"/>
      <c r="AF389" s="312"/>
      <c r="AG389" s="312"/>
      <c r="AH389" s="312"/>
      <c r="AI389" s="312"/>
      <c r="AJ389" s="312"/>
      <c r="AK389" s="312"/>
      <c r="AL389" s="312"/>
      <c r="AM389" s="312"/>
      <c r="AN389" s="312"/>
      <c r="AO389" s="312"/>
      <c r="AP389" s="312"/>
      <c r="AQ389" s="312"/>
      <c r="AR389" s="312"/>
      <c r="AS389" s="312"/>
      <c r="AT389" s="312"/>
      <c r="AU389" s="312"/>
      <c r="AV389" s="312"/>
      <c r="AW389" s="312"/>
      <c r="AX389" s="312"/>
      <c r="AY389" s="312"/>
      <c r="AZ389" s="312"/>
      <c r="BA389" s="312"/>
      <c r="BB389" s="312"/>
      <c r="BC389" s="312"/>
      <c r="BD389" s="316"/>
      <c r="BE389" s="316"/>
      <c r="BF389" s="316"/>
      <c r="BG389" s="316"/>
      <c r="BH389" s="316"/>
      <c r="BI389" s="316"/>
      <c r="BJ389" s="316"/>
      <c r="BK389" s="316"/>
      <c r="BL389" s="316"/>
      <c r="BM389" s="316"/>
      <c r="BN389" s="316"/>
      <c r="BO389" s="316"/>
      <c r="BP389" s="316"/>
      <c r="BQ389" s="316"/>
      <c r="BR389" s="316"/>
      <c r="BS389" s="316"/>
      <c r="BT389" s="316"/>
      <c r="BU389" s="316"/>
      <c r="BV389" s="316"/>
      <c r="BW389" s="316"/>
      <c r="BX389" s="316"/>
      <c r="BY389" s="316"/>
      <c r="BZ389" s="316"/>
      <c r="CA389" s="316"/>
      <c r="CB389" s="316"/>
      <c r="CC389" s="316"/>
      <c r="CD389" s="316"/>
    </row>
    <row r="390" ht="15.75" customHeight="1">
      <c r="A390" s="308"/>
      <c r="B390" s="312"/>
      <c r="C390" s="312"/>
      <c r="D390" s="312"/>
      <c r="E390" s="312"/>
      <c r="F390" s="312"/>
      <c r="G390" s="312"/>
      <c r="H390" s="312"/>
      <c r="I390" s="312"/>
      <c r="J390" s="312"/>
      <c r="K390" s="312"/>
      <c r="L390" s="312"/>
      <c r="M390" s="312"/>
      <c r="N390" s="312"/>
      <c r="O390" s="312"/>
      <c r="P390" s="312"/>
      <c r="Q390" s="312"/>
      <c r="R390" s="312"/>
      <c r="S390" s="312"/>
      <c r="T390" s="312"/>
      <c r="U390" s="312"/>
      <c r="V390" s="312"/>
      <c r="W390" s="312"/>
      <c r="X390" s="312"/>
      <c r="Y390" s="312"/>
      <c r="Z390" s="312"/>
      <c r="AA390" s="312"/>
      <c r="AB390" s="312"/>
      <c r="AC390" s="396"/>
      <c r="AD390" s="312"/>
      <c r="AE390" s="312"/>
      <c r="AF390" s="312"/>
      <c r="AG390" s="312"/>
      <c r="AH390" s="312"/>
      <c r="AI390" s="312"/>
      <c r="AJ390" s="312"/>
      <c r="AK390" s="312"/>
      <c r="AL390" s="312"/>
      <c r="AM390" s="312"/>
      <c r="AN390" s="312"/>
      <c r="AO390" s="312"/>
      <c r="AP390" s="312"/>
      <c r="AQ390" s="312"/>
      <c r="AR390" s="312"/>
      <c r="AS390" s="312"/>
      <c r="AT390" s="312"/>
      <c r="AU390" s="312"/>
      <c r="AV390" s="312"/>
      <c r="AW390" s="312"/>
      <c r="AX390" s="312"/>
      <c r="AY390" s="312"/>
      <c r="AZ390" s="312"/>
      <c r="BA390" s="312"/>
      <c r="BB390" s="312"/>
      <c r="BC390" s="312"/>
      <c r="BD390" s="316"/>
      <c r="BE390" s="316"/>
      <c r="BF390" s="316"/>
      <c r="BG390" s="316"/>
      <c r="BH390" s="316"/>
      <c r="BI390" s="316"/>
      <c r="BJ390" s="316"/>
      <c r="BK390" s="316"/>
      <c r="BL390" s="316"/>
      <c r="BM390" s="316"/>
      <c r="BN390" s="316"/>
      <c r="BO390" s="316"/>
      <c r="BP390" s="316"/>
      <c r="BQ390" s="316"/>
      <c r="BR390" s="316"/>
      <c r="BS390" s="316"/>
      <c r="BT390" s="316"/>
      <c r="BU390" s="316"/>
      <c r="BV390" s="316"/>
      <c r="BW390" s="316"/>
      <c r="BX390" s="316"/>
      <c r="BY390" s="316"/>
      <c r="BZ390" s="316"/>
      <c r="CA390" s="316"/>
      <c r="CB390" s="316"/>
      <c r="CC390" s="316"/>
      <c r="CD390" s="316"/>
    </row>
    <row r="391" ht="15.75" customHeight="1">
      <c r="A391" s="308"/>
      <c r="B391" s="312"/>
      <c r="C391" s="312"/>
      <c r="D391" s="312"/>
      <c r="E391" s="312"/>
      <c r="F391" s="312"/>
      <c r="G391" s="312"/>
      <c r="H391" s="312"/>
      <c r="I391" s="312"/>
      <c r="J391" s="312"/>
      <c r="K391" s="312"/>
      <c r="L391" s="312"/>
      <c r="M391" s="312"/>
      <c r="N391" s="312"/>
      <c r="O391" s="312"/>
      <c r="P391" s="312"/>
      <c r="Q391" s="312"/>
      <c r="R391" s="312"/>
      <c r="S391" s="312"/>
      <c r="T391" s="312"/>
      <c r="U391" s="312"/>
      <c r="V391" s="312"/>
      <c r="W391" s="312"/>
      <c r="X391" s="312"/>
      <c r="Y391" s="312"/>
      <c r="Z391" s="312"/>
      <c r="AA391" s="312"/>
      <c r="AB391" s="312"/>
      <c r="AC391" s="396"/>
      <c r="AD391" s="312"/>
      <c r="AE391" s="312"/>
      <c r="AF391" s="312"/>
      <c r="AG391" s="312"/>
      <c r="AH391" s="312"/>
      <c r="AI391" s="312"/>
      <c r="AJ391" s="312"/>
      <c r="AK391" s="312"/>
      <c r="AL391" s="312"/>
      <c r="AM391" s="312"/>
      <c r="AN391" s="312"/>
      <c r="AO391" s="312"/>
      <c r="AP391" s="312"/>
      <c r="AQ391" s="312"/>
      <c r="AR391" s="312"/>
      <c r="AS391" s="312"/>
      <c r="AT391" s="312"/>
      <c r="AU391" s="312"/>
      <c r="AV391" s="312"/>
      <c r="AW391" s="312"/>
      <c r="AX391" s="312"/>
      <c r="AY391" s="312"/>
      <c r="AZ391" s="312"/>
      <c r="BA391" s="312"/>
      <c r="BB391" s="312"/>
      <c r="BC391" s="312"/>
      <c r="BD391" s="316"/>
      <c r="BE391" s="316"/>
      <c r="BF391" s="316"/>
      <c r="BG391" s="316"/>
      <c r="BH391" s="316"/>
      <c r="BI391" s="316"/>
      <c r="BJ391" s="316"/>
      <c r="BK391" s="316"/>
      <c r="BL391" s="316"/>
      <c r="BM391" s="316"/>
      <c r="BN391" s="316"/>
      <c r="BO391" s="316"/>
      <c r="BP391" s="316"/>
      <c r="BQ391" s="316"/>
      <c r="BR391" s="316"/>
      <c r="BS391" s="316"/>
      <c r="BT391" s="316"/>
      <c r="BU391" s="316"/>
      <c r="BV391" s="316"/>
      <c r="BW391" s="316"/>
      <c r="BX391" s="316"/>
      <c r="BY391" s="316"/>
      <c r="BZ391" s="316"/>
      <c r="CA391" s="316"/>
      <c r="CB391" s="316"/>
      <c r="CC391" s="316"/>
      <c r="CD391" s="316"/>
    </row>
    <row r="392" ht="15.75" customHeight="1">
      <c r="A392" s="308"/>
      <c r="B392" s="312"/>
      <c r="C392" s="312"/>
      <c r="D392" s="312"/>
      <c r="E392" s="312"/>
      <c r="F392" s="312"/>
      <c r="G392" s="312"/>
      <c r="H392" s="312"/>
      <c r="I392" s="312"/>
      <c r="J392" s="312"/>
      <c r="K392" s="312"/>
      <c r="L392" s="312"/>
      <c r="M392" s="312"/>
      <c r="N392" s="312"/>
      <c r="O392" s="312"/>
      <c r="P392" s="312"/>
      <c r="Q392" s="312"/>
      <c r="R392" s="312"/>
      <c r="S392" s="312"/>
      <c r="T392" s="312"/>
      <c r="U392" s="312"/>
      <c r="V392" s="312"/>
      <c r="W392" s="312"/>
      <c r="X392" s="312"/>
      <c r="Y392" s="312"/>
      <c r="Z392" s="312"/>
      <c r="AA392" s="312"/>
      <c r="AB392" s="312"/>
      <c r="AC392" s="396"/>
      <c r="AD392" s="312"/>
      <c r="AE392" s="312"/>
      <c r="AF392" s="312"/>
      <c r="AG392" s="312"/>
      <c r="AH392" s="312"/>
      <c r="AI392" s="312"/>
      <c r="AJ392" s="312"/>
      <c r="AK392" s="312"/>
      <c r="AL392" s="312"/>
      <c r="AM392" s="312"/>
      <c r="AN392" s="312"/>
      <c r="AO392" s="312"/>
      <c r="AP392" s="312"/>
      <c r="AQ392" s="312"/>
      <c r="AR392" s="312"/>
      <c r="AS392" s="312"/>
      <c r="AT392" s="312"/>
      <c r="AU392" s="312"/>
      <c r="AV392" s="312"/>
      <c r="AW392" s="312"/>
      <c r="AX392" s="312"/>
      <c r="AY392" s="312"/>
      <c r="AZ392" s="312"/>
      <c r="BA392" s="312"/>
      <c r="BB392" s="312"/>
      <c r="BC392" s="312"/>
      <c r="BD392" s="316"/>
      <c r="BE392" s="316"/>
      <c r="BF392" s="316"/>
      <c r="BG392" s="316"/>
      <c r="BH392" s="316"/>
      <c r="BI392" s="316"/>
      <c r="BJ392" s="316"/>
      <c r="BK392" s="316"/>
      <c r="BL392" s="316"/>
      <c r="BM392" s="316"/>
      <c r="BN392" s="316"/>
      <c r="BO392" s="316"/>
      <c r="BP392" s="316"/>
      <c r="BQ392" s="316"/>
      <c r="BR392" s="316"/>
      <c r="BS392" s="316"/>
      <c r="BT392" s="316"/>
      <c r="BU392" s="316"/>
      <c r="BV392" s="316"/>
      <c r="BW392" s="316"/>
      <c r="BX392" s="316"/>
      <c r="BY392" s="316"/>
      <c r="BZ392" s="316"/>
      <c r="CA392" s="316"/>
      <c r="CB392" s="316"/>
      <c r="CC392" s="316"/>
      <c r="CD392" s="316"/>
    </row>
    <row r="393" ht="15.75" customHeight="1">
      <c r="A393" s="308"/>
      <c r="B393" s="312"/>
      <c r="C393" s="312"/>
      <c r="D393" s="312"/>
      <c r="E393" s="312"/>
      <c r="F393" s="312"/>
      <c r="G393" s="312"/>
      <c r="H393" s="312"/>
      <c r="I393" s="312"/>
      <c r="J393" s="312"/>
      <c r="K393" s="312"/>
      <c r="L393" s="312"/>
      <c r="M393" s="312"/>
      <c r="N393" s="312"/>
      <c r="O393" s="312"/>
      <c r="P393" s="312"/>
      <c r="Q393" s="312"/>
      <c r="R393" s="312"/>
      <c r="S393" s="312"/>
      <c r="T393" s="312"/>
      <c r="U393" s="312"/>
      <c r="V393" s="312"/>
      <c r="W393" s="312"/>
      <c r="X393" s="312"/>
      <c r="Y393" s="312"/>
      <c r="Z393" s="312"/>
      <c r="AA393" s="312"/>
      <c r="AB393" s="312"/>
      <c r="AC393" s="396"/>
      <c r="AD393" s="312"/>
      <c r="AE393" s="312"/>
      <c r="AF393" s="312"/>
      <c r="AG393" s="312"/>
      <c r="AH393" s="312"/>
      <c r="AI393" s="312"/>
      <c r="AJ393" s="312"/>
      <c r="AK393" s="312"/>
      <c r="AL393" s="312"/>
      <c r="AM393" s="312"/>
      <c r="AN393" s="312"/>
      <c r="AO393" s="312"/>
      <c r="AP393" s="312"/>
      <c r="AQ393" s="312"/>
      <c r="AR393" s="312"/>
      <c r="AS393" s="312"/>
      <c r="AT393" s="312"/>
      <c r="AU393" s="312"/>
      <c r="AV393" s="312"/>
      <c r="AW393" s="312"/>
      <c r="AX393" s="312"/>
      <c r="AY393" s="312"/>
      <c r="AZ393" s="312"/>
      <c r="BA393" s="312"/>
      <c r="BB393" s="312"/>
      <c r="BC393" s="312"/>
      <c r="BD393" s="316"/>
      <c r="BE393" s="316"/>
      <c r="BF393" s="316"/>
      <c r="BG393" s="316"/>
      <c r="BH393" s="316"/>
      <c r="BI393" s="316"/>
      <c r="BJ393" s="316"/>
      <c r="BK393" s="316"/>
      <c r="BL393" s="316"/>
      <c r="BM393" s="316"/>
      <c r="BN393" s="316"/>
      <c r="BO393" s="316"/>
      <c r="BP393" s="316"/>
      <c r="BQ393" s="316"/>
      <c r="BR393" s="316"/>
      <c r="BS393" s="316"/>
      <c r="BT393" s="316"/>
      <c r="BU393" s="316"/>
      <c r="BV393" s="316"/>
      <c r="BW393" s="316"/>
      <c r="BX393" s="316"/>
      <c r="BY393" s="316"/>
      <c r="BZ393" s="316"/>
      <c r="CA393" s="316"/>
      <c r="CB393" s="316"/>
      <c r="CC393" s="316"/>
      <c r="CD393" s="316"/>
    </row>
    <row r="394" ht="15.75" customHeight="1">
      <c r="A394" s="308"/>
      <c r="B394" s="312"/>
      <c r="C394" s="312"/>
      <c r="D394" s="312"/>
      <c r="E394" s="312"/>
      <c r="F394" s="312"/>
      <c r="G394" s="312"/>
      <c r="H394" s="312"/>
      <c r="I394" s="312"/>
      <c r="J394" s="312"/>
      <c r="K394" s="312"/>
      <c r="L394" s="312"/>
      <c r="M394" s="312"/>
      <c r="N394" s="312"/>
      <c r="O394" s="312"/>
      <c r="P394" s="312"/>
      <c r="Q394" s="312"/>
      <c r="R394" s="312"/>
      <c r="S394" s="312"/>
      <c r="T394" s="312"/>
      <c r="U394" s="312"/>
      <c r="V394" s="312"/>
      <c r="W394" s="312"/>
      <c r="X394" s="312"/>
      <c r="Y394" s="312"/>
      <c r="Z394" s="312"/>
      <c r="AA394" s="312"/>
      <c r="AB394" s="312"/>
      <c r="AC394" s="396"/>
      <c r="AD394" s="312"/>
      <c r="AE394" s="312"/>
      <c r="AF394" s="312"/>
      <c r="AG394" s="312"/>
      <c r="AH394" s="312"/>
      <c r="AI394" s="312"/>
      <c r="AJ394" s="312"/>
      <c r="AK394" s="312"/>
      <c r="AL394" s="312"/>
      <c r="AM394" s="312"/>
      <c r="AN394" s="312"/>
      <c r="AO394" s="312"/>
      <c r="AP394" s="312"/>
      <c r="AQ394" s="312"/>
      <c r="AR394" s="312"/>
      <c r="AS394" s="312"/>
      <c r="AT394" s="312"/>
      <c r="AU394" s="312"/>
      <c r="AV394" s="312"/>
      <c r="AW394" s="312"/>
      <c r="AX394" s="312"/>
      <c r="AY394" s="312"/>
      <c r="AZ394" s="312"/>
      <c r="BA394" s="312"/>
      <c r="BB394" s="312"/>
      <c r="BC394" s="312"/>
      <c r="BD394" s="316"/>
      <c r="BE394" s="316"/>
      <c r="BF394" s="316"/>
      <c r="BG394" s="316"/>
      <c r="BH394" s="316"/>
      <c r="BI394" s="316"/>
      <c r="BJ394" s="316"/>
      <c r="BK394" s="316"/>
      <c r="BL394" s="316"/>
      <c r="BM394" s="316"/>
      <c r="BN394" s="316"/>
      <c r="BO394" s="316"/>
      <c r="BP394" s="316"/>
      <c r="BQ394" s="316"/>
      <c r="BR394" s="316"/>
      <c r="BS394" s="316"/>
      <c r="BT394" s="316"/>
      <c r="BU394" s="316"/>
      <c r="BV394" s="316"/>
      <c r="BW394" s="316"/>
      <c r="BX394" s="316"/>
      <c r="BY394" s="316"/>
      <c r="BZ394" s="316"/>
      <c r="CA394" s="316"/>
      <c r="CB394" s="316"/>
      <c r="CC394" s="316"/>
      <c r="CD394" s="316"/>
    </row>
    <row r="395" ht="15.75" customHeight="1">
      <c r="A395" s="308"/>
      <c r="B395" s="312"/>
      <c r="C395" s="312"/>
      <c r="D395" s="312"/>
      <c r="E395" s="312"/>
      <c r="F395" s="312"/>
      <c r="G395" s="312"/>
      <c r="H395" s="312"/>
      <c r="I395" s="312"/>
      <c r="J395" s="312"/>
      <c r="K395" s="312"/>
      <c r="L395" s="312"/>
      <c r="M395" s="312"/>
      <c r="N395" s="312"/>
      <c r="O395" s="312"/>
      <c r="P395" s="312"/>
      <c r="Q395" s="312"/>
      <c r="R395" s="312"/>
      <c r="S395" s="312"/>
      <c r="T395" s="312"/>
      <c r="U395" s="312"/>
      <c r="V395" s="312"/>
      <c r="W395" s="312"/>
      <c r="X395" s="312"/>
      <c r="Y395" s="312"/>
      <c r="Z395" s="312"/>
      <c r="AA395" s="312"/>
      <c r="AB395" s="312"/>
      <c r="AC395" s="396"/>
      <c r="AD395" s="312"/>
      <c r="AE395" s="312"/>
      <c r="AF395" s="312"/>
      <c r="AG395" s="312"/>
      <c r="AH395" s="312"/>
      <c r="AI395" s="312"/>
      <c r="AJ395" s="312"/>
      <c r="AK395" s="312"/>
      <c r="AL395" s="312"/>
      <c r="AM395" s="312"/>
      <c r="AN395" s="312"/>
      <c r="AO395" s="312"/>
      <c r="AP395" s="312"/>
      <c r="AQ395" s="312"/>
      <c r="AR395" s="312"/>
      <c r="AS395" s="312"/>
      <c r="AT395" s="312"/>
      <c r="AU395" s="312"/>
      <c r="AV395" s="312"/>
      <c r="AW395" s="312"/>
      <c r="AX395" s="312"/>
      <c r="AY395" s="312"/>
      <c r="AZ395" s="312"/>
      <c r="BA395" s="312"/>
      <c r="BB395" s="312"/>
      <c r="BC395" s="312"/>
      <c r="BD395" s="316"/>
      <c r="BE395" s="316"/>
      <c r="BF395" s="316"/>
      <c r="BG395" s="316"/>
      <c r="BH395" s="316"/>
      <c r="BI395" s="316"/>
      <c r="BJ395" s="316"/>
      <c r="BK395" s="316"/>
      <c r="BL395" s="316"/>
      <c r="BM395" s="316"/>
      <c r="BN395" s="316"/>
      <c r="BO395" s="316"/>
      <c r="BP395" s="316"/>
      <c r="BQ395" s="316"/>
      <c r="BR395" s="316"/>
      <c r="BS395" s="316"/>
      <c r="BT395" s="316"/>
      <c r="BU395" s="316"/>
      <c r="BV395" s="316"/>
      <c r="BW395" s="316"/>
      <c r="BX395" s="316"/>
      <c r="BY395" s="316"/>
      <c r="BZ395" s="316"/>
      <c r="CA395" s="316"/>
      <c r="CB395" s="316"/>
      <c r="CC395" s="316"/>
      <c r="CD395" s="316"/>
    </row>
    <row r="396" ht="15.75" customHeight="1">
      <c r="A396" s="308"/>
      <c r="B396" s="312"/>
      <c r="C396" s="312"/>
      <c r="D396" s="312"/>
      <c r="E396" s="312"/>
      <c r="F396" s="312"/>
      <c r="G396" s="312"/>
      <c r="H396" s="312"/>
      <c r="I396" s="312"/>
      <c r="J396" s="312"/>
      <c r="K396" s="312"/>
      <c r="L396" s="312"/>
      <c r="M396" s="312"/>
      <c r="N396" s="312"/>
      <c r="O396" s="312"/>
      <c r="P396" s="312"/>
      <c r="Q396" s="312"/>
      <c r="R396" s="312"/>
      <c r="S396" s="312"/>
      <c r="T396" s="312"/>
      <c r="U396" s="312"/>
      <c r="V396" s="312"/>
      <c r="W396" s="312"/>
      <c r="X396" s="312"/>
      <c r="Y396" s="312"/>
      <c r="Z396" s="312"/>
      <c r="AA396" s="312"/>
      <c r="AB396" s="312"/>
      <c r="AC396" s="396"/>
      <c r="AD396" s="312"/>
      <c r="AE396" s="312"/>
      <c r="AF396" s="312"/>
      <c r="AG396" s="312"/>
      <c r="AH396" s="312"/>
      <c r="AI396" s="312"/>
      <c r="AJ396" s="312"/>
      <c r="AK396" s="312"/>
      <c r="AL396" s="312"/>
      <c r="AM396" s="312"/>
      <c r="AN396" s="312"/>
      <c r="AO396" s="312"/>
      <c r="AP396" s="312"/>
      <c r="AQ396" s="312"/>
      <c r="AR396" s="312"/>
      <c r="AS396" s="312"/>
      <c r="AT396" s="312"/>
      <c r="AU396" s="312"/>
      <c r="AV396" s="312"/>
      <c r="AW396" s="312"/>
      <c r="AX396" s="312"/>
      <c r="AY396" s="312"/>
      <c r="AZ396" s="312"/>
      <c r="BA396" s="312"/>
      <c r="BB396" s="312"/>
      <c r="BC396" s="312"/>
      <c r="BD396" s="316"/>
      <c r="BE396" s="316"/>
      <c r="BF396" s="316"/>
      <c r="BG396" s="316"/>
      <c r="BH396" s="316"/>
      <c r="BI396" s="316"/>
      <c r="BJ396" s="316"/>
      <c r="BK396" s="316"/>
      <c r="BL396" s="316"/>
      <c r="BM396" s="316"/>
      <c r="BN396" s="316"/>
      <c r="BO396" s="316"/>
      <c r="BP396" s="316"/>
      <c r="BQ396" s="316"/>
      <c r="BR396" s="316"/>
      <c r="BS396" s="316"/>
      <c r="BT396" s="316"/>
      <c r="BU396" s="316"/>
      <c r="BV396" s="316"/>
      <c r="BW396" s="316"/>
      <c r="BX396" s="316"/>
      <c r="BY396" s="316"/>
      <c r="BZ396" s="316"/>
      <c r="CA396" s="316"/>
      <c r="CB396" s="316"/>
      <c r="CC396" s="316"/>
      <c r="CD396" s="316"/>
    </row>
    <row r="397" ht="15.75" customHeight="1">
      <c r="A397" s="308"/>
      <c r="B397" s="312"/>
      <c r="C397" s="312"/>
      <c r="D397" s="312"/>
      <c r="E397" s="312"/>
      <c r="F397" s="312"/>
      <c r="G397" s="312"/>
      <c r="H397" s="312"/>
      <c r="I397" s="312"/>
      <c r="J397" s="312"/>
      <c r="K397" s="312"/>
      <c r="L397" s="312"/>
      <c r="M397" s="312"/>
      <c r="N397" s="312"/>
      <c r="O397" s="312"/>
      <c r="P397" s="312"/>
      <c r="Q397" s="312"/>
      <c r="R397" s="312"/>
      <c r="S397" s="312"/>
      <c r="T397" s="312"/>
      <c r="U397" s="312"/>
      <c r="V397" s="312"/>
      <c r="W397" s="312"/>
      <c r="X397" s="312"/>
      <c r="Y397" s="312"/>
      <c r="Z397" s="312"/>
      <c r="AA397" s="312"/>
      <c r="AB397" s="312"/>
      <c r="AC397" s="396"/>
      <c r="AD397" s="312"/>
      <c r="AE397" s="312"/>
      <c r="AF397" s="312"/>
      <c r="AG397" s="312"/>
      <c r="AH397" s="312"/>
      <c r="AI397" s="312"/>
      <c r="AJ397" s="312"/>
      <c r="AK397" s="312"/>
      <c r="AL397" s="312"/>
      <c r="AM397" s="312"/>
      <c r="AN397" s="312"/>
      <c r="AO397" s="312"/>
      <c r="AP397" s="312"/>
      <c r="AQ397" s="312"/>
      <c r="AR397" s="312"/>
      <c r="AS397" s="312"/>
      <c r="AT397" s="312"/>
      <c r="AU397" s="312"/>
      <c r="AV397" s="312"/>
      <c r="AW397" s="312"/>
      <c r="AX397" s="312"/>
      <c r="AY397" s="312"/>
      <c r="AZ397" s="312"/>
      <c r="BA397" s="312"/>
      <c r="BB397" s="312"/>
      <c r="BC397" s="312"/>
      <c r="BD397" s="316"/>
      <c r="BE397" s="316"/>
      <c r="BF397" s="316"/>
      <c r="BG397" s="316"/>
      <c r="BH397" s="316"/>
      <c r="BI397" s="316"/>
      <c r="BJ397" s="316"/>
      <c r="BK397" s="316"/>
      <c r="BL397" s="316"/>
      <c r="BM397" s="316"/>
      <c r="BN397" s="316"/>
      <c r="BO397" s="316"/>
      <c r="BP397" s="316"/>
      <c r="BQ397" s="316"/>
      <c r="BR397" s="316"/>
      <c r="BS397" s="316"/>
      <c r="BT397" s="316"/>
      <c r="BU397" s="316"/>
      <c r="BV397" s="316"/>
      <c r="BW397" s="316"/>
      <c r="BX397" s="316"/>
      <c r="BY397" s="316"/>
      <c r="BZ397" s="316"/>
      <c r="CA397" s="316"/>
      <c r="CB397" s="316"/>
      <c r="CC397" s="316"/>
      <c r="CD397" s="316"/>
    </row>
    <row r="398" ht="15.75" customHeight="1">
      <c r="A398" s="308"/>
      <c r="B398" s="312"/>
      <c r="C398" s="312"/>
      <c r="D398" s="312"/>
      <c r="E398" s="312"/>
      <c r="F398" s="312"/>
      <c r="G398" s="312"/>
      <c r="H398" s="312"/>
      <c r="I398" s="312"/>
      <c r="J398" s="312"/>
      <c r="K398" s="312"/>
      <c r="L398" s="312"/>
      <c r="M398" s="312"/>
      <c r="N398" s="312"/>
      <c r="O398" s="312"/>
      <c r="P398" s="312"/>
      <c r="Q398" s="312"/>
      <c r="R398" s="312"/>
      <c r="S398" s="312"/>
      <c r="T398" s="312"/>
      <c r="U398" s="312"/>
      <c r="V398" s="312"/>
      <c r="W398" s="312"/>
      <c r="X398" s="312"/>
      <c r="Y398" s="312"/>
      <c r="Z398" s="312"/>
      <c r="AA398" s="312"/>
      <c r="AB398" s="312"/>
      <c r="AC398" s="396"/>
      <c r="AD398" s="312"/>
      <c r="AE398" s="312"/>
      <c r="AF398" s="312"/>
      <c r="AG398" s="312"/>
      <c r="AH398" s="312"/>
      <c r="AI398" s="312"/>
      <c r="AJ398" s="312"/>
      <c r="AK398" s="312"/>
      <c r="AL398" s="312"/>
      <c r="AM398" s="312"/>
      <c r="AN398" s="312"/>
      <c r="AO398" s="312"/>
      <c r="AP398" s="312"/>
      <c r="AQ398" s="312"/>
      <c r="AR398" s="312"/>
      <c r="AS398" s="312"/>
      <c r="AT398" s="312"/>
      <c r="AU398" s="312"/>
      <c r="AV398" s="312"/>
      <c r="AW398" s="312"/>
      <c r="AX398" s="312"/>
      <c r="AY398" s="312"/>
      <c r="AZ398" s="312"/>
      <c r="BA398" s="312"/>
      <c r="BB398" s="312"/>
      <c r="BC398" s="312"/>
      <c r="BD398" s="316"/>
      <c r="BE398" s="316"/>
      <c r="BF398" s="316"/>
      <c r="BG398" s="316"/>
      <c r="BH398" s="316"/>
      <c r="BI398" s="316"/>
      <c r="BJ398" s="316"/>
      <c r="BK398" s="316"/>
      <c r="BL398" s="316"/>
      <c r="BM398" s="316"/>
      <c r="BN398" s="316"/>
      <c r="BO398" s="316"/>
      <c r="BP398" s="316"/>
      <c r="BQ398" s="316"/>
      <c r="BR398" s="316"/>
      <c r="BS398" s="316"/>
      <c r="BT398" s="316"/>
      <c r="BU398" s="316"/>
      <c r="BV398" s="316"/>
      <c r="BW398" s="316"/>
      <c r="BX398" s="316"/>
      <c r="BY398" s="316"/>
      <c r="BZ398" s="316"/>
      <c r="CA398" s="316"/>
      <c r="CB398" s="316"/>
      <c r="CC398" s="316"/>
      <c r="CD398" s="316"/>
    </row>
    <row r="399" ht="15.75" customHeight="1">
      <c r="A399" s="308"/>
      <c r="B399" s="312"/>
      <c r="C399" s="312"/>
      <c r="D399" s="312"/>
      <c r="E399" s="312"/>
      <c r="F399" s="312"/>
      <c r="G399" s="312"/>
      <c r="H399" s="312"/>
      <c r="I399" s="312"/>
      <c r="J399" s="312"/>
      <c r="K399" s="312"/>
      <c r="L399" s="312"/>
      <c r="M399" s="312"/>
      <c r="N399" s="312"/>
      <c r="O399" s="312"/>
      <c r="P399" s="312"/>
      <c r="Q399" s="312"/>
      <c r="R399" s="312"/>
      <c r="S399" s="312"/>
      <c r="T399" s="312"/>
      <c r="U399" s="312"/>
      <c r="V399" s="312"/>
      <c r="W399" s="312"/>
      <c r="X399" s="312"/>
      <c r="Y399" s="312"/>
      <c r="Z399" s="312"/>
      <c r="AA399" s="312"/>
      <c r="AB399" s="312"/>
      <c r="AC399" s="396"/>
      <c r="AD399" s="312"/>
      <c r="AE399" s="312"/>
      <c r="AF399" s="312"/>
      <c r="AG399" s="312"/>
      <c r="AH399" s="312"/>
      <c r="AI399" s="312"/>
      <c r="AJ399" s="312"/>
      <c r="AK399" s="312"/>
      <c r="AL399" s="312"/>
      <c r="AM399" s="312"/>
      <c r="AN399" s="312"/>
      <c r="AO399" s="312"/>
      <c r="AP399" s="312"/>
      <c r="AQ399" s="312"/>
      <c r="AR399" s="312"/>
      <c r="AS399" s="312"/>
      <c r="AT399" s="312"/>
      <c r="AU399" s="312"/>
      <c r="AV399" s="312"/>
      <c r="AW399" s="312"/>
      <c r="AX399" s="312"/>
      <c r="AY399" s="312"/>
      <c r="AZ399" s="312"/>
      <c r="BA399" s="312"/>
      <c r="BB399" s="312"/>
      <c r="BC399" s="312"/>
      <c r="BD399" s="316"/>
      <c r="BE399" s="316"/>
      <c r="BF399" s="316"/>
      <c r="BG399" s="316"/>
      <c r="BH399" s="316"/>
      <c r="BI399" s="316"/>
      <c r="BJ399" s="316"/>
      <c r="BK399" s="316"/>
      <c r="BL399" s="316"/>
      <c r="BM399" s="316"/>
      <c r="BN399" s="316"/>
      <c r="BO399" s="316"/>
      <c r="BP399" s="316"/>
      <c r="BQ399" s="316"/>
      <c r="BR399" s="316"/>
      <c r="BS399" s="316"/>
      <c r="BT399" s="316"/>
      <c r="BU399" s="316"/>
      <c r="BV399" s="316"/>
      <c r="BW399" s="316"/>
      <c r="BX399" s="316"/>
      <c r="BY399" s="316"/>
      <c r="BZ399" s="316"/>
      <c r="CA399" s="316"/>
      <c r="CB399" s="316"/>
      <c r="CC399" s="316"/>
      <c r="CD399" s="316"/>
    </row>
    <row r="400" ht="15.75" customHeight="1">
      <c r="A400" s="308"/>
      <c r="B400" s="312"/>
      <c r="C400" s="312"/>
      <c r="D400" s="312"/>
      <c r="E400" s="312"/>
      <c r="F400" s="312"/>
      <c r="G400" s="312"/>
      <c r="H400" s="312"/>
      <c r="I400" s="312"/>
      <c r="J400" s="312"/>
      <c r="K400" s="312"/>
      <c r="L400" s="312"/>
      <c r="M400" s="312"/>
      <c r="N400" s="312"/>
      <c r="O400" s="312"/>
      <c r="P400" s="312"/>
      <c r="Q400" s="312"/>
      <c r="R400" s="312"/>
      <c r="S400" s="312"/>
      <c r="T400" s="312"/>
      <c r="U400" s="312"/>
      <c r="V400" s="312"/>
      <c r="W400" s="312"/>
      <c r="X400" s="312"/>
      <c r="Y400" s="312"/>
      <c r="Z400" s="312"/>
      <c r="AA400" s="312"/>
      <c r="AB400" s="312"/>
      <c r="AC400" s="396"/>
      <c r="AD400" s="312"/>
      <c r="AE400" s="312"/>
      <c r="AF400" s="312"/>
      <c r="AG400" s="312"/>
      <c r="AH400" s="312"/>
      <c r="AI400" s="312"/>
      <c r="AJ400" s="312"/>
      <c r="AK400" s="312"/>
      <c r="AL400" s="312"/>
      <c r="AM400" s="312"/>
      <c r="AN400" s="312"/>
      <c r="AO400" s="312"/>
      <c r="AP400" s="312"/>
      <c r="AQ400" s="312"/>
      <c r="AR400" s="312"/>
      <c r="AS400" s="312"/>
      <c r="AT400" s="312"/>
      <c r="AU400" s="312"/>
      <c r="AV400" s="312"/>
      <c r="AW400" s="312"/>
      <c r="AX400" s="312"/>
      <c r="AY400" s="312"/>
      <c r="AZ400" s="312"/>
      <c r="BA400" s="312"/>
      <c r="BB400" s="312"/>
      <c r="BC400" s="312"/>
      <c r="BD400" s="316"/>
      <c r="BE400" s="316"/>
      <c r="BF400" s="316"/>
      <c r="BG400" s="316"/>
      <c r="BH400" s="316"/>
      <c r="BI400" s="316"/>
      <c r="BJ400" s="316"/>
      <c r="BK400" s="316"/>
      <c r="BL400" s="316"/>
      <c r="BM400" s="316"/>
      <c r="BN400" s="316"/>
      <c r="BO400" s="316"/>
      <c r="BP400" s="316"/>
      <c r="BQ400" s="316"/>
      <c r="BR400" s="316"/>
      <c r="BS400" s="316"/>
      <c r="BT400" s="316"/>
      <c r="BU400" s="316"/>
      <c r="BV400" s="316"/>
      <c r="BW400" s="316"/>
      <c r="BX400" s="316"/>
      <c r="BY400" s="316"/>
      <c r="BZ400" s="316"/>
      <c r="CA400" s="316"/>
      <c r="CB400" s="316"/>
      <c r="CC400" s="316"/>
      <c r="CD400" s="316"/>
    </row>
    <row r="401" ht="15.75" customHeight="1">
      <c r="A401" s="308"/>
      <c r="B401" s="312"/>
      <c r="C401" s="312"/>
      <c r="D401" s="312"/>
      <c r="E401" s="312"/>
      <c r="F401" s="312"/>
      <c r="G401" s="312"/>
      <c r="H401" s="312"/>
      <c r="I401" s="312"/>
      <c r="J401" s="312"/>
      <c r="K401" s="312"/>
      <c r="L401" s="312"/>
      <c r="M401" s="312"/>
      <c r="N401" s="312"/>
      <c r="O401" s="312"/>
      <c r="P401" s="312"/>
      <c r="Q401" s="312"/>
      <c r="R401" s="312"/>
      <c r="S401" s="312"/>
      <c r="T401" s="312"/>
      <c r="U401" s="312"/>
      <c r="V401" s="312"/>
      <c r="W401" s="312"/>
      <c r="X401" s="312"/>
      <c r="Y401" s="312"/>
      <c r="Z401" s="312"/>
      <c r="AA401" s="312"/>
      <c r="AB401" s="312"/>
      <c r="AC401" s="396"/>
      <c r="AD401" s="312"/>
      <c r="AE401" s="312"/>
      <c r="AF401" s="312"/>
      <c r="AG401" s="312"/>
      <c r="AH401" s="312"/>
      <c r="AI401" s="312"/>
      <c r="AJ401" s="312"/>
      <c r="AK401" s="312"/>
      <c r="AL401" s="312"/>
      <c r="AM401" s="312"/>
      <c r="AN401" s="312"/>
      <c r="AO401" s="312"/>
      <c r="AP401" s="312"/>
      <c r="AQ401" s="312"/>
      <c r="AR401" s="312"/>
      <c r="AS401" s="312"/>
      <c r="AT401" s="312"/>
      <c r="AU401" s="312"/>
      <c r="AV401" s="312"/>
      <c r="AW401" s="312"/>
      <c r="AX401" s="312"/>
      <c r="AY401" s="312"/>
      <c r="AZ401" s="312"/>
      <c r="BA401" s="312"/>
      <c r="BB401" s="312"/>
      <c r="BC401" s="312"/>
      <c r="BD401" s="316"/>
      <c r="BE401" s="316"/>
      <c r="BF401" s="316"/>
      <c r="BG401" s="316"/>
      <c r="BH401" s="316"/>
      <c r="BI401" s="316"/>
      <c r="BJ401" s="316"/>
      <c r="BK401" s="316"/>
      <c r="BL401" s="316"/>
      <c r="BM401" s="316"/>
      <c r="BN401" s="316"/>
      <c r="BO401" s="316"/>
      <c r="BP401" s="316"/>
      <c r="BQ401" s="316"/>
      <c r="BR401" s="316"/>
      <c r="BS401" s="316"/>
      <c r="BT401" s="316"/>
      <c r="BU401" s="316"/>
      <c r="BV401" s="316"/>
      <c r="BW401" s="316"/>
      <c r="BX401" s="316"/>
      <c r="BY401" s="316"/>
      <c r="BZ401" s="316"/>
      <c r="CA401" s="316"/>
      <c r="CB401" s="316"/>
      <c r="CC401" s="316"/>
      <c r="CD401" s="316"/>
    </row>
    <row r="402" ht="15.75" customHeight="1">
      <c r="A402" s="308"/>
      <c r="B402" s="312"/>
      <c r="C402" s="312"/>
      <c r="D402" s="312"/>
      <c r="E402" s="312"/>
      <c r="F402" s="312"/>
      <c r="G402" s="312"/>
      <c r="H402" s="312"/>
      <c r="I402" s="312"/>
      <c r="J402" s="312"/>
      <c r="K402" s="312"/>
      <c r="L402" s="312"/>
      <c r="M402" s="312"/>
      <c r="N402" s="312"/>
      <c r="O402" s="312"/>
      <c r="P402" s="312"/>
      <c r="Q402" s="312"/>
      <c r="R402" s="312"/>
      <c r="S402" s="312"/>
      <c r="T402" s="312"/>
      <c r="U402" s="312"/>
      <c r="V402" s="312"/>
      <c r="W402" s="312"/>
      <c r="X402" s="312"/>
      <c r="Y402" s="312"/>
      <c r="Z402" s="312"/>
      <c r="AA402" s="312"/>
      <c r="AB402" s="312"/>
      <c r="AC402" s="396"/>
      <c r="AD402" s="312"/>
      <c r="AE402" s="312"/>
      <c r="AF402" s="312"/>
      <c r="AG402" s="312"/>
      <c r="AH402" s="312"/>
      <c r="AI402" s="312"/>
      <c r="AJ402" s="312"/>
      <c r="AK402" s="312"/>
      <c r="AL402" s="312"/>
      <c r="AM402" s="312"/>
      <c r="AN402" s="312"/>
      <c r="AO402" s="312"/>
      <c r="AP402" s="312"/>
      <c r="AQ402" s="312"/>
      <c r="AR402" s="312"/>
      <c r="AS402" s="312"/>
      <c r="AT402" s="312"/>
      <c r="AU402" s="312"/>
      <c r="AV402" s="312"/>
      <c r="AW402" s="312"/>
      <c r="AX402" s="312"/>
      <c r="AY402" s="312"/>
      <c r="AZ402" s="312"/>
      <c r="BA402" s="312"/>
      <c r="BB402" s="312"/>
      <c r="BC402" s="312"/>
      <c r="BD402" s="316"/>
      <c r="BE402" s="316"/>
      <c r="BF402" s="316"/>
      <c r="BG402" s="316"/>
      <c r="BH402" s="316"/>
      <c r="BI402" s="316"/>
      <c r="BJ402" s="316"/>
      <c r="BK402" s="316"/>
      <c r="BL402" s="316"/>
      <c r="BM402" s="316"/>
      <c r="BN402" s="316"/>
      <c r="BO402" s="316"/>
      <c r="BP402" s="316"/>
      <c r="BQ402" s="316"/>
      <c r="BR402" s="316"/>
      <c r="BS402" s="316"/>
      <c r="BT402" s="316"/>
      <c r="BU402" s="316"/>
      <c r="BV402" s="316"/>
      <c r="BW402" s="316"/>
      <c r="BX402" s="316"/>
      <c r="BY402" s="316"/>
      <c r="BZ402" s="316"/>
      <c r="CA402" s="316"/>
      <c r="CB402" s="316"/>
      <c r="CC402" s="316"/>
      <c r="CD402" s="316"/>
    </row>
    <row r="403" ht="15.75" customHeight="1">
      <c r="A403" s="308"/>
      <c r="B403" s="312"/>
      <c r="C403" s="312"/>
      <c r="D403" s="312"/>
      <c r="E403" s="312"/>
      <c r="F403" s="312"/>
      <c r="G403" s="312"/>
      <c r="H403" s="312"/>
      <c r="I403" s="312"/>
      <c r="J403" s="312"/>
      <c r="K403" s="312"/>
      <c r="L403" s="312"/>
      <c r="M403" s="312"/>
      <c r="N403" s="312"/>
      <c r="O403" s="312"/>
      <c r="P403" s="312"/>
      <c r="Q403" s="312"/>
      <c r="R403" s="312"/>
      <c r="S403" s="312"/>
      <c r="T403" s="312"/>
      <c r="U403" s="312"/>
      <c r="V403" s="312"/>
      <c r="W403" s="312"/>
      <c r="X403" s="312"/>
      <c r="Y403" s="312"/>
      <c r="Z403" s="312"/>
      <c r="AA403" s="312"/>
      <c r="AB403" s="312"/>
      <c r="AC403" s="396"/>
      <c r="AD403" s="312"/>
      <c r="AE403" s="312"/>
      <c r="AF403" s="312"/>
      <c r="AG403" s="312"/>
      <c r="AH403" s="312"/>
      <c r="AI403" s="312"/>
      <c r="AJ403" s="312"/>
      <c r="AK403" s="312"/>
      <c r="AL403" s="312"/>
      <c r="AM403" s="312"/>
      <c r="AN403" s="312"/>
      <c r="AO403" s="312"/>
      <c r="AP403" s="312"/>
      <c r="AQ403" s="312"/>
      <c r="AR403" s="312"/>
      <c r="AS403" s="312"/>
      <c r="AT403" s="312"/>
      <c r="AU403" s="312"/>
      <c r="AV403" s="312"/>
      <c r="AW403" s="312"/>
      <c r="AX403" s="312"/>
      <c r="AY403" s="312"/>
      <c r="AZ403" s="312"/>
      <c r="BA403" s="312"/>
      <c r="BB403" s="312"/>
      <c r="BC403" s="312"/>
      <c r="BD403" s="316"/>
      <c r="BE403" s="316"/>
      <c r="BF403" s="316"/>
      <c r="BG403" s="316"/>
      <c r="BH403" s="316"/>
      <c r="BI403" s="316"/>
      <c r="BJ403" s="316"/>
      <c r="BK403" s="316"/>
      <c r="BL403" s="316"/>
      <c r="BM403" s="316"/>
      <c r="BN403" s="316"/>
      <c r="BO403" s="316"/>
      <c r="BP403" s="316"/>
      <c r="BQ403" s="316"/>
      <c r="BR403" s="316"/>
      <c r="BS403" s="316"/>
      <c r="BT403" s="316"/>
      <c r="BU403" s="316"/>
      <c r="BV403" s="316"/>
      <c r="BW403" s="316"/>
      <c r="BX403" s="316"/>
      <c r="BY403" s="316"/>
      <c r="BZ403" s="316"/>
      <c r="CA403" s="316"/>
      <c r="CB403" s="316"/>
      <c r="CC403" s="316"/>
      <c r="CD403" s="316"/>
    </row>
    <row r="404" ht="15.75" customHeight="1">
      <c r="A404" s="308"/>
      <c r="B404" s="312"/>
      <c r="C404" s="312"/>
      <c r="D404" s="312"/>
      <c r="E404" s="312"/>
      <c r="F404" s="312"/>
      <c r="G404" s="312"/>
      <c r="H404" s="312"/>
      <c r="I404" s="312"/>
      <c r="J404" s="312"/>
      <c r="K404" s="312"/>
      <c r="L404" s="312"/>
      <c r="M404" s="312"/>
      <c r="N404" s="312"/>
      <c r="O404" s="312"/>
      <c r="P404" s="312"/>
      <c r="Q404" s="312"/>
      <c r="R404" s="312"/>
      <c r="S404" s="312"/>
      <c r="T404" s="312"/>
      <c r="U404" s="312"/>
      <c r="V404" s="312"/>
      <c r="W404" s="312"/>
      <c r="X404" s="312"/>
      <c r="Y404" s="312"/>
      <c r="Z404" s="312"/>
      <c r="AA404" s="312"/>
      <c r="AB404" s="312"/>
      <c r="AC404" s="396"/>
      <c r="AD404" s="312"/>
      <c r="AE404" s="312"/>
      <c r="AF404" s="312"/>
      <c r="AG404" s="312"/>
      <c r="AH404" s="312"/>
      <c r="AI404" s="312"/>
      <c r="AJ404" s="312"/>
      <c r="AK404" s="312"/>
      <c r="AL404" s="312"/>
      <c r="AM404" s="312"/>
      <c r="AN404" s="312"/>
      <c r="AO404" s="312"/>
      <c r="AP404" s="312"/>
      <c r="AQ404" s="312"/>
      <c r="AR404" s="312"/>
      <c r="AS404" s="312"/>
      <c r="AT404" s="312"/>
      <c r="AU404" s="312"/>
      <c r="AV404" s="312"/>
      <c r="AW404" s="312"/>
      <c r="AX404" s="312"/>
      <c r="AY404" s="312"/>
      <c r="AZ404" s="312"/>
      <c r="BA404" s="312"/>
      <c r="BB404" s="312"/>
      <c r="BC404" s="312"/>
      <c r="BD404" s="316"/>
      <c r="BE404" s="316"/>
      <c r="BF404" s="316"/>
      <c r="BG404" s="316"/>
      <c r="BH404" s="316"/>
      <c r="BI404" s="316"/>
      <c r="BJ404" s="316"/>
      <c r="BK404" s="316"/>
      <c r="BL404" s="316"/>
      <c r="BM404" s="316"/>
      <c r="BN404" s="316"/>
      <c r="BO404" s="316"/>
      <c r="BP404" s="316"/>
      <c r="BQ404" s="316"/>
      <c r="BR404" s="316"/>
      <c r="BS404" s="316"/>
      <c r="BT404" s="316"/>
      <c r="BU404" s="316"/>
      <c r="BV404" s="316"/>
      <c r="BW404" s="316"/>
      <c r="BX404" s="316"/>
      <c r="BY404" s="316"/>
      <c r="BZ404" s="316"/>
      <c r="CA404" s="316"/>
      <c r="CB404" s="316"/>
      <c r="CC404" s="316"/>
      <c r="CD404" s="316"/>
    </row>
    <row r="405" ht="15.75" customHeight="1">
      <c r="A405" s="308"/>
      <c r="B405" s="312"/>
      <c r="C405" s="312"/>
      <c r="D405" s="312"/>
      <c r="E405" s="312"/>
      <c r="F405" s="312"/>
      <c r="G405" s="312"/>
      <c r="H405" s="312"/>
      <c r="I405" s="312"/>
      <c r="J405" s="312"/>
      <c r="K405" s="312"/>
      <c r="L405" s="312"/>
      <c r="M405" s="312"/>
      <c r="N405" s="312"/>
      <c r="O405" s="312"/>
      <c r="P405" s="312"/>
      <c r="Q405" s="312"/>
      <c r="R405" s="312"/>
      <c r="S405" s="312"/>
      <c r="T405" s="312"/>
      <c r="U405" s="312"/>
      <c r="V405" s="312"/>
      <c r="W405" s="312"/>
      <c r="X405" s="312"/>
      <c r="Y405" s="312"/>
      <c r="Z405" s="312"/>
      <c r="AA405" s="312"/>
      <c r="AB405" s="312"/>
      <c r="AC405" s="396"/>
      <c r="AD405" s="312"/>
      <c r="AE405" s="312"/>
      <c r="AF405" s="312"/>
      <c r="AG405" s="312"/>
      <c r="AH405" s="312"/>
      <c r="AI405" s="312"/>
      <c r="AJ405" s="312"/>
      <c r="AK405" s="312"/>
      <c r="AL405" s="312"/>
      <c r="AM405" s="312"/>
      <c r="AN405" s="312"/>
      <c r="AO405" s="312"/>
      <c r="AP405" s="312"/>
      <c r="AQ405" s="312"/>
      <c r="AR405" s="312"/>
      <c r="AS405" s="312"/>
      <c r="AT405" s="312"/>
      <c r="AU405" s="312"/>
      <c r="AV405" s="312"/>
      <c r="AW405" s="312"/>
      <c r="AX405" s="312"/>
      <c r="AY405" s="312"/>
      <c r="AZ405" s="312"/>
      <c r="BA405" s="312"/>
      <c r="BB405" s="312"/>
      <c r="BC405" s="312"/>
      <c r="BD405" s="316"/>
      <c r="BE405" s="316"/>
      <c r="BF405" s="316"/>
      <c r="BG405" s="316"/>
      <c r="BH405" s="316"/>
      <c r="BI405" s="316"/>
      <c r="BJ405" s="316"/>
      <c r="BK405" s="316"/>
      <c r="BL405" s="316"/>
      <c r="BM405" s="316"/>
      <c r="BN405" s="316"/>
      <c r="BO405" s="316"/>
      <c r="BP405" s="316"/>
      <c r="BQ405" s="316"/>
      <c r="BR405" s="316"/>
      <c r="BS405" s="316"/>
      <c r="BT405" s="316"/>
      <c r="BU405" s="316"/>
      <c r="BV405" s="316"/>
      <c r="BW405" s="316"/>
      <c r="BX405" s="316"/>
      <c r="BY405" s="316"/>
      <c r="BZ405" s="316"/>
      <c r="CA405" s="316"/>
      <c r="CB405" s="316"/>
      <c r="CC405" s="316"/>
      <c r="CD405" s="316"/>
    </row>
    <row r="406" ht="15.75" customHeight="1">
      <c r="A406" s="308"/>
      <c r="B406" s="312"/>
      <c r="C406" s="312"/>
      <c r="D406" s="312"/>
      <c r="E406" s="312"/>
      <c r="F406" s="312"/>
      <c r="G406" s="312"/>
      <c r="H406" s="312"/>
      <c r="I406" s="312"/>
      <c r="J406" s="312"/>
      <c r="K406" s="312"/>
      <c r="L406" s="312"/>
      <c r="M406" s="312"/>
      <c r="N406" s="312"/>
      <c r="O406" s="312"/>
      <c r="P406" s="312"/>
      <c r="Q406" s="312"/>
      <c r="R406" s="312"/>
      <c r="S406" s="312"/>
      <c r="T406" s="312"/>
      <c r="U406" s="312"/>
      <c r="V406" s="312"/>
      <c r="W406" s="312"/>
      <c r="X406" s="312"/>
      <c r="Y406" s="312"/>
      <c r="Z406" s="312"/>
      <c r="AA406" s="312"/>
      <c r="AB406" s="312"/>
      <c r="AC406" s="396"/>
      <c r="AD406" s="312"/>
      <c r="AE406" s="312"/>
      <c r="AF406" s="312"/>
      <c r="AG406" s="312"/>
      <c r="AH406" s="312"/>
      <c r="AI406" s="312"/>
      <c r="AJ406" s="312"/>
      <c r="AK406" s="312"/>
      <c r="AL406" s="312"/>
      <c r="AM406" s="312"/>
      <c r="AN406" s="312"/>
      <c r="AO406" s="312"/>
      <c r="AP406" s="312"/>
      <c r="AQ406" s="312"/>
      <c r="AR406" s="312"/>
      <c r="AS406" s="312"/>
      <c r="AT406" s="312"/>
      <c r="AU406" s="312"/>
      <c r="AV406" s="312"/>
      <c r="AW406" s="312"/>
      <c r="AX406" s="312"/>
      <c r="AY406" s="312"/>
      <c r="AZ406" s="312"/>
      <c r="BA406" s="312"/>
      <c r="BB406" s="312"/>
      <c r="BC406" s="312"/>
      <c r="BD406" s="316"/>
      <c r="BE406" s="316"/>
      <c r="BF406" s="316"/>
      <c r="BG406" s="316"/>
      <c r="BH406" s="316"/>
      <c r="BI406" s="316"/>
      <c r="BJ406" s="316"/>
      <c r="BK406" s="316"/>
      <c r="BL406" s="316"/>
      <c r="BM406" s="316"/>
      <c r="BN406" s="316"/>
      <c r="BO406" s="316"/>
      <c r="BP406" s="316"/>
      <c r="BQ406" s="316"/>
      <c r="BR406" s="316"/>
      <c r="BS406" s="316"/>
      <c r="BT406" s="316"/>
      <c r="BU406" s="316"/>
      <c r="BV406" s="316"/>
      <c r="BW406" s="316"/>
      <c r="BX406" s="316"/>
      <c r="BY406" s="316"/>
      <c r="BZ406" s="316"/>
      <c r="CA406" s="316"/>
      <c r="CB406" s="316"/>
      <c r="CC406" s="316"/>
      <c r="CD406" s="316"/>
    </row>
    <row r="407" ht="15.75" customHeight="1">
      <c r="A407" s="308"/>
      <c r="B407" s="312"/>
      <c r="C407" s="312"/>
      <c r="D407" s="312"/>
      <c r="E407" s="312"/>
      <c r="F407" s="312"/>
      <c r="G407" s="312"/>
      <c r="H407" s="312"/>
      <c r="I407" s="312"/>
      <c r="J407" s="312"/>
      <c r="K407" s="312"/>
      <c r="L407" s="312"/>
      <c r="M407" s="312"/>
      <c r="N407" s="312"/>
      <c r="O407" s="312"/>
      <c r="P407" s="312"/>
      <c r="Q407" s="312"/>
      <c r="R407" s="312"/>
      <c r="S407" s="312"/>
      <c r="T407" s="312"/>
      <c r="U407" s="312"/>
      <c r="V407" s="312"/>
      <c r="W407" s="312"/>
      <c r="X407" s="312"/>
      <c r="Y407" s="312"/>
      <c r="Z407" s="312"/>
      <c r="AA407" s="312"/>
      <c r="AB407" s="312"/>
      <c r="AC407" s="396"/>
      <c r="AD407" s="312"/>
      <c r="AE407" s="312"/>
      <c r="AF407" s="312"/>
      <c r="AG407" s="312"/>
      <c r="AH407" s="312"/>
      <c r="AI407" s="312"/>
      <c r="AJ407" s="312"/>
      <c r="AK407" s="312"/>
      <c r="AL407" s="312"/>
      <c r="AM407" s="312"/>
      <c r="AN407" s="312"/>
      <c r="AO407" s="312"/>
      <c r="AP407" s="312"/>
      <c r="AQ407" s="312"/>
      <c r="AR407" s="312"/>
      <c r="AS407" s="312"/>
      <c r="AT407" s="312"/>
      <c r="AU407" s="312"/>
      <c r="AV407" s="312"/>
      <c r="AW407" s="312"/>
      <c r="AX407" s="312"/>
      <c r="AY407" s="312"/>
      <c r="AZ407" s="312"/>
      <c r="BA407" s="312"/>
      <c r="BB407" s="312"/>
      <c r="BC407" s="312"/>
      <c r="BD407" s="316"/>
      <c r="BE407" s="316"/>
      <c r="BF407" s="316"/>
      <c r="BG407" s="316"/>
      <c r="BH407" s="316"/>
      <c r="BI407" s="316"/>
      <c r="BJ407" s="316"/>
      <c r="BK407" s="316"/>
      <c r="BL407" s="316"/>
      <c r="BM407" s="316"/>
      <c r="BN407" s="316"/>
      <c r="BO407" s="316"/>
      <c r="BP407" s="316"/>
      <c r="BQ407" s="316"/>
      <c r="BR407" s="316"/>
      <c r="BS407" s="316"/>
      <c r="BT407" s="316"/>
      <c r="BU407" s="316"/>
      <c r="BV407" s="316"/>
      <c r="BW407" s="316"/>
      <c r="BX407" s="316"/>
      <c r="BY407" s="316"/>
      <c r="BZ407" s="316"/>
      <c r="CA407" s="316"/>
      <c r="CB407" s="316"/>
      <c r="CC407" s="316"/>
      <c r="CD407" s="316"/>
    </row>
    <row r="408" ht="15.75" customHeight="1">
      <c r="A408" s="308"/>
      <c r="B408" s="312"/>
      <c r="C408" s="312"/>
      <c r="D408" s="312"/>
      <c r="E408" s="312"/>
      <c r="F408" s="312"/>
      <c r="G408" s="312"/>
      <c r="H408" s="312"/>
      <c r="I408" s="312"/>
      <c r="J408" s="312"/>
      <c r="K408" s="312"/>
      <c r="L408" s="312"/>
      <c r="M408" s="312"/>
      <c r="N408" s="312"/>
      <c r="O408" s="312"/>
      <c r="P408" s="312"/>
      <c r="Q408" s="312"/>
      <c r="R408" s="312"/>
      <c r="S408" s="312"/>
      <c r="T408" s="312"/>
      <c r="U408" s="312"/>
      <c r="V408" s="312"/>
      <c r="W408" s="312"/>
      <c r="X408" s="312"/>
      <c r="Y408" s="312"/>
      <c r="Z408" s="312"/>
      <c r="AA408" s="312"/>
      <c r="AB408" s="312"/>
      <c r="AC408" s="396"/>
      <c r="AD408" s="312"/>
      <c r="AE408" s="312"/>
      <c r="AF408" s="312"/>
      <c r="AG408" s="312"/>
      <c r="AH408" s="312"/>
      <c r="AI408" s="312"/>
      <c r="AJ408" s="312"/>
      <c r="AK408" s="312"/>
      <c r="AL408" s="312"/>
      <c r="AM408" s="312"/>
      <c r="AN408" s="312"/>
      <c r="AO408" s="312"/>
      <c r="AP408" s="312"/>
      <c r="AQ408" s="312"/>
      <c r="AR408" s="312"/>
      <c r="AS408" s="312"/>
      <c r="AT408" s="312"/>
      <c r="AU408" s="312"/>
      <c r="AV408" s="312"/>
      <c r="AW408" s="312"/>
      <c r="AX408" s="312"/>
      <c r="AY408" s="312"/>
      <c r="AZ408" s="312"/>
      <c r="BA408" s="312"/>
      <c r="BB408" s="312"/>
      <c r="BC408" s="312"/>
      <c r="BD408" s="316"/>
      <c r="BE408" s="316"/>
      <c r="BF408" s="316"/>
      <c r="BG408" s="316"/>
      <c r="BH408" s="316"/>
      <c r="BI408" s="316"/>
      <c r="BJ408" s="316"/>
      <c r="BK408" s="316"/>
      <c r="BL408" s="316"/>
      <c r="BM408" s="316"/>
      <c r="BN408" s="316"/>
      <c r="BO408" s="316"/>
      <c r="BP408" s="316"/>
      <c r="BQ408" s="316"/>
      <c r="BR408" s="316"/>
      <c r="BS408" s="316"/>
      <c r="BT408" s="316"/>
      <c r="BU408" s="316"/>
      <c r="BV408" s="316"/>
      <c r="BW408" s="316"/>
      <c r="BX408" s="316"/>
      <c r="BY408" s="316"/>
      <c r="BZ408" s="316"/>
      <c r="CA408" s="316"/>
      <c r="CB408" s="316"/>
      <c r="CC408" s="316"/>
      <c r="CD408" s="316"/>
    </row>
    <row r="409" ht="15.75" customHeight="1">
      <c r="A409" s="308"/>
      <c r="B409" s="312"/>
      <c r="C409" s="312"/>
      <c r="D409" s="312"/>
      <c r="E409" s="312"/>
      <c r="F409" s="312"/>
      <c r="G409" s="312"/>
      <c r="H409" s="312"/>
      <c r="I409" s="312"/>
      <c r="J409" s="312"/>
      <c r="K409" s="312"/>
      <c r="L409" s="312"/>
      <c r="M409" s="312"/>
      <c r="N409" s="312"/>
      <c r="O409" s="312"/>
      <c r="P409" s="312"/>
      <c r="Q409" s="312"/>
      <c r="R409" s="312"/>
      <c r="S409" s="312"/>
      <c r="T409" s="312"/>
      <c r="U409" s="312"/>
      <c r="V409" s="312"/>
      <c r="W409" s="312"/>
      <c r="X409" s="312"/>
      <c r="Y409" s="312"/>
      <c r="Z409" s="312"/>
      <c r="AA409" s="312"/>
      <c r="AB409" s="312"/>
      <c r="AC409" s="396"/>
      <c r="AD409" s="312"/>
      <c r="AE409" s="312"/>
      <c r="AF409" s="312"/>
      <c r="AG409" s="312"/>
      <c r="AH409" s="312"/>
      <c r="AI409" s="312"/>
      <c r="AJ409" s="312"/>
      <c r="AK409" s="312"/>
      <c r="AL409" s="312"/>
      <c r="AM409" s="312"/>
      <c r="AN409" s="312"/>
      <c r="AO409" s="312"/>
      <c r="AP409" s="312"/>
      <c r="AQ409" s="312"/>
      <c r="AR409" s="312"/>
      <c r="AS409" s="312"/>
      <c r="AT409" s="312"/>
      <c r="AU409" s="312"/>
      <c r="AV409" s="312"/>
      <c r="AW409" s="312"/>
      <c r="AX409" s="312"/>
      <c r="AY409" s="312"/>
      <c r="AZ409" s="312"/>
      <c r="BA409" s="312"/>
      <c r="BB409" s="312"/>
      <c r="BC409" s="312"/>
      <c r="BD409" s="316"/>
      <c r="BE409" s="316"/>
      <c r="BF409" s="316"/>
      <c r="BG409" s="316"/>
      <c r="BH409" s="316"/>
      <c r="BI409" s="316"/>
      <c r="BJ409" s="316"/>
      <c r="BK409" s="316"/>
      <c r="BL409" s="316"/>
      <c r="BM409" s="316"/>
      <c r="BN409" s="316"/>
      <c r="BO409" s="316"/>
      <c r="BP409" s="316"/>
      <c r="BQ409" s="316"/>
      <c r="BR409" s="316"/>
      <c r="BS409" s="316"/>
      <c r="BT409" s="316"/>
      <c r="BU409" s="316"/>
      <c r="BV409" s="316"/>
      <c r="BW409" s="316"/>
      <c r="BX409" s="316"/>
      <c r="BY409" s="316"/>
      <c r="BZ409" s="316"/>
      <c r="CA409" s="316"/>
      <c r="CB409" s="316"/>
      <c r="CC409" s="316"/>
      <c r="CD409" s="316"/>
    </row>
    <row r="410" ht="15.75" customHeight="1">
      <c r="A410" s="308"/>
      <c r="B410" s="312"/>
      <c r="C410" s="312"/>
      <c r="D410" s="312"/>
      <c r="E410" s="312"/>
      <c r="F410" s="312"/>
      <c r="G410" s="312"/>
      <c r="H410" s="312"/>
      <c r="I410" s="312"/>
      <c r="J410" s="312"/>
      <c r="K410" s="312"/>
      <c r="L410" s="312"/>
      <c r="M410" s="312"/>
      <c r="N410" s="312"/>
      <c r="O410" s="312"/>
      <c r="P410" s="312"/>
      <c r="Q410" s="312"/>
      <c r="R410" s="312"/>
      <c r="S410" s="312"/>
      <c r="T410" s="312"/>
      <c r="U410" s="312" t="s">
        <v>281</v>
      </c>
      <c r="BO410" s="312"/>
      <c r="BP410" s="312"/>
      <c r="BQ410" s="312"/>
      <c r="BR410" s="312"/>
      <c r="BS410" s="312"/>
      <c r="BT410" s="312"/>
      <c r="BU410" s="312"/>
      <c r="BV410" s="312"/>
      <c r="BW410" s="316"/>
      <c r="BX410" s="316"/>
      <c r="BY410" s="316"/>
      <c r="BZ410" s="316"/>
      <c r="CA410" s="316"/>
      <c r="CB410" s="316"/>
      <c r="CC410" s="316"/>
      <c r="CD410" s="316"/>
    </row>
    <row r="411" ht="15.75" customHeight="1">
      <c r="A411" s="308"/>
      <c r="B411" s="312"/>
      <c r="C411" s="312"/>
      <c r="D411" s="312"/>
      <c r="E411" s="312"/>
      <c r="F411" s="312"/>
      <c r="G411" s="312"/>
      <c r="H411" s="312"/>
      <c r="I411" s="312"/>
      <c r="J411" s="312"/>
      <c r="K411" s="312"/>
      <c r="L411" s="312"/>
      <c r="M411" s="312"/>
      <c r="N411" s="312"/>
      <c r="O411" s="312"/>
      <c r="P411" s="312"/>
      <c r="Q411" s="312"/>
      <c r="R411" s="312"/>
      <c r="S411" s="312"/>
      <c r="T411" s="312"/>
      <c r="BO411" s="312"/>
      <c r="BP411" s="312"/>
      <c r="BQ411" s="312"/>
      <c r="BR411" s="312"/>
      <c r="BS411" s="312"/>
      <c r="BT411" s="312"/>
      <c r="BU411" s="312"/>
      <c r="BV411" s="312"/>
      <c r="BW411" s="316"/>
      <c r="BX411" s="316"/>
      <c r="BY411" s="316"/>
      <c r="BZ411" s="316"/>
      <c r="CA411" s="316"/>
      <c r="CB411" s="316"/>
      <c r="CC411" s="316"/>
      <c r="CD411" s="316"/>
    </row>
    <row r="412" ht="15.75" customHeight="1">
      <c r="A412" s="308"/>
      <c r="B412" s="312"/>
      <c r="C412" s="312"/>
      <c r="D412" s="312"/>
      <c r="E412" s="312"/>
      <c r="F412" s="312"/>
      <c r="G412" s="312"/>
      <c r="H412" s="312"/>
      <c r="I412" s="312"/>
      <c r="J412" s="312"/>
      <c r="K412" s="312"/>
      <c r="L412" s="312"/>
      <c r="M412" s="312"/>
      <c r="N412" s="312"/>
      <c r="O412" s="312"/>
      <c r="P412" s="312"/>
      <c r="Q412" s="312"/>
      <c r="R412" s="312"/>
      <c r="S412" s="312"/>
      <c r="T412" s="312"/>
      <c r="BO412" s="312"/>
      <c r="BP412" s="312"/>
      <c r="BQ412" s="312"/>
      <c r="BR412" s="312"/>
      <c r="BS412" s="312"/>
      <c r="BT412" s="312"/>
      <c r="BU412" s="312"/>
      <c r="BV412" s="312"/>
      <c r="BW412" s="316"/>
      <c r="BX412" s="316"/>
      <c r="BY412" s="316"/>
      <c r="BZ412" s="316"/>
      <c r="CA412" s="316"/>
      <c r="CB412" s="316"/>
      <c r="CC412" s="316"/>
      <c r="CD412" s="316"/>
    </row>
    <row r="413" ht="15.75" customHeight="1">
      <c r="A413" s="308"/>
      <c r="B413" s="312"/>
      <c r="C413" s="312"/>
      <c r="D413" s="312"/>
      <c r="E413" s="312"/>
      <c r="F413" s="312"/>
      <c r="G413" s="312"/>
      <c r="H413" s="312"/>
      <c r="I413" s="312"/>
      <c r="J413" s="312"/>
      <c r="K413" s="312"/>
      <c r="L413" s="312"/>
      <c r="M413" s="312"/>
      <c r="N413" s="312"/>
      <c r="O413" s="312"/>
      <c r="P413" s="312"/>
      <c r="Q413" s="312"/>
      <c r="R413" s="312"/>
      <c r="S413" s="312"/>
      <c r="T413" s="312"/>
      <c r="BO413" s="312"/>
      <c r="BP413" s="312"/>
      <c r="BQ413" s="312"/>
      <c r="BR413" s="312"/>
      <c r="BS413" s="312"/>
      <c r="BT413" s="312"/>
      <c r="BU413" s="312"/>
      <c r="BV413" s="312"/>
      <c r="BW413" s="316"/>
      <c r="BX413" s="316"/>
      <c r="BY413" s="316"/>
      <c r="BZ413" s="316"/>
      <c r="CA413" s="316"/>
      <c r="CB413" s="316"/>
      <c r="CC413" s="316"/>
      <c r="CD413" s="316"/>
    </row>
    <row r="414" ht="15.75" customHeight="1">
      <c r="A414" s="308"/>
      <c r="B414" s="312"/>
      <c r="C414" s="312"/>
      <c r="D414" s="312"/>
      <c r="E414" s="312"/>
      <c r="F414" s="312"/>
      <c r="G414" s="312"/>
      <c r="H414" s="312"/>
      <c r="I414" s="312"/>
      <c r="J414" s="312"/>
      <c r="K414" s="312"/>
      <c r="L414" s="312"/>
      <c r="M414" s="312"/>
      <c r="N414" s="312"/>
      <c r="O414" s="312"/>
      <c r="P414" s="312"/>
      <c r="Q414" s="312"/>
      <c r="R414" s="312"/>
      <c r="S414" s="312"/>
      <c r="T414" s="312"/>
      <c r="U414" s="312"/>
      <c r="V414" s="312"/>
      <c r="W414" s="312"/>
      <c r="X414" s="312"/>
      <c r="Y414" s="312"/>
      <c r="Z414" s="312"/>
      <c r="AA414" s="312"/>
      <c r="AB414" s="312"/>
      <c r="AC414" s="312"/>
      <c r="AD414" s="312"/>
      <c r="AE414" s="312"/>
      <c r="AF414" s="312"/>
      <c r="AG414" s="312"/>
      <c r="AH414" s="312"/>
      <c r="AI414" s="312"/>
      <c r="AJ414" s="312"/>
      <c r="AK414" s="312"/>
      <c r="AL414" s="312"/>
      <c r="AM414" s="312"/>
      <c r="AN414" s="312"/>
      <c r="AO414" s="312"/>
      <c r="AP414" s="312"/>
      <c r="AQ414" s="312"/>
      <c r="AR414" s="312"/>
      <c r="AS414" s="312"/>
      <c r="AT414" s="312"/>
      <c r="AU414" s="312"/>
      <c r="AV414" s="312"/>
      <c r="AW414" s="312"/>
      <c r="AX414" s="312"/>
      <c r="AY414" s="312"/>
      <c r="AZ414" s="312"/>
      <c r="BA414" s="312"/>
      <c r="BB414" s="312"/>
      <c r="BC414" s="312"/>
      <c r="BD414" s="312"/>
      <c r="BE414" s="312"/>
      <c r="BF414" s="312"/>
      <c r="BG414" s="312"/>
      <c r="BH414" s="312"/>
      <c r="BI414" s="312"/>
      <c r="BJ414" s="312"/>
      <c r="BK414" s="312"/>
      <c r="BL414" s="312"/>
      <c r="BM414" s="312"/>
      <c r="BN414" s="312"/>
      <c r="BO414" s="312"/>
      <c r="BP414" s="312"/>
      <c r="BQ414" s="312"/>
      <c r="BR414" s="312"/>
      <c r="BS414" s="312"/>
      <c r="BT414" s="312"/>
      <c r="BU414" s="312"/>
      <c r="BV414" s="312"/>
      <c r="BW414" s="316"/>
      <c r="BX414" s="316"/>
      <c r="BY414" s="316"/>
      <c r="BZ414" s="316"/>
      <c r="CA414" s="316"/>
      <c r="CB414" s="316"/>
      <c r="CC414" s="316"/>
      <c r="CD414" s="316"/>
    </row>
    <row r="415" ht="15.75" customHeight="1">
      <c r="A415" s="308"/>
      <c r="B415" s="312"/>
      <c r="C415" s="312"/>
      <c r="D415" s="312"/>
      <c r="E415" s="312"/>
      <c r="F415" s="312"/>
      <c r="G415" s="312"/>
      <c r="H415" s="312"/>
      <c r="I415" s="312"/>
      <c r="J415" s="312"/>
      <c r="K415" s="312"/>
      <c r="L415" s="312"/>
      <c r="M415" s="312"/>
      <c r="N415" s="312"/>
      <c r="O415" s="312"/>
      <c r="P415" s="312"/>
      <c r="Q415" s="312"/>
      <c r="R415" s="312"/>
      <c r="S415" s="312"/>
      <c r="T415" s="312"/>
      <c r="U415" s="312"/>
      <c r="V415" s="312"/>
      <c r="W415" s="312"/>
      <c r="X415" s="312"/>
      <c r="Y415" s="312"/>
      <c r="Z415" s="312"/>
      <c r="AA415" s="312"/>
      <c r="AB415" s="312"/>
      <c r="AC415" s="312"/>
      <c r="AD415" s="312"/>
      <c r="AE415" s="312"/>
      <c r="AF415" s="312"/>
      <c r="AG415" s="312"/>
      <c r="AH415" s="312"/>
      <c r="AI415" s="312"/>
      <c r="AJ415" s="312"/>
      <c r="AK415" s="312"/>
      <c r="AL415" s="312"/>
      <c r="AM415" s="312"/>
      <c r="AN415" s="312"/>
      <c r="AO415" s="312"/>
      <c r="AP415" s="312"/>
      <c r="AQ415" s="312"/>
      <c r="AR415" s="312"/>
      <c r="AS415" s="312"/>
      <c r="AT415" s="312"/>
      <c r="AU415" s="312"/>
      <c r="AV415" s="312"/>
      <c r="AW415" s="312"/>
      <c r="AX415" s="312"/>
      <c r="AY415" s="312"/>
      <c r="AZ415" s="312"/>
      <c r="BA415" s="312"/>
      <c r="BB415" s="312"/>
      <c r="BC415" s="312"/>
      <c r="BD415" s="312"/>
      <c r="BE415" s="312"/>
      <c r="BF415" s="312"/>
      <c r="BG415" s="312"/>
      <c r="BH415" s="312"/>
      <c r="BI415" s="312"/>
      <c r="BJ415" s="312"/>
      <c r="BK415" s="312"/>
      <c r="BL415" s="312"/>
      <c r="BM415" s="312"/>
      <c r="BN415" s="312"/>
      <c r="BO415" s="312"/>
      <c r="BP415" s="312"/>
      <c r="BQ415" s="312"/>
      <c r="BR415" s="312"/>
      <c r="BS415" s="312"/>
      <c r="BT415" s="312"/>
      <c r="BU415" s="312"/>
      <c r="BV415" s="312"/>
      <c r="BW415" s="316"/>
      <c r="BX415" s="316"/>
      <c r="BY415" s="316"/>
      <c r="BZ415" s="316"/>
      <c r="CA415" s="316"/>
      <c r="CB415" s="316"/>
      <c r="CC415" s="316"/>
      <c r="CD415" s="316"/>
    </row>
    <row r="416" ht="15.75" customHeight="1">
      <c r="A416" s="308"/>
      <c r="B416" s="312"/>
      <c r="C416" s="312"/>
      <c r="D416" s="312"/>
      <c r="E416" s="312"/>
      <c r="F416" s="312"/>
      <c r="G416" s="312"/>
      <c r="H416" s="312"/>
      <c r="I416" s="312"/>
      <c r="J416" s="312"/>
      <c r="K416" s="312"/>
      <c r="L416" s="312"/>
      <c r="M416" s="312"/>
      <c r="N416" s="312"/>
      <c r="O416" s="312"/>
      <c r="P416" s="312"/>
      <c r="Q416" s="312"/>
      <c r="R416" s="312"/>
      <c r="S416" s="312"/>
      <c r="T416" s="308"/>
      <c r="U416" s="308"/>
      <c r="V416" s="308"/>
      <c r="W416" s="308"/>
      <c r="X416" s="308"/>
      <c r="Y416" s="308"/>
      <c r="Z416" s="308"/>
      <c r="AA416" s="308"/>
      <c r="AB416" s="308"/>
      <c r="AC416" s="308"/>
      <c r="AD416" s="308"/>
      <c r="AE416" s="308"/>
      <c r="AF416" s="308"/>
      <c r="AG416" s="308"/>
      <c r="AH416" s="308"/>
      <c r="AI416" s="308"/>
      <c r="AJ416" s="308"/>
      <c r="AK416" s="308"/>
      <c r="AL416" s="308"/>
      <c r="AM416" s="308"/>
      <c r="AN416" s="308"/>
      <c r="AO416" s="308"/>
      <c r="AP416" s="308"/>
      <c r="AQ416" s="308"/>
      <c r="AR416" s="308"/>
      <c r="AS416" s="308"/>
      <c r="AT416" s="308"/>
      <c r="AU416" s="308"/>
      <c r="AV416" s="308"/>
      <c r="AW416" s="308"/>
      <c r="AX416" s="308"/>
      <c r="AY416" s="308"/>
      <c r="AZ416" s="308"/>
      <c r="BA416" s="308"/>
      <c r="BB416" s="308"/>
      <c r="BC416" s="308"/>
      <c r="BD416" s="308"/>
      <c r="BE416" s="308"/>
      <c r="BF416" s="308"/>
      <c r="BG416" s="308"/>
      <c r="BH416" s="308"/>
      <c r="BI416" s="308"/>
      <c r="BJ416" s="308"/>
      <c r="BK416" s="308"/>
      <c r="BL416" s="308"/>
      <c r="BM416" s="308"/>
      <c r="BN416" s="308"/>
      <c r="BO416" s="308"/>
      <c r="BP416" s="308"/>
      <c r="BQ416" s="308"/>
      <c r="BR416" s="312"/>
      <c r="BS416" s="312"/>
      <c r="BT416" s="312"/>
      <c r="BU416" s="312"/>
      <c r="BV416" s="312"/>
      <c r="BW416" s="316"/>
      <c r="BX416" s="316"/>
      <c r="BY416" s="316"/>
      <c r="BZ416" s="316"/>
      <c r="CA416" s="316"/>
      <c r="CB416" s="316"/>
      <c r="CC416" s="316"/>
      <c r="CD416" s="316"/>
    </row>
    <row r="417" ht="15.75" customHeight="1">
      <c r="A417" s="308"/>
      <c r="B417" s="312"/>
      <c r="C417" s="312"/>
      <c r="D417" s="312"/>
      <c r="E417" s="312"/>
      <c r="F417" s="312"/>
      <c r="G417" s="312"/>
      <c r="H417" s="312"/>
      <c r="I417" s="312"/>
      <c r="J417" s="312"/>
      <c r="K417" s="312"/>
      <c r="L417" s="312"/>
      <c r="M417" s="312"/>
      <c r="N417" s="312"/>
      <c r="O417" s="312"/>
      <c r="P417" s="312"/>
      <c r="Q417" s="312"/>
      <c r="R417" s="312"/>
      <c r="S417" s="312"/>
      <c r="T417" s="308"/>
      <c r="U417" s="308"/>
      <c r="V417" s="308"/>
      <c r="W417" s="308"/>
      <c r="X417" s="308"/>
      <c r="Y417" s="308"/>
      <c r="Z417" s="308"/>
      <c r="AA417" s="308"/>
      <c r="AB417" s="308"/>
      <c r="AC417" s="308"/>
      <c r="AD417" s="308"/>
      <c r="AE417" s="308"/>
      <c r="AF417" s="308"/>
      <c r="AG417" s="308"/>
      <c r="AH417" s="308"/>
      <c r="AI417" s="308"/>
      <c r="AJ417" s="308"/>
      <c r="AK417" s="308"/>
      <c r="AL417" s="308"/>
      <c r="AM417" s="308"/>
      <c r="AN417" s="308"/>
      <c r="AO417" s="308"/>
      <c r="AP417" s="308"/>
      <c r="AQ417" s="308"/>
      <c r="AR417" s="308"/>
      <c r="AS417" s="308"/>
      <c r="AT417" s="308"/>
      <c r="AU417" s="308"/>
      <c r="AV417" s="308"/>
      <c r="AW417" s="308"/>
      <c r="AX417" s="308"/>
      <c r="AY417" s="308"/>
      <c r="AZ417" s="308"/>
      <c r="BA417" s="308"/>
      <c r="BB417" s="308"/>
      <c r="BC417" s="308"/>
      <c r="BD417" s="308"/>
      <c r="BE417" s="308"/>
      <c r="BF417" s="308"/>
      <c r="BG417" s="308"/>
      <c r="BH417" s="308"/>
      <c r="BI417" s="308"/>
      <c r="BJ417" s="308"/>
      <c r="BK417" s="308"/>
      <c r="BL417" s="308"/>
      <c r="BM417" s="308"/>
      <c r="BN417" s="308"/>
      <c r="BO417" s="308"/>
      <c r="BP417" s="308"/>
      <c r="BQ417" s="308"/>
      <c r="BR417" s="312"/>
      <c r="BS417" s="312"/>
      <c r="BT417" s="312"/>
      <c r="BU417" s="312"/>
      <c r="BV417" s="312"/>
      <c r="BW417" s="316"/>
      <c r="BX417" s="316"/>
      <c r="BY417" s="316"/>
      <c r="BZ417" s="316"/>
      <c r="CA417" s="316"/>
      <c r="CB417" s="316"/>
      <c r="CC417" s="316"/>
      <c r="CD417" s="316"/>
    </row>
    <row r="418" ht="15.75" customHeight="1">
      <c r="A418" s="308"/>
      <c r="B418" s="312"/>
      <c r="C418" s="312"/>
      <c r="D418" s="312"/>
      <c r="E418" s="312"/>
      <c r="F418" s="312"/>
      <c r="G418" s="312"/>
      <c r="H418" s="312"/>
      <c r="I418" s="312"/>
      <c r="J418" s="312"/>
      <c r="K418" s="312"/>
      <c r="L418" s="312"/>
      <c r="M418" s="312"/>
      <c r="N418" s="312"/>
      <c r="O418" s="312"/>
      <c r="P418" s="312"/>
      <c r="Q418" s="312"/>
      <c r="R418" s="312"/>
      <c r="S418" s="312"/>
      <c r="T418" s="308"/>
      <c r="U418" s="308"/>
      <c r="V418" s="308"/>
      <c r="W418" s="308"/>
      <c r="X418" s="308"/>
      <c r="Y418" s="308"/>
      <c r="Z418" s="308"/>
      <c r="AA418" s="308"/>
      <c r="AB418" s="308"/>
      <c r="AC418" s="308"/>
      <c r="AD418" s="308"/>
      <c r="AE418" s="308"/>
      <c r="AF418" s="308"/>
      <c r="AG418" s="308"/>
      <c r="AH418" s="308"/>
      <c r="AI418" s="308"/>
      <c r="AJ418" s="308"/>
      <c r="AK418" s="308"/>
      <c r="AL418" s="308"/>
      <c r="AM418" s="308"/>
      <c r="AN418" s="308"/>
      <c r="AO418" s="308"/>
      <c r="AP418" s="308"/>
      <c r="AQ418" s="308"/>
      <c r="AR418" s="308"/>
      <c r="AS418" s="308"/>
      <c r="AT418" s="308"/>
      <c r="AU418" s="308"/>
      <c r="AV418" s="308"/>
      <c r="AW418" s="308"/>
      <c r="AX418" s="308"/>
      <c r="AY418" s="308"/>
      <c r="AZ418" s="308"/>
      <c r="BA418" s="308"/>
      <c r="BB418" s="308"/>
      <c r="BC418" s="308"/>
      <c r="BD418" s="308"/>
      <c r="BE418" s="308"/>
      <c r="BF418" s="308"/>
      <c r="BG418" s="308"/>
      <c r="BH418" s="308"/>
      <c r="BI418" s="308"/>
      <c r="BJ418" s="308"/>
      <c r="BK418" s="308"/>
      <c r="BL418" s="308"/>
      <c r="BM418" s="308"/>
      <c r="BN418" s="308"/>
      <c r="BO418" s="308"/>
      <c r="BP418" s="308"/>
      <c r="BQ418" s="308"/>
      <c r="BR418" s="312"/>
      <c r="BS418" s="312"/>
      <c r="BT418" s="312"/>
      <c r="BU418" s="312"/>
      <c r="BV418" s="312"/>
      <c r="BW418" s="316"/>
      <c r="BX418" s="316"/>
      <c r="BY418" s="316"/>
      <c r="BZ418" s="316"/>
      <c r="CA418" s="316"/>
      <c r="CB418" s="316"/>
      <c r="CC418" s="316"/>
      <c r="CD418" s="316"/>
    </row>
    <row r="419" ht="15.75" customHeight="1">
      <c r="A419" s="308"/>
      <c r="B419" s="312"/>
      <c r="C419" s="312"/>
      <c r="D419" s="312"/>
      <c r="E419" s="312"/>
      <c r="F419" s="312"/>
      <c r="G419" s="312"/>
      <c r="H419" s="312"/>
      <c r="I419" s="312"/>
      <c r="J419" s="312"/>
      <c r="K419" s="312"/>
      <c r="L419" s="312"/>
      <c r="M419" s="312"/>
      <c r="N419" s="312"/>
      <c r="O419" s="312"/>
      <c r="P419" s="312"/>
      <c r="Q419" s="312"/>
      <c r="R419" s="312"/>
      <c r="S419" s="312"/>
      <c r="T419" s="308"/>
      <c r="U419" s="308"/>
      <c r="V419" s="308"/>
      <c r="W419" s="308"/>
      <c r="X419" s="308"/>
      <c r="Y419" s="308"/>
      <c r="Z419" s="308"/>
      <c r="AA419" s="308"/>
      <c r="AB419" s="308"/>
      <c r="AC419" s="308"/>
      <c r="AD419" s="308"/>
      <c r="AE419" s="308"/>
      <c r="AF419" s="308"/>
      <c r="AG419" s="308"/>
      <c r="AH419" s="308"/>
      <c r="AI419" s="308"/>
      <c r="AJ419" s="308"/>
      <c r="AK419" s="308"/>
      <c r="AL419" s="308"/>
      <c r="AM419" s="308"/>
      <c r="AN419" s="308"/>
      <c r="AO419" s="308"/>
      <c r="AP419" s="308"/>
      <c r="AQ419" s="308"/>
      <c r="AR419" s="308"/>
      <c r="AS419" s="308"/>
      <c r="AT419" s="308"/>
      <c r="AU419" s="308"/>
      <c r="AV419" s="308"/>
      <c r="AW419" s="308"/>
      <c r="AX419" s="308"/>
      <c r="AY419" s="308"/>
      <c r="AZ419" s="308"/>
      <c r="BA419" s="308"/>
      <c r="BB419" s="308"/>
      <c r="BC419" s="308"/>
      <c r="BD419" s="308"/>
      <c r="BE419" s="308"/>
      <c r="BF419" s="308"/>
      <c r="BG419" s="308"/>
      <c r="BH419" s="308"/>
      <c r="BI419" s="308"/>
      <c r="BJ419" s="308"/>
      <c r="BK419" s="308"/>
      <c r="BL419" s="308"/>
      <c r="BM419" s="308"/>
      <c r="BN419" s="308"/>
      <c r="BO419" s="308"/>
      <c r="BP419" s="308"/>
      <c r="BQ419" s="308"/>
      <c r="BR419" s="312"/>
      <c r="BS419" s="312"/>
      <c r="BT419" s="312"/>
      <c r="BU419" s="312"/>
      <c r="BV419" s="312"/>
      <c r="BW419" s="316"/>
      <c r="BX419" s="316"/>
      <c r="BY419" s="316"/>
      <c r="BZ419" s="316"/>
      <c r="CA419" s="316"/>
      <c r="CB419" s="316"/>
      <c r="CC419" s="316"/>
      <c r="CD419" s="316"/>
    </row>
    <row r="420" ht="15.75" customHeight="1">
      <c r="A420" s="308"/>
      <c r="B420" s="312"/>
      <c r="C420" s="312"/>
      <c r="D420" s="312"/>
      <c r="E420" s="312"/>
      <c r="F420" s="312"/>
      <c r="G420" s="312"/>
      <c r="H420" s="312"/>
      <c r="I420" s="312"/>
      <c r="J420" s="312"/>
      <c r="K420" s="312"/>
      <c r="L420" s="312"/>
      <c r="M420" s="312"/>
      <c r="N420" s="312"/>
      <c r="O420" s="312"/>
      <c r="P420" s="312"/>
      <c r="Q420" s="312"/>
      <c r="R420" s="312"/>
      <c r="S420" s="312"/>
      <c r="T420" s="308"/>
      <c r="U420" s="308"/>
      <c r="V420" s="308"/>
      <c r="W420" s="308"/>
      <c r="X420" s="308"/>
      <c r="Y420" s="308"/>
      <c r="Z420" s="308"/>
      <c r="AA420" s="308"/>
      <c r="AB420" s="308"/>
      <c r="AC420" s="308"/>
      <c r="AD420" s="308"/>
      <c r="AE420" s="308"/>
      <c r="AF420" s="308"/>
      <c r="AG420" s="308"/>
      <c r="AH420" s="308"/>
      <c r="AI420" s="308"/>
      <c r="AJ420" s="308"/>
      <c r="AK420" s="308"/>
      <c r="AL420" s="308"/>
      <c r="AM420" s="308"/>
      <c r="AN420" s="308"/>
      <c r="AO420" s="308"/>
      <c r="AP420" s="308"/>
      <c r="AQ420" s="308"/>
      <c r="AR420" s="308"/>
      <c r="AS420" s="308"/>
      <c r="AT420" s="308"/>
      <c r="AU420" s="308"/>
      <c r="AV420" s="308"/>
      <c r="AW420" s="308"/>
      <c r="AX420" s="308"/>
      <c r="AY420" s="308"/>
      <c r="AZ420" s="308"/>
      <c r="BA420" s="308"/>
      <c r="BB420" s="308"/>
      <c r="BC420" s="308"/>
      <c r="BD420" s="308"/>
      <c r="BE420" s="308"/>
      <c r="BF420" s="308"/>
      <c r="BG420" s="308"/>
      <c r="BH420" s="308"/>
      <c r="BI420" s="308"/>
      <c r="BJ420" s="308"/>
      <c r="BK420" s="308"/>
      <c r="BL420" s="308"/>
      <c r="BM420" s="308"/>
      <c r="BN420" s="308"/>
      <c r="BO420" s="308"/>
      <c r="BP420" s="308"/>
      <c r="BQ420" s="308"/>
      <c r="BR420" s="312"/>
      <c r="BS420" s="312"/>
      <c r="BT420" s="312"/>
      <c r="BU420" s="312"/>
      <c r="BV420" s="312"/>
      <c r="BW420" s="316"/>
      <c r="BX420" s="316"/>
      <c r="BY420" s="316"/>
      <c r="BZ420" s="316"/>
      <c r="CA420" s="316"/>
      <c r="CB420" s="316"/>
      <c r="CC420" s="316"/>
      <c r="CD420" s="316"/>
    </row>
    <row r="421" ht="15.75" customHeight="1">
      <c r="A421" s="308"/>
      <c r="B421" s="312"/>
      <c r="C421" s="312"/>
      <c r="D421" s="312"/>
      <c r="E421" s="312"/>
      <c r="F421" s="312"/>
      <c r="G421" s="312"/>
      <c r="H421" s="312"/>
      <c r="I421" s="312"/>
      <c r="J421" s="312"/>
      <c r="K421" s="312"/>
      <c r="L421" s="312"/>
      <c r="M421" s="312"/>
      <c r="N421" s="312"/>
      <c r="O421" s="312"/>
      <c r="P421" s="312"/>
      <c r="Q421" s="312"/>
      <c r="R421" s="312"/>
      <c r="S421" s="312"/>
      <c r="T421" s="308"/>
      <c r="U421" s="308"/>
      <c r="V421" s="308"/>
      <c r="W421" s="308"/>
      <c r="X421" s="308"/>
      <c r="Y421" s="308"/>
      <c r="Z421" s="308"/>
      <c r="AA421" s="308"/>
      <c r="AB421" s="308"/>
      <c r="AC421" s="308"/>
      <c r="AD421" s="308"/>
      <c r="AE421" s="308"/>
      <c r="AF421" s="308"/>
      <c r="AG421" s="308"/>
      <c r="AH421" s="308"/>
      <c r="AI421" s="308"/>
      <c r="AJ421" s="308"/>
      <c r="AK421" s="308"/>
      <c r="AL421" s="308"/>
      <c r="AM421" s="308"/>
      <c r="AN421" s="308"/>
      <c r="AO421" s="308"/>
      <c r="AP421" s="308"/>
      <c r="AQ421" s="308"/>
      <c r="AR421" s="308"/>
      <c r="AS421" s="308"/>
      <c r="AT421" s="308"/>
      <c r="AU421" s="308"/>
      <c r="AV421" s="308"/>
      <c r="AW421" s="308"/>
      <c r="AX421" s="308"/>
      <c r="AY421" s="308"/>
      <c r="AZ421" s="308"/>
      <c r="BA421" s="308"/>
      <c r="BB421" s="308"/>
      <c r="BC421" s="308"/>
      <c r="BD421" s="308"/>
      <c r="BE421" s="308"/>
      <c r="BF421" s="308"/>
      <c r="BG421" s="308"/>
      <c r="BH421" s="308"/>
      <c r="BI421" s="308"/>
      <c r="BJ421" s="308"/>
      <c r="BK421" s="308"/>
      <c r="BL421" s="308"/>
      <c r="BM421" s="308"/>
      <c r="BN421" s="308"/>
      <c r="BO421" s="308"/>
      <c r="BP421" s="308"/>
      <c r="BQ421" s="308"/>
      <c r="BR421" s="312"/>
      <c r="BS421" s="312"/>
      <c r="BT421" s="312"/>
      <c r="BU421" s="312"/>
      <c r="BV421" s="312"/>
      <c r="BW421" s="316"/>
      <c r="BX421" s="316"/>
      <c r="BY421" s="316"/>
      <c r="BZ421" s="316"/>
      <c r="CA421" s="316"/>
      <c r="CB421" s="316"/>
      <c r="CC421" s="316"/>
      <c r="CD421" s="316"/>
    </row>
    <row r="422" ht="15.75" customHeight="1">
      <c r="A422" s="308"/>
      <c r="B422" s="312"/>
      <c r="C422" s="312"/>
      <c r="D422" s="312"/>
      <c r="E422" s="312"/>
      <c r="F422" s="312"/>
      <c r="G422" s="312"/>
      <c r="H422" s="312"/>
      <c r="I422" s="312"/>
      <c r="J422" s="312"/>
      <c r="K422" s="312"/>
      <c r="L422" s="312"/>
      <c r="M422" s="312"/>
      <c r="N422" s="312"/>
      <c r="O422" s="312"/>
      <c r="P422" s="312"/>
      <c r="Q422" s="312"/>
      <c r="R422" s="312"/>
      <c r="S422" s="312"/>
      <c r="T422" s="308"/>
      <c r="U422" s="308"/>
      <c r="V422" s="308"/>
      <c r="W422" s="308"/>
      <c r="X422" s="308"/>
      <c r="Y422" s="308"/>
      <c r="Z422" s="308"/>
      <c r="AA422" s="308"/>
      <c r="AB422" s="308"/>
      <c r="AC422" s="308"/>
      <c r="AD422" s="397"/>
      <c r="AE422" s="308"/>
      <c r="AF422" s="308"/>
      <c r="AG422" s="308"/>
      <c r="AH422" s="308"/>
      <c r="AI422" s="308"/>
      <c r="AJ422" s="308"/>
      <c r="AK422" s="308"/>
      <c r="AL422" s="308"/>
      <c r="AM422" s="308"/>
      <c r="AN422" s="308"/>
      <c r="AO422" s="308"/>
      <c r="AP422" s="397"/>
      <c r="AQ422" s="308"/>
      <c r="AR422" s="308"/>
      <c r="AS422" s="308"/>
      <c r="AT422" s="308"/>
      <c r="AU422" s="308"/>
      <c r="AV422" s="308"/>
      <c r="AW422" s="308"/>
      <c r="AX422" s="308"/>
      <c r="AY422" s="308"/>
      <c r="AZ422" s="308"/>
      <c r="BA422" s="308"/>
      <c r="BB422" s="398"/>
      <c r="BC422" s="308"/>
      <c r="BD422" s="308"/>
      <c r="BE422" s="308"/>
      <c r="BF422" s="308"/>
      <c r="BG422" s="308"/>
      <c r="BH422" s="308"/>
      <c r="BI422" s="308"/>
      <c r="BJ422" s="308"/>
      <c r="BK422" s="308"/>
      <c r="BL422" s="308"/>
      <c r="BM422" s="308"/>
      <c r="BN422" s="398"/>
      <c r="BO422" s="308"/>
      <c r="BP422" s="308"/>
      <c r="BQ422" s="308"/>
      <c r="BR422" s="312"/>
      <c r="BS422" s="312"/>
      <c r="BT422" s="312"/>
      <c r="BU422" s="312"/>
      <c r="BV422" s="312"/>
      <c r="BW422" s="316"/>
      <c r="BX422" s="316"/>
      <c r="BY422" s="316"/>
      <c r="BZ422" s="316"/>
      <c r="CA422" s="316"/>
      <c r="CB422" s="316"/>
      <c r="CC422" s="316"/>
      <c r="CD422" s="316"/>
    </row>
    <row r="423" ht="15.75" customHeight="1">
      <c r="A423" s="308"/>
      <c r="B423" s="312"/>
      <c r="C423" s="312"/>
      <c r="D423" s="312"/>
      <c r="E423" s="312"/>
      <c r="F423" s="312"/>
      <c r="G423" s="312"/>
      <c r="H423" s="312"/>
      <c r="I423" s="312"/>
      <c r="J423" s="312"/>
      <c r="K423" s="312"/>
      <c r="L423" s="312"/>
      <c r="M423" s="312"/>
      <c r="N423" s="312"/>
      <c r="O423" s="312"/>
      <c r="P423" s="312"/>
      <c r="Q423" s="312"/>
      <c r="R423" s="312"/>
      <c r="S423" s="312"/>
      <c r="T423" s="308"/>
      <c r="U423" s="308"/>
      <c r="V423" s="308"/>
      <c r="W423" s="308"/>
      <c r="X423" s="308"/>
      <c r="Y423" s="308"/>
      <c r="Z423" s="308"/>
      <c r="AA423" s="308"/>
      <c r="AB423" s="308"/>
      <c r="AC423" s="308"/>
      <c r="AD423" s="308"/>
      <c r="AE423" s="308"/>
      <c r="AF423" s="308"/>
      <c r="AG423" s="308"/>
      <c r="AH423" s="308"/>
      <c r="AI423" s="308"/>
      <c r="AJ423" s="308"/>
      <c r="AK423" s="308"/>
      <c r="AL423" s="308"/>
      <c r="AM423" s="308"/>
      <c r="AN423" s="308"/>
      <c r="AO423" s="308"/>
      <c r="AP423" s="308"/>
      <c r="AQ423" s="308"/>
      <c r="AR423" s="308"/>
      <c r="AS423" s="308"/>
      <c r="AT423" s="308"/>
      <c r="AU423" s="308"/>
      <c r="AV423" s="308"/>
      <c r="AW423" s="308"/>
      <c r="AX423" s="308"/>
      <c r="AY423" s="308"/>
      <c r="AZ423" s="308"/>
      <c r="BA423" s="308"/>
      <c r="BB423" s="308"/>
      <c r="BC423" s="308"/>
      <c r="BD423" s="308"/>
      <c r="BE423" s="308"/>
      <c r="BF423" s="308"/>
      <c r="BG423" s="308"/>
      <c r="BH423" s="308"/>
      <c r="BI423" s="308"/>
      <c r="BJ423" s="308"/>
      <c r="BK423" s="308"/>
      <c r="BL423" s="308"/>
      <c r="BM423" s="308"/>
      <c r="BN423" s="308"/>
      <c r="BO423" s="308"/>
      <c r="BP423" s="308"/>
      <c r="BQ423" s="308"/>
      <c r="BR423" s="312"/>
      <c r="BS423" s="312"/>
      <c r="BT423" s="312"/>
      <c r="BU423" s="312"/>
      <c r="BV423" s="312"/>
      <c r="BW423" s="316"/>
      <c r="BX423" s="316"/>
      <c r="BY423" s="316"/>
      <c r="BZ423" s="316"/>
      <c r="CA423" s="316"/>
      <c r="CB423" s="316"/>
      <c r="CC423" s="316"/>
      <c r="CD423" s="316"/>
    </row>
    <row r="424" ht="15.75" customHeight="1">
      <c r="A424" s="308"/>
      <c r="B424" s="312"/>
      <c r="C424" s="312"/>
      <c r="D424" s="312"/>
      <c r="E424" s="312"/>
      <c r="F424" s="312"/>
      <c r="G424" s="312"/>
      <c r="H424" s="312"/>
      <c r="I424" s="312"/>
      <c r="J424" s="312"/>
      <c r="K424" s="312"/>
      <c r="L424" s="312"/>
      <c r="M424" s="312"/>
      <c r="N424" s="312"/>
      <c r="O424" s="312"/>
      <c r="P424" s="312"/>
      <c r="Q424" s="312"/>
      <c r="R424" s="312"/>
      <c r="S424" s="312"/>
      <c r="T424" s="308"/>
      <c r="U424" s="308"/>
      <c r="V424" s="308"/>
      <c r="W424" s="308"/>
      <c r="X424" s="308"/>
      <c r="Y424" s="308"/>
      <c r="Z424" s="308"/>
      <c r="AA424" s="308"/>
      <c r="AB424" s="308"/>
      <c r="AC424" s="308"/>
      <c r="AD424" s="308"/>
      <c r="AE424" s="308"/>
      <c r="AF424" s="308"/>
      <c r="AG424" s="308"/>
      <c r="AH424" s="308"/>
      <c r="AI424" s="308"/>
      <c r="AJ424" s="308"/>
      <c r="AK424" s="308"/>
      <c r="AL424" s="308"/>
      <c r="AM424" s="308"/>
      <c r="AN424" s="308"/>
      <c r="AO424" s="308"/>
      <c r="AP424" s="308"/>
      <c r="AQ424" s="308"/>
      <c r="AR424" s="308"/>
      <c r="AS424" s="308"/>
      <c r="AT424" s="308"/>
      <c r="AU424" s="308"/>
      <c r="AV424" s="308"/>
      <c r="AW424" s="308"/>
      <c r="AX424" s="308"/>
      <c r="AY424" s="308"/>
      <c r="AZ424" s="308"/>
      <c r="BA424" s="308"/>
      <c r="BB424" s="308"/>
      <c r="BC424" s="308"/>
      <c r="BD424" s="308"/>
      <c r="BE424" s="308"/>
      <c r="BF424" s="308"/>
      <c r="BG424" s="308"/>
      <c r="BH424" s="308"/>
      <c r="BI424" s="308"/>
      <c r="BJ424" s="308"/>
      <c r="BK424" s="308"/>
      <c r="BL424" s="308"/>
      <c r="BM424" s="308"/>
      <c r="BN424" s="308"/>
      <c r="BO424" s="308"/>
      <c r="BP424" s="308"/>
      <c r="BQ424" s="308"/>
      <c r="BR424" s="312"/>
      <c r="BS424" s="312"/>
      <c r="BT424" s="312"/>
      <c r="BU424" s="312"/>
      <c r="BV424" s="312"/>
      <c r="BW424" s="316"/>
      <c r="BX424" s="316"/>
      <c r="BY424" s="316"/>
      <c r="BZ424" s="316"/>
      <c r="CA424" s="316"/>
      <c r="CB424" s="316"/>
      <c r="CC424" s="316"/>
      <c r="CD424" s="316"/>
    </row>
    <row r="425" ht="15.75" customHeight="1">
      <c r="A425" s="308"/>
      <c r="B425" s="312"/>
      <c r="C425" s="312"/>
      <c r="D425" s="312"/>
      <c r="E425" s="312"/>
      <c r="F425" s="312"/>
      <c r="G425" s="312"/>
      <c r="H425" s="312"/>
      <c r="I425" s="312"/>
      <c r="J425" s="312"/>
      <c r="K425" s="312"/>
      <c r="L425" s="312"/>
      <c r="M425" s="312"/>
      <c r="N425" s="312"/>
      <c r="O425" s="312"/>
      <c r="P425" s="312"/>
      <c r="Q425" s="312"/>
      <c r="R425" s="312"/>
      <c r="S425" s="312"/>
      <c r="T425" s="308"/>
      <c r="U425" s="308"/>
      <c r="V425" s="308"/>
      <c r="W425" s="308"/>
      <c r="X425" s="308"/>
      <c r="Y425" s="308"/>
      <c r="Z425" s="308"/>
      <c r="AA425" s="308"/>
      <c r="AB425" s="308"/>
      <c r="AC425" s="308"/>
      <c r="AD425" s="308"/>
      <c r="AE425" s="308"/>
      <c r="AF425" s="308"/>
      <c r="AG425" s="308"/>
      <c r="AH425" s="308"/>
      <c r="AI425" s="308"/>
      <c r="AJ425" s="308"/>
      <c r="AK425" s="308"/>
      <c r="AL425" s="308"/>
      <c r="AM425" s="308"/>
      <c r="AN425" s="308"/>
      <c r="AO425" s="308"/>
      <c r="AP425" s="308"/>
      <c r="AQ425" s="308"/>
      <c r="AR425" s="308"/>
      <c r="AS425" s="308"/>
      <c r="AT425" s="308"/>
      <c r="AU425" s="308"/>
      <c r="AV425" s="308"/>
      <c r="AW425" s="308"/>
      <c r="AX425" s="308"/>
      <c r="AY425" s="308"/>
      <c r="AZ425" s="308"/>
      <c r="BA425" s="308"/>
      <c r="BB425" s="308"/>
      <c r="BC425" s="308"/>
      <c r="BD425" s="308"/>
      <c r="BE425" s="308"/>
      <c r="BF425" s="308"/>
      <c r="BG425" s="308"/>
      <c r="BH425" s="308"/>
      <c r="BI425" s="308"/>
      <c r="BJ425" s="308"/>
      <c r="BK425" s="308"/>
      <c r="BL425" s="308"/>
      <c r="BM425" s="308"/>
      <c r="BN425" s="308"/>
      <c r="BO425" s="308"/>
      <c r="BP425" s="308"/>
      <c r="BQ425" s="308"/>
      <c r="BR425" s="312"/>
      <c r="BS425" s="312"/>
      <c r="BT425" s="312"/>
      <c r="BU425" s="312"/>
      <c r="BV425" s="312"/>
      <c r="BW425" s="316"/>
      <c r="BX425" s="316"/>
      <c r="BY425" s="316"/>
      <c r="BZ425" s="316"/>
      <c r="CA425" s="316"/>
      <c r="CB425" s="316"/>
      <c r="CC425" s="316"/>
      <c r="CD425" s="316"/>
    </row>
    <row r="426" ht="15.75" customHeight="1">
      <c r="A426" s="308"/>
      <c r="B426" s="312"/>
      <c r="C426" s="312"/>
      <c r="D426" s="312"/>
      <c r="E426" s="312"/>
      <c r="F426" s="312"/>
      <c r="G426" s="312"/>
      <c r="H426" s="312"/>
      <c r="I426" s="312"/>
      <c r="J426" s="312"/>
      <c r="K426" s="312"/>
      <c r="L426" s="312"/>
      <c r="M426" s="312"/>
      <c r="N426" s="312"/>
      <c r="O426" s="312"/>
      <c r="P426" s="312"/>
      <c r="Q426" s="312"/>
      <c r="R426" s="312"/>
      <c r="S426" s="312"/>
      <c r="T426" s="308"/>
      <c r="U426" s="308"/>
      <c r="V426" s="308"/>
      <c r="W426" s="308"/>
      <c r="X426" s="308"/>
      <c r="Y426" s="308"/>
      <c r="Z426" s="308"/>
      <c r="AA426" s="308"/>
      <c r="AB426" s="308"/>
      <c r="AC426" s="308"/>
      <c r="AD426" s="308"/>
      <c r="AE426" s="308"/>
      <c r="AF426" s="308"/>
      <c r="AG426" s="308"/>
      <c r="AH426" s="308"/>
      <c r="AI426" s="308"/>
      <c r="AJ426" s="308"/>
      <c r="AK426" s="308"/>
      <c r="AL426" s="308"/>
      <c r="AM426" s="308"/>
      <c r="AN426" s="308"/>
      <c r="AO426" s="308"/>
      <c r="AP426" s="308"/>
      <c r="AQ426" s="308"/>
      <c r="AR426" s="308"/>
      <c r="AS426" s="308"/>
      <c r="AT426" s="308"/>
      <c r="AU426" s="308"/>
      <c r="AV426" s="308"/>
      <c r="AW426" s="308"/>
      <c r="AX426" s="308"/>
      <c r="AY426" s="308"/>
      <c r="AZ426" s="308"/>
      <c r="BA426" s="308"/>
      <c r="BB426" s="308"/>
      <c r="BC426" s="308"/>
      <c r="BD426" s="308"/>
      <c r="BE426" s="308"/>
      <c r="BF426" s="308"/>
      <c r="BG426" s="308"/>
      <c r="BH426" s="308"/>
      <c r="BI426" s="308"/>
      <c r="BJ426" s="308"/>
      <c r="BK426" s="308"/>
      <c r="BL426" s="308"/>
      <c r="BM426" s="308"/>
      <c r="BN426" s="308"/>
      <c r="BO426" s="308"/>
      <c r="BP426" s="308"/>
      <c r="BQ426" s="308"/>
      <c r="BR426" s="312"/>
      <c r="BS426" s="312"/>
      <c r="BT426" s="312"/>
      <c r="BU426" s="312"/>
      <c r="BV426" s="312"/>
      <c r="BW426" s="316"/>
      <c r="BX426" s="316"/>
      <c r="BY426" s="316"/>
      <c r="BZ426" s="316"/>
      <c r="CA426" s="316"/>
      <c r="CB426" s="316"/>
      <c r="CC426" s="316"/>
      <c r="CD426" s="316"/>
    </row>
    <row r="427" ht="15.75" customHeight="1">
      <c r="A427" s="308"/>
      <c r="B427" s="312"/>
      <c r="C427" s="312"/>
      <c r="D427" s="312"/>
      <c r="E427" s="312"/>
      <c r="F427" s="312"/>
      <c r="G427" s="312"/>
      <c r="H427" s="312"/>
      <c r="I427" s="312"/>
      <c r="J427" s="312"/>
      <c r="K427" s="312"/>
      <c r="L427" s="312"/>
      <c r="M427" s="312"/>
      <c r="N427" s="312"/>
      <c r="O427" s="312"/>
      <c r="P427" s="312"/>
      <c r="Q427" s="312"/>
      <c r="R427" s="312"/>
      <c r="S427" s="312"/>
      <c r="T427" s="308"/>
      <c r="U427" s="308"/>
      <c r="V427" s="308"/>
      <c r="W427" s="308"/>
      <c r="X427" s="308"/>
      <c r="Y427" s="308"/>
      <c r="Z427" s="308"/>
      <c r="AA427" s="308"/>
      <c r="AB427" s="308"/>
      <c r="AC427" s="308"/>
      <c r="AD427" s="308"/>
      <c r="AE427" s="308"/>
      <c r="AF427" s="308"/>
      <c r="AG427" s="308"/>
      <c r="AH427" s="308"/>
      <c r="AI427" s="308"/>
      <c r="AJ427" s="308"/>
      <c r="AK427" s="308"/>
      <c r="AL427" s="308"/>
      <c r="AM427" s="308"/>
      <c r="AN427" s="308"/>
      <c r="AO427" s="308"/>
      <c r="AP427" s="308"/>
      <c r="AQ427" s="308"/>
      <c r="AR427" s="308"/>
      <c r="AS427" s="308"/>
      <c r="AT427" s="308"/>
      <c r="AU427" s="308"/>
      <c r="AV427" s="308"/>
      <c r="AW427" s="308"/>
      <c r="AX427" s="308"/>
      <c r="AY427" s="308"/>
      <c r="AZ427" s="308"/>
      <c r="BA427" s="308"/>
      <c r="BB427" s="308"/>
      <c r="BC427" s="308"/>
      <c r="BD427" s="308"/>
      <c r="BE427" s="308"/>
      <c r="BF427" s="308"/>
      <c r="BG427" s="308"/>
      <c r="BH427" s="308"/>
      <c r="BI427" s="308"/>
      <c r="BJ427" s="308"/>
      <c r="BK427" s="308"/>
      <c r="BL427" s="308"/>
      <c r="BM427" s="308"/>
      <c r="BN427" s="308"/>
      <c r="BO427" s="308"/>
      <c r="BP427" s="308"/>
      <c r="BQ427" s="308"/>
      <c r="BR427" s="312"/>
      <c r="BS427" s="312"/>
      <c r="BT427" s="312"/>
      <c r="BU427" s="312"/>
      <c r="BV427" s="312"/>
      <c r="BW427" s="316"/>
      <c r="BX427" s="316"/>
      <c r="BY427" s="316"/>
      <c r="BZ427" s="316"/>
      <c r="CA427" s="316"/>
      <c r="CB427" s="316"/>
      <c r="CC427" s="316"/>
      <c r="CD427" s="316"/>
    </row>
    <row r="428" ht="15.75" customHeight="1">
      <c r="A428" s="308"/>
      <c r="B428" s="312"/>
      <c r="C428" s="312"/>
      <c r="D428" s="312"/>
      <c r="E428" s="312"/>
      <c r="F428" s="312"/>
      <c r="G428" s="312"/>
      <c r="H428" s="312"/>
      <c r="I428" s="312"/>
      <c r="J428" s="312"/>
      <c r="K428" s="312"/>
      <c r="L428" s="312"/>
      <c r="M428" s="312"/>
      <c r="N428" s="312"/>
      <c r="O428" s="312"/>
      <c r="P428" s="312"/>
      <c r="Q428" s="312"/>
      <c r="R428" s="312"/>
      <c r="S428" s="312"/>
      <c r="T428" s="308"/>
      <c r="U428" s="308"/>
      <c r="V428" s="308"/>
      <c r="W428" s="308"/>
      <c r="X428" s="308"/>
      <c r="Y428" s="308"/>
      <c r="Z428" s="308"/>
      <c r="AA428" s="308"/>
      <c r="AB428" s="308"/>
      <c r="AC428" s="308"/>
      <c r="AD428" s="308"/>
      <c r="AE428" s="308"/>
      <c r="AF428" s="308"/>
      <c r="AG428" s="308"/>
      <c r="AH428" s="308"/>
      <c r="AI428" s="308"/>
      <c r="AJ428" s="308"/>
      <c r="AK428" s="308"/>
      <c r="AL428" s="308"/>
      <c r="AM428" s="308"/>
      <c r="AN428" s="308"/>
      <c r="AO428" s="308"/>
      <c r="AP428" s="308"/>
      <c r="AQ428" s="308"/>
      <c r="AR428" s="308"/>
      <c r="AS428" s="308"/>
      <c r="AT428" s="308"/>
      <c r="AU428" s="308"/>
      <c r="AV428" s="308"/>
      <c r="AW428" s="308"/>
      <c r="AX428" s="308"/>
      <c r="AY428" s="308"/>
      <c r="AZ428" s="308"/>
      <c r="BA428" s="308"/>
      <c r="BB428" s="308"/>
      <c r="BC428" s="308"/>
      <c r="BD428" s="308"/>
      <c r="BE428" s="308"/>
      <c r="BF428" s="308"/>
      <c r="BG428" s="308"/>
      <c r="BH428" s="308"/>
      <c r="BI428" s="308"/>
      <c r="BJ428" s="308"/>
      <c r="BK428" s="308"/>
      <c r="BL428" s="308"/>
      <c r="BM428" s="308"/>
      <c r="BN428" s="308"/>
      <c r="BO428" s="308"/>
      <c r="BP428" s="308"/>
      <c r="BQ428" s="308"/>
      <c r="BR428" s="312"/>
      <c r="BS428" s="312"/>
      <c r="BT428" s="312"/>
      <c r="BU428" s="312"/>
      <c r="BV428" s="312"/>
      <c r="BW428" s="316"/>
      <c r="BX428" s="316"/>
      <c r="BY428" s="316"/>
      <c r="BZ428" s="316"/>
      <c r="CA428" s="316"/>
      <c r="CB428" s="316"/>
      <c r="CC428" s="316"/>
      <c r="CD428" s="316"/>
    </row>
    <row r="429" ht="15.75" customHeight="1">
      <c r="A429" s="308"/>
      <c r="B429" s="312"/>
      <c r="C429" s="312"/>
      <c r="D429" s="312"/>
      <c r="E429" s="312"/>
      <c r="F429" s="312"/>
      <c r="G429" s="312"/>
      <c r="H429" s="312"/>
      <c r="I429" s="312"/>
      <c r="J429" s="312"/>
      <c r="K429" s="312"/>
      <c r="L429" s="312"/>
      <c r="M429" s="312"/>
      <c r="N429" s="312"/>
      <c r="O429" s="312"/>
      <c r="P429" s="312"/>
      <c r="Q429" s="312"/>
      <c r="R429" s="312"/>
      <c r="S429" s="312"/>
      <c r="T429" s="308"/>
      <c r="U429" s="308"/>
      <c r="V429" s="308"/>
      <c r="W429" s="308"/>
      <c r="X429" s="308"/>
      <c r="Y429" s="308"/>
      <c r="Z429" s="308"/>
      <c r="AA429" s="308"/>
      <c r="AB429" s="308"/>
      <c r="AC429" s="308"/>
      <c r="AD429" s="308"/>
      <c r="AE429" s="308"/>
      <c r="AF429" s="308"/>
      <c r="AG429" s="308"/>
      <c r="AH429" s="308"/>
      <c r="AI429" s="308"/>
      <c r="AJ429" s="308"/>
      <c r="AK429" s="308"/>
      <c r="AL429" s="308"/>
      <c r="AM429" s="308"/>
      <c r="AN429" s="308"/>
      <c r="AO429" s="308"/>
      <c r="AP429" s="308"/>
      <c r="AQ429" s="308"/>
      <c r="AR429" s="308"/>
      <c r="AS429" s="308"/>
      <c r="AT429" s="308"/>
      <c r="AU429" s="308"/>
      <c r="AV429" s="308"/>
      <c r="AW429" s="308"/>
      <c r="AX429" s="308"/>
      <c r="AY429" s="308"/>
      <c r="AZ429" s="308"/>
      <c r="BA429" s="308"/>
      <c r="BB429" s="308"/>
      <c r="BC429" s="308"/>
      <c r="BD429" s="308"/>
      <c r="BE429" s="308"/>
      <c r="BF429" s="308"/>
      <c r="BG429" s="308"/>
      <c r="BH429" s="308"/>
      <c r="BI429" s="308"/>
      <c r="BJ429" s="308"/>
      <c r="BK429" s="308"/>
      <c r="BL429" s="308"/>
      <c r="BM429" s="308"/>
      <c r="BN429" s="308"/>
      <c r="BO429" s="308"/>
      <c r="BP429" s="308"/>
      <c r="BQ429" s="308"/>
      <c r="BR429" s="312"/>
      <c r="BS429" s="312"/>
      <c r="BT429" s="312"/>
      <c r="BU429" s="312"/>
      <c r="BV429" s="312"/>
      <c r="BW429" s="316"/>
      <c r="BX429" s="316"/>
      <c r="BY429" s="316"/>
      <c r="BZ429" s="316"/>
      <c r="CA429" s="316"/>
      <c r="CB429" s="316"/>
      <c r="CC429" s="316"/>
      <c r="CD429" s="316"/>
    </row>
    <row r="430" ht="15.75" customHeight="1">
      <c r="A430" s="308"/>
      <c r="B430" s="312"/>
      <c r="C430" s="312"/>
      <c r="D430" s="312"/>
      <c r="E430" s="312"/>
      <c r="F430" s="312"/>
      <c r="G430" s="312"/>
      <c r="H430" s="312"/>
      <c r="I430" s="312"/>
      <c r="J430" s="312"/>
      <c r="K430" s="312"/>
      <c r="L430" s="312"/>
      <c r="M430" s="312"/>
      <c r="N430" s="312"/>
      <c r="O430" s="312"/>
      <c r="P430" s="312"/>
      <c r="Q430" s="312"/>
      <c r="R430" s="312"/>
      <c r="S430" s="312"/>
      <c r="T430" s="308"/>
      <c r="U430" s="308"/>
      <c r="V430" s="308"/>
      <c r="W430" s="308"/>
      <c r="X430" s="308"/>
      <c r="Y430" s="308"/>
      <c r="Z430" s="308"/>
      <c r="AA430" s="308"/>
      <c r="AB430" s="308"/>
      <c r="AC430" s="308"/>
      <c r="AD430" s="308"/>
      <c r="AE430" s="308"/>
      <c r="AF430" s="308"/>
      <c r="AG430" s="308"/>
      <c r="AH430" s="308"/>
      <c r="AI430" s="308"/>
      <c r="AJ430" s="308"/>
      <c r="AK430" s="308"/>
      <c r="AL430" s="308"/>
      <c r="AM430" s="308"/>
      <c r="AN430" s="308"/>
      <c r="AO430" s="308"/>
      <c r="AP430" s="308"/>
      <c r="AQ430" s="308"/>
      <c r="AR430" s="308"/>
      <c r="AS430" s="308"/>
      <c r="AT430" s="308"/>
      <c r="AU430" s="308"/>
      <c r="AV430" s="308"/>
      <c r="AW430" s="308"/>
      <c r="AX430" s="308"/>
      <c r="AY430" s="308"/>
      <c r="AZ430" s="308"/>
      <c r="BA430" s="308"/>
      <c r="BB430" s="308"/>
      <c r="BC430" s="308"/>
      <c r="BD430" s="308"/>
      <c r="BE430" s="308"/>
      <c r="BF430" s="308"/>
      <c r="BG430" s="308"/>
      <c r="BH430" s="308"/>
      <c r="BI430" s="308"/>
      <c r="BJ430" s="308"/>
      <c r="BK430" s="308"/>
      <c r="BL430" s="308"/>
      <c r="BM430" s="308"/>
      <c r="BN430" s="308"/>
      <c r="BO430" s="308"/>
      <c r="BP430" s="308"/>
      <c r="BQ430" s="308"/>
      <c r="BR430" s="312"/>
      <c r="BS430" s="312"/>
      <c r="BT430" s="312"/>
      <c r="BU430" s="312"/>
      <c r="BV430" s="312"/>
      <c r="BW430" s="316"/>
      <c r="BX430" s="316"/>
      <c r="BY430" s="316"/>
      <c r="BZ430" s="316"/>
      <c r="CA430" s="316"/>
      <c r="CB430" s="316"/>
      <c r="CC430" s="316"/>
      <c r="CD430" s="316"/>
    </row>
    <row r="431" ht="15.75" customHeight="1">
      <c r="A431" s="308"/>
      <c r="B431" s="312"/>
      <c r="C431" s="312"/>
      <c r="D431" s="312"/>
      <c r="E431" s="312"/>
      <c r="F431" s="312"/>
      <c r="G431" s="312"/>
      <c r="H431" s="312"/>
      <c r="I431" s="312"/>
      <c r="J431" s="312"/>
      <c r="K431" s="312"/>
      <c r="L431" s="312"/>
      <c r="M431" s="312"/>
      <c r="N431" s="312"/>
      <c r="O431" s="312"/>
      <c r="P431" s="312"/>
      <c r="Q431" s="312"/>
      <c r="R431" s="312"/>
      <c r="S431" s="312"/>
      <c r="T431" s="308"/>
      <c r="U431" s="308"/>
      <c r="V431" s="308"/>
      <c r="W431" s="308"/>
      <c r="X431" s="308"/>
      <c r="Y431" s="308"/>
      <c r="Z431" s="308"/>
      <c r="AA431" s="308"/>
      <c r="AB431" s="308"/>
      <c r="AC431" s="308"/>
      <c r="AD431" s="308"/>
      <c r="AE431" s="308"/>
      <c r="AF431" s="308"/>
      <c r="AG431" s="308"/>
      <c r="AH431" s="308"/>
      <c r="AI431" s="308"/>
      <c r="AJ431" s="308"/>
      <c r="AK431" s="308"/>
      <c r="AL431" s="308"/>
      <c r="AM431" s="308"/>
      <c r="AN431" s="308"/>
      <c r="AO431" s="308"/>
      <c r="AP431" s="308"/>
      <c r="AQ431" s="308"/>
      <c r="AR431" s="308"/>
      <c r="AS431" s="308"/>
      <c r="AT431" s="308"/>
      <c r="AU431" s="308"/>
      <c r="AV431" s="308"/>
      <c r="AW431" s="308"/>
      <c r="AX431" s="308"/>
      <c r="AY431" s="308"/>
      <c r="AZ431" s="308"/>
      <c r="BA431" s="308"/>
      <c r="BB431" s="308"/>
      <c r="BC431" s="308"/>
      <c r="BD431" s="308"/>
      <c r="BE431" s="308"/>
      <c r="BF431" s="308"/>
      <c r="BG431" s="308"/>
      <c r="BH431" s="308"/>
      <c r="BI431" s="308"/>
      <c r="BJ431" s="308"/>
      <c r="BK431" s="308"/>
      <c r="BL431" s="308"/>
      <c r="BM431" s="308"/>
      <c r="BN431" s="308"/>
      <c r="BO431" s="308"/>
      <c r="BP431" s="308"/>
      <c r="BQ431" s="308"/>
      <c r="BR431" s="312"/>
      <c r="BS431" s="312"/>
      <c r="BT431" s="312"/>
      <c r="BU431" s="312"/>
      <c r="BV431" s="312"/>
      <c r="BW431" s="316"/>
      <c r="BX431" s="316"/>
      <c r="BY431" s="316"/>
      <c r="BZ431" s="316"/>
      <c r="CA431" s="316"/>
      <c r="CB431" s="316"/>
      <c r="CC431" s="316"/>
      <c r="CD431" s="316"/>
    </row>
    <row r="432" ht="15.75" customHeight="1">
      <c r="A432" s="308"/>
      <c r="B432" s="312"/>
      <c r="C432" s="312"/>
      <c r="D432" s="312"/>
      <c r="E432" s="312"/>
      <c r="F432" s="312"/>
      <c r="G432" s="312"/>
      <c r="H432" s="312"/>
      <c r="I432" s="312"/>
      <c r="J432" s="312"/>
      <c r="K432" s="312"/>
      <c r="L432" s="312"/>
      <c r="M432" s="312"/>
      <c r="N432" s="312"/>
      <c r="O432" s="312"/>
      <c r="P432" s="312"/>
      <c r="Q432" s="312"/>
      <c r="R432" s="312"/>
      <c r="S432" s="312"/>
      <c r="T432" s="308"/>
      <c r="U432" s="308"/>
      <c r="V432" s="308"/>
      <c r="W432" s="308"/>
      <c r="X432" s="308"/>
      <c r="Y432" s="308"/>
      <c r="Z432" s="308"/>
      <c r="AA432" s="308"/>
      <c r="AB432" s="308"/>
      <c r="AC432" s="308"/>
      <c r="AD432" s="308"/>
      <c r="AE432" s="308"/>
      <c r="AF432" s="308"/>
      <c r="AG432" s="308"/>
      <c r="AH432" s="308"/>
      <c r="AI432" s="308"/>
      <c r="AJ432" s="308"/>
      <c r="AK432" s="308"/>
      <c r="AL432" s="308"/>
      <c r="AM432" s="308"/>
      <c r="AN432" s="308"/>
      <c r="AO432" s="308"/>
      <c r="AP432" s="308"/>
      <c r="AQ432" s="308"/>
      <c r="AR432" s="308"/>
      <c r="AS432" s="308"/>
      <c r="AT432" s="308"/>
      <c r="AU432" s="308"/>
      <c r="AV432" s="308"/>
      <c r="AW432" s="308"/>
      <c r="AX432" s="308"/>
      <c r="AY432" s="308"/>
      <c r="AZ432" s="308"/>
      <c r="BA432" s="308"/>
      <c r="BB432" s="308"/>
      <c r="BC432" s="308"/>
      <c r="BD432" s="308"/>
      <c r="BE432" s="308"/>
      <c r="BF432" s="308"/>
      <c r="BG432" s="308"/>
      <c r="BH432" s="308"/>
      <c r="BI432" s="308"/>
      <c r="BJ432" s="308"/>
      <c r="BK432" s="308"/>
      <c r="BL432" s="308"/>
      <c r="BM432" s="308"/>
      <c r="BN432" s="308"/>
      <c r="BO432" s="308"/>
      <c r="BP432" s="308"/>
      <c r="BQ432" s="308"/>
      <c r="BR432" s="312"/>
      <c r="BS432" s="312"/>
      <c r="BT432" s="312"/>
      <c r="BU432" s="312"/>
      <c r="BV432" s="312"/>
      <c r="BW432" s="316"/>
      <c r="BX432" s="316"/>
      <c r="BY432" s="316"/>
      <c r="BZ432" s="316"/>
      <c r="CA432" s="316"/>
      <c r="CB432" s="316"/>
      <c r="CC432" s="316"/>
      <c r="CD432" s="316"/>
    </row>
    <row r="433" ht="15.75" customHeight="1">
      <c r="A433" s="308"/>
      <c r="B433" s="312"/>
      <c r="C433" s="312"/>
      <c r="D433" s="312"/>
      <c r="E433" s="312"/>
      <c r="F433" s="312"/>
      <c r="G433" s="312"/>
      <c r="H433" s="312"/>
      <c r="I433" s="312"/>
      <c r="J433" s="312"/>
      <c r="K433" s="312"/>
      <c r="L433" s="312"/>
      <c r="M433" s="312"/>
      <c r="N433" s="312"/>
      <c r="O433" s="312"/>
      <c r="P433" s="312"/>
      <c r="Q433" s="312"/>
      <c r="R433" s="312"/>
      <c r="S433" s="312"/>
      <c r="T433" s="308"/>
      <c r="U433" s="308"/>
      <c r="V433" s="308"/>
      <c r="W433" s="308"/>
      <c r="X433" s="308"/>
      <c r="Y433" s="308"/>
      <c r="Z433" s="308"/>
      <c r="AA433" s="308"/>
      <c r="AB433" s="308"/>
      <c r="AC433" s="308"/>
      <c r="AD433" s="308"/>
      <c r="AE433" s="308"/>
      <c r="AF433" s="308"/>
      <c r="AG433" s="308"/>
      <c r="AH433" s="308"/>
      <c r="AI433" s="308"/>
      <c r="AJ433" s="308"/>
      <c r="AK433" s="308"/>
      <c r="AL433" s="308"/>
      <c r="AM433" s="308"/>
      <c r="AN433" s="308"/>
      <c r="AO433" s="308"/>
      <c r="AP433" s="308"/>
      <c r="AQ433" s="308"/>
      <c r="AR433" s="308"/>
      <c r="AS433" s="308"/>
      <c r="AT433" s="308"/>
      <c r="AU433" s="308"/>
      <c r="AV433" s="308"/>
      <c r="AW433" s="308"/>
      <c r="AX433" s="308"/>
      <c r="AY433" s="308"/>
      <c r="AZ433" s="308"/>
      <c r="BA433" s="308"/>
      <c r="BB433" s="308"/>
      <c r="BC433" s="308"/>
      <c r="BD433" s="308"/>
      <c r="BE433" s="308"/>
      <c r="BF433" s="308"/>
      <c r="BG433" s="308"/>
      <c r="BH433" s="308"/>
      <c r="BI433" s="308"/>
      <c r="BJ433" s="308"/>
      <c r="BK433" s="308"/>
      <c r="BL433" s="308"/>
      <c r="BM433" s="308"/>
      <c r="BN433" s="308"/>
      <c r="BO433" s="308"/>
      <c r="BP433" s="308"/>
      <c r="BQ433" s="308"/>
      <c r="BR433" s="312"/>
      <c r="BS433" s="312"/>
      <c r="BT433" s="312"/>
      <c r="BU433" s="312"/>
      <c r="BV433" s="312"/>
      <c r="BW433" s="316"/>
      <c r="BX433" s="316"/>
      <c r="BY433" s="316"/>
      <c r="BZ433" s="316"/>
      <c r="CA433" s="316"/>
      <c r="CB433" s="316"/>
      <c r="CC433" s="316"/>
      <c r="CD433" s="316"/>
    </row>
    <row r="434" ht="15.75" customHeight="1">
      <c r="A434" s="308"/>
      <c r="B434" s="312"/>
      <c r="C434" s="312"/>
      <c r="D434" s="312"/>
      <c r="E434" s="312"/>
      <c r="F434" s="312"/>
      <c r="G434" s="312"/>
      <c r="H434" s="312"/>
      <c r="I434" s="312"/>
      <c r="J434" s="312"/>
      <c r="K434" s="312"/>
      <c r="L434" s="312"/>
      <c r="M434" s="312"/>
      <c r="N434" s="312"/>
      <c r="O434" s="312"/>
      <c r="P434" s="312"/>
      <c r="Q434" s="312"/>
      <c r="R434" s="312"/>
      <c r="S434" s="312"/>
      <c r="T434" s="308"/>
      <c r="U434" s="308"/>
      <c r="V434" s="308"/>
      <c r="W434" s="308"/>
      <c r="X434" s="308"/>
      <c r="Y434" s="308"/>
      <c r="Z434" s="308"/>
      <c r="AA434" s="308"/>
      <c r="AB434" s="308"/>
      <c r="AC434" s="308"/>
      <c r="AD434" s="308"/>
      <c r="AE434" s="308"/>
      <c r="AF434" s="308"/>
      <c r="AG434" s="308"/>
      <c r="AH434" s="308"/>
      <c r="AI434" s="308"/>
      <c r="AJ434" s="308"/>
      <c r="AK434" s="308"/>
      <c r="AL434" s="308"/>
      <c r="AM434" s="308"/>
      <c r="AN434" s="308"/>
      <c r="AO434" s="308"/>
      <c r="AP434" s="308"/>
      <c r="AQ434" s="308"/>
      <c r="AR434" s="308"/>
      <c r="AS434" s="308"/>
      <c r="AT434" s="308"/>
      <c r="AU434" s="308"/>
      <c r="AV434" s="308"/>
      <c r="AW434" s="308"/>
      <c r="AX434" s="308"/>
      <c r="AY434" s="308"/>
      <c r="AZ434" s="308"/>
      <c r="BA434" s="308"/>
      <c r="BB434" s="308"/>
      <c r="BC434" s="308"/>
      <c r="BD434" s="308"/>
      <c r="BE434" s="308"/>
      <c r="BF434" s="308"/>
      <c r="BG434" s="308"/>
      <c r="BH434" s="308"/>
      <c r="BI434" s="308"/>
      <c r="BJ434" s="308"/>
      <c r="BK434" s="308"/>
      <c r="BL434" s="308"/>
      <c r="BM434" s="308"/>
      <c r="BN434" s="308"/>
      <c r="BO434" s="308"/>
      <c r="BP434" s="308"/>
      <c r="BQ434" s="308"/>
      <c r="BR434" s="312"/>
      <c r="BS434" s="312"/>
      <c r="BT434" s="312"/>
      <c r="BU434" s="312"/>
      <c r="BV434" s="312"/>
      <c r="BW434" s="316"/>
      <c r="BX434" s="316"/>
      <c r="BY434" s="316"/>
      <c r="BZ434" s="316"/>
      <c r="CA434" s="316"/>
      <c r="CB434" s="316"/>
      <c r="CC434" s="316"/>
      <c r="CD434" s="316"/>
    </row>
    <row r="435" ht="15.75" customHeight="1">
      <c r="A435" s="308"/>
      <c r="B435" s="312"/>
      <c r="C435" s="312"/>
      <c r="D435" s="312"/>
      <c r="E435" s="312"/>
      <c r="F435" s="312"/>
      <c r="G435" s="312"/>
      <c r="H435" s="312"/>
      <c r="I435" s="312"/>
      <c r="J435" s="312"/>
      <c r="K435" s="312"/>
      <c r="L435" s="312"/>
      <c r="M435" s="312"/>
      <c r="N435" s="312"/>
      <c r="O435" s="312"/>
      <c r="P435" s="312"/>
      <c r="Q435" s="312"/>
      <c r="R435" s="312"/>
      <c r="S435" s="312"/>
      <c r="T435" s="308"/>
      <c r="U435" s="308"/>
      <c r="V435" s="308"/>
      <c r="W435" s="308"/>
      <c r="X435" s="308"/>
      <c r="Y435" s="308"/>
      <c r="Z435" s="308"/>
      <c r="AA435" s="308"/>
      <c r="AB435" s="308"/>
      <c r="AC435" s="308"/>
      <c r="AD435" s="308"/>
      <c r="AE435" s="308"/>
      <c r="AF435" s="308"/>
      <c r="AG435" s="308"/>
      <c r="AH435" s="308"/>
      <c r="AI435" s="308"/>
      <c r="AJ435" s="308"/>
      <c r="AK435" s="308"/>
      <c r="AL435" s="308"/>
      <c r="AM435" s="308"/>
      <c r="AN435" s="308"/>
      <c r="AO435" s="308"/>
      <c r="AP435" s="308"/>
      <c r="AQ435" s="308"/>
      <c r="AR435" s="308"/>
      <c r="AS435" s="308"/>
      <c r="AT435" s="308"/>
      <c r="AU435" s="308"/>
      <c r="AV435" s="308"/>
      <c r="AW435" s="308"/>
      <c r="AX435" s="308"/>
      <c r="AY435" s="308"/>
      <c r="AZ435" s="308"/>
      <c r="BA435" s="308"/>
      <c r="BB435" s="308"/>
      <c r="BC435" s="308"/>
      <c r="BD435" s="308"/>
      <c r="BE435" s="308"/>
      <c r="BF435" s="308"/>
      <c r="BG435" s="308"/>
      <c r="BH435" s="308"/>
      <c r="BI435" s="308"/>
      <c r="BJ435" s="308"/>
      <c r="BK435" s="308"/>
      <c r="BL435" s="308"/>
      <c r="BM435" s="308"/>
      <c r="BN435" s="308"/>
      <c r="BO435" s="308"/>
      <c r="BP435" s="308"/>
      <c r="BQ435" s="308"/>
      <c r="BR435" s="312"/>
      <c r="BS435" s="312"/>
      <c r="BT435" s="312"/>
      <c r="BU435" s="312"/>
      <c r="BV435" s="312"/>
      <c r="BW435" s="316"/>
      <c r="BX435" s="316"/>
      <c r="BY435" s="316"/>
      <c r="BZ435" s="316"/>
      <c r="CA435" s="316"/>
      <c r="CB435" s="316"/>
      <c r="CC435" s="316"/>
      <c r="CD435" s="316"/>
    </row>
    <row r="436" ht="15.75" customHeight="1">
      <c r="A436" s="308"/>
      <c r="B436" s="312"/>
      <c r="C436" s="312"/>
      <c r="D436" s="312"/>
      <c r="E436" s="312"/>
      <c r="F436" s="312"/>
      <c r="G436" s="312"/>
      <c r="H436" s="312"/>
      <c r="I436" s="312"/>
      <c r="J436" s="312"/>
      <c r="K436" s="312"/>
      <c r="L436" s="312"/>
      <c r="M436" s="312"/>
      <c r="N436" s="312"/>
      <c r="O436" s="312"/>
      <c r="P436" s="312"/>
      <c r="Q436" s="312"/>
      <c r="R436" s="312"/>
      <c r="S436" s="312"/>
      <c r="T436" s="308"/>
      <c r="U436" s="308"/>
      <c r="V436" s="308"/>
      <c r="W436" s="308"/>
      <c r="X436" s="308"/>
      <c r="Y436" s="308"/>
      <c r="Z436" s="308"/>
      <c r="AA436" s="308"/>
      <c r="AB436" s="308"/>
      <c r="AC436" s="308"/>
      <c r="AD436" s="308"/>
      <c r="AE436" s="308"/>
      <c r="AF436" s="308"/>
      <c r="AG436" s="308"/>
      <c r="AH436" s="308"/>
      <c r="AI436" s="308"/>
      <c r="AJ436" s="308"/>
      <c r="AK436" s="308"/>
      <c r="AL436" s="308"/>
      <c r="AM436" s="308"/>
      <c r="AN436" s="308"/>
      <c r="AO436" s="308"/>
      <c r="AP436" s="308"/>
      <c r="AQ436" s="308"/>
      <c r="AR436" s="308"/>
      <c r="AS436" s="308"/>
      <c r="AT436" s="308"/>
      <c r="AU436" s="308"/>
      <c r="AV436" s="308"/>
      <c r="AW436" s="308"/>
      <c r="AX436" s="308"/>
      <c r="AY436" s="308"/>
      <c r="AZ436" s="308"/>
      <c r="BA436" s="308"/>
      <c r="BB436" s="308"/>
      <c r="BC436" s="308"/>
      <c r="BD436" s="308"/>
      <c r="BE436" s="308"/>
      <c r="BF436" s="308"/>
      <c r="BG436" s="308"/>
      <c r="BH436" s="308"/>
      <c r="BI436" s="308"/>
      <c r="BJ436" s="308"/>
      <c r="BK436" s="308"/>
      <c r="BL436" s="308"/>
      <c r="BM436" s="308"/>
      <c r="BN436" s="308"/>
      <c r="BO436" s="308"/>
      <c r="BP436" s="308"/>
      <c r="BQ436" s="308"/>
      <c r="BR436" s="312"/>
      <c r="BS436" s="312"/>
      <c r="BT436" s="312"/>
      <c r="BU436" s="312"/>
      <c r="BV436" s="312"/>
      <c r="BW436" s="316"/>
      <c r="BX436" s="316"/>
      <c r="BY436" s="316"/>
      <c r="BZ436" s="316"/>
      <c r="CA436" s="316"/>
      <c r="CB436" s="316"/>
      <c r="CC436" s="316"/>
      <c r="CD436" s="316"/>
    </row>
    <row r="437" ht="15.75" customHeight="1">
      <c r="A437" s="308"/>
      <c r="B437" s="312"/>
      <c r="C437" s="312"/>
      <c r="D437" s="312"/>
      <c r="E437" s="312"/>
      <c r="F437" s="312"/>
      <c r="G437" s="312"/>
      <c r="H437" s="312"/>
      <c r="I437" s="312"/>
      <c r="J437" s="312"/>
      <c r="K437" s="312"/>
      <c r="L437" s="312"/>
      <c r="M437" s="312"/>
      <c r="N437" s="312"/>
      <c r="O437" s="312"/>
      <c r="P437" s="312"/>
      <c r="Q437" s="312"/>
      <c r="R437" s="312"/>
      <c r="S437" s="312"/>
      <c r="T437" s="308"/>
      <c r="U437" s="308"/>
      <c r="V437" s="308"/>
      <c r="W437" s="308"/>
      <c r="X437" s="308"/>
      <c r="Y437" s="308"/>
      <c r="Z437" s="308"/>
      <c r="AA437" s="308"/>
      <c r="AB437" s="308"/>
      <c r="AC437" s="308"/>
      <c r="AD437" s="308"/>
      <c r="AE437" s="308"/>
      <c r="AF437" s="308"/>
      <c r="AG437" s="308"/>
      <c r="AH437" s="308"/>
      <c r="AI437" s="308"/>
      <c r="AJ437" s="308"/>
      <c r="AK437" s="308"/>
      <c r="AL437" s="308"/>
      <c r="AM437" s="308"/>
      <c r="AN437" s="308"/>
      <c r="AO437" s="308"/>
      <c r="AP437" s="308"/>
      <c r="AQ437" s="308"/>
      <c r="AR437" s="308"/>
      <c r="AS437" s="308"/>
      <c r="AT437" s="308"/>
      <c r="AU437" s="308"/>
      <c r="AV437" s="308"/>
      <c r="AW437" s="308"/>
      <c r="AX437" s="308"/>
      <c r="AY437" s="308"/>
      <c r="AZ437" s="308"/>
      <c r="BA437" s="308"/>
      <c r="BB437" s="308"/>
      <c r="BC437" s="308"/>
      <c r="BD437" s="308"/>
      <c r="BE437" s="308"/>
      <c r="BF437" s="308"/>
      <c r="BG437" s="308"/>
      <c r="BH437" s="308"/>
      <c r="BI437" s="308"/>
      <c r="BJ437" s="308"/>
      <c r="BK437" s="308"/>
      <c r="BL437" s="308"/>
      <c r="BM437" s="308"/>
      <c r="BN437" s="308"/>
      <c r="BO437" s="308"/>
      <c r="BP437" s="308"/>
      <c r="BQ437" s="308"/>
      <c r="BR437" s="312"/>
      <c r="BS437" s="312"/>
      <c r="BT437" s="312"/>
      <c r="BU437" s="312"/>
      <c r="BV437" s="312"/>
      <c r="BW437" s="316"/>
      <c r="BX437" s="316"/>
      <c r="BY437" s="316"/>
      <c r="BZ437" s="316"/>
      <c r="CA437" s="316"/>
      <c r="CB437" s="316"/>
      <c r="CC437" s="316"/>
      <c r="CD437" s="316"/>
    </row>
    <row r="438" ht="15.75" customHeight="1">
      <c r="A438" s="308"/>
      <c r="B438" s="312"/>
      <c r="C438" s="312"/>
      <c r="D438" s="312"/>
      <c r="E438" s="312"/>
      <c r="F438" s="312"/>
      <c r="G438" s="312"/>
      <c r="H438" s="312"/>
      <c r="I438" s="312"/>
      <c r="J438" s="312"/>
      <c r="K438" s="312"/>
      <c r="L438" s="312"/>
      <c r="M438" s="312"/>
      <c r="N438" s="312"/>
      <c r="O438" s="312"/>
      <c r="P438" s="312"/>
      <c r="Q438" s="312"/>
      <c r="R438" s="312"/>
      <c r="S438" s="312"/>
      <c r="T438" s="308"/>
      <c r="U438" s="308"/>
      <c r="V438" s="308"/>
      <c r="W438" s="308"/>
      <c r="X438" s="308"/>
      <c r="Y438" s="308"/>
      <c r="Z438" s="308"/>
      <c r="AA438" s="308"/>
      <c r="AB438" s="308"/>
      <c r="AC438" s="308"/>
      <c r="AD438" s="308"/>
      <c r="AE438" s="308"/>
      <c r="AF438" s="308"/>
      <c r="AG438" s="308"/>
      <c r="AH438" s="308"/>
      <c r="AI438" s="308"/>
      <c r="AJ438" s="308"/>
      <c r="AK438" s="308"/>
      <c r="AL438" s="308"/>
      <c r="AM438" s="308"/>
      <c r="AN438" s="308"/>
      <c r="AO438" s="308"/>
      <c r="AP438" s="308"/>
      <c r="AQ438" s="308"/>
      <c r="AR438" s="308"/>
      <c r="AS438" s="308"/>
      <c r="AT438" s="308"/>
      <c r="AU438" s="308"/>
      <c r="AV438" s="308"/>
      <c r="AW438" s="308"/>
      <c r="AX438" s="308"/>
      <c r="AY438" s="308"/>
      <c r="AZ438" s="308"/>
      <c r="BA438" s="308"/>
      <c r="BB438" s="308"/>
      <c r="BC438" s="308"/>
      <c r="BD438" s="308"/>
      <c r="BE438" s="308"/>
      <c r="BF438" s="308"/>
      <c r="BG438" s="308"/>
      <c r="BH438" s="308"/>
      <c r="BI438" s="308"/>
      <c r="BJ438" s="308"/>
      <c r="BK438" s="308"/>
      <c r="BL438" s="308"/>
      <c r="BM438" s="308"/>
      <c r="BN438" s="308"/>
      <c r="BO438" s="308"/>
      <c r="BP438" s="308"/>
      <c r="BQ438" s="308"/>
      <c r="BR438" s="312"/>
      <c r="BS438" s="312"/>
      <c r="BT438" s="312"/>
      <c r="BU438" s="312"/>
      <c r="BV438" s="312"/>
      <c r="BW438" s="316"/>
      <c r="BX438" s="316"/>
      <c r="BY438" s="316"/>
      <c r="BZ438" s="316"/>
      <c r="CA438" s="316"/>
      <c r="CB438" s="316"/>
      <c r="CC438" s="316"/>
      <c r="CD438" s="316"/>
    </row>
    <row r="439" ht="15.75" customHeight="1">
      <c r="A439" s="308"/>
      <c r="B439" s="312"/>
      <c r="C439" s="312"/>
      <c r="D439" s="312"/>
      <c r="E439" s="312"/>
      <c r="F439" s="312"/>
      <c r="G439" s="312"/>
      <c r="H439" s="312"/>
      <c r="I439" s="312"/>
      <c r="J439" s="312"/>
      <c r="K439" s="312"/>
      <c r="L439" s="312"/>
      <c r="M439" s="312"/>
      <c r="N439" s="312"/>
      <c r="O439" s="312"/>
      <c r="P439" s="312"/>
      <c r="Q439" s="312"/>
      <c r="R439" s="312"/>
      <c r="S439" s="312"/>
      <c r="T439" s="308"/>
      <c r="U439" s="308"/>
      <c r="V439" s="308"/>
      <c r="W439" s="308"/>
      <c r="X439" s="308"/>
      <c r="Y439" s="308"/>
      <c r="Z439" s="308"/>
      <c r="AA439" s="308"/>
      <c r="AB439" s="308"/>
      <c r="AC439" s="308"/>
      <c r="AD439" s="308"/>
      <c r="AE439" s="308"/>
      <c r="AF439" s="308"/>
      <c r="AG439" s="308"/>
      <c r="AH439" s="308"/>
      <c r="AI439" s="308"/>
      <c r="AJ439" s="308"/>
      <c r="AK439" s="308"/>
      <c r="AL439" s="308"/>
      <c r="AM439" s="308"/>
      <c r="AN439" s="308"/>
      <c r="AO439" s="308"/>
      <c r="AP439" s="308"/>
      <c r="AQ439" s="308"/>
      <c r="AR439" s="308"/>
      <c r="AS439" s="308"/>
      <c r="AT439" s="308"/>
      <c r="AU439" s="308"/>
      <c r="AV439" s="308"/>
      <c r="AW439" s="308"/>
      <c r="AX439" s="308"/>
      <c r="AY439" s="308"/>
      <c r="AZ439" s="308"/>
      <c r="BA439" s="308"/>
      <c r="BB439" s="308"/>
      <c r="BC439" s="308"/>
      <c r="BD439" s="308"/>
      <c r="BE439" s="308"/>
      <c r="BF439" s="308"/>
      <c r="BG439" s="308"/>
      <c r="BH439" s="308"/>
      <c r="BI439" s="308"/>
      <c r="BJ439" s="308"/>
      <c r="BK439" s="308"/>
      <c r="BL439" s="308"/>
      <c r="BM439" s="308"/>
      <c r="BN439" s="308"/>
      <c r="BO439" s="308"/>
      <c r="BP439" s="308"/>
      <c r="BQ439" s="308"/>
      <c r="BR439" s="312"/>
      <c r="BS439" s="312"/>
      <c r="BT439" s="312"/>
      <c r="BU439" s="312"/>
      <c r="BV439" s="312"/>
      <c r="BW439" s="316"/>
      <c r="BX439" s="316"/>
      <c r="BY439" s="316"/>
      <c r="BZ439" s="316"/>
      <c r="CA439" s="316"/>
      <c r="CB439" s="316"/>
      <c r="CC439" s="316"/>
      <c r="CD439" s="316"/>
    </row>
    <row r="440" ht="15.75" customHeight="1">
      <c r="A440" s="308"/>
      <c r="B440" s="312"/>
      <c r="C440" s="312"/>
      <c r="D440" s="312"/>
      <c r="E440" s="312"/>
      <c r="F440" s="312"/>
      <c r="G440" s="312"/>
      <c r="H440" s="312"/>
      <c r="I440" s="312"/>
      <c r="J440" s="312"/>
      <c r="K440" s="312"/>
      <c r="L440" s="312"/>
      <c r="M440" s="312"/>
      <c r="N440" s="312"/>
      <c r="O440" s="312"/>
      <c r="P440" s="312"/>
      <c r="Q440" s="312"/>
      <c r="R440" s="312"/>
      <c r="S440" s="312"/>
      <c r="T440" s="308"/>
      <c r="U440" s="308"/>
      <c r="V440" s="308"/>
      <c r="W440" s="308"/>
      <c r="X440" s="308"/>
      <c r="Y440" s="308"/>
      <c r="Z440" s="308"/>
      <c r="AA440" s="308"/>
      <c r="AB440" s="308"/>
      <c r="AC440" s="308"/>
      <c r="AD440" s="308"/>
      <c r="AE440" s="308"/>
      <c r="AF440" s="308"/>
      <c r="AG440" s="308"/>
      <c r="AH440" s="308"/>
      <c r="AI440" s="308"/>
      <c r="AJ440" s="308"/>
      <c r="AK440" s="308"/>
      <c r="AL440" s="308"/>
      <c r="AM440" s="308"/>
      <c r="AN440" s="308"/>
      <c r="AO440" s="308"/>
      <c r="AP440" s="308"/>
      <c r="AQ440" s="308"/>
      <c r="AR440" s="308"/>
      <c r="AS440" s="308"/>
      <c r="AT440" s="308"/>
      <c r="AU440" s="308"/>
      <c r="AV440" s="308"/>
      <c r="AW440" s="308"/>
      <c r="AX440" s="308"/>
      <c r="AY440" s="308"/>
      <c r="AZ440" s="308"/>
      <c r="BA440" s="308"/>
      <c r="BB440" s="308"/>
      <c r="BC440" s="308"/>
      <c r="BD440" s="308"/>
      <c r="BE440" s="308"/>
      <c r="BF440" s="308"/>
      <c r="BG440" s="308"/>
      <c r="BH440" s="308"/>
      <c r="BI440" s="308"/>
      <c r="BJ440" s="308"/>
      <c r="BK440" s="308"/>
      <c r="BL440" s="308"/>
      <c r="BM440" s="308"/>
      <c r="BN440" s="308"/>
      <c r="BO440" s="308"/>
      <c r="BP440" s="308"/>
      <c r="BQ440" s="308"/>
      <c r="BR440" s="312"/>
      <c r="BS440" s="312"/>
      <c r="BT440" s="312"/>
      <c r="BU440" s="312"/>
      <c r="BV440" s="312"/>
      <c r="BW440" s="316"/>
      <c r="BX440" s="316"/>
      <c r="BY440" s="316"/>
      <c r="BZ440" s="316"/>
      <c r="CA440" s="316"/>
      <c r="CB440" s="316"/>
      <c r="CC440" s="316"/>
      <c r="CD440" s="316"/>
    </row>
    <row r="441" ht="15.75" customHeight="1">
      <c r="A441" s="308"/>
      <c r="B441" s="312"/>
      <c r="C441" s="312"/>
      <c r="D441" s="312"/>
      <c r="E441" s="312"/>
      <c r="F441" s="312"/>
      <c r="G441" s="312"/>
      <c r="H441" s="312"/>
      <c r="I441" s="312"/>
      <c r="J441" s="312"/>
      <c r="K441" s="312"/>
      <c r="L441" s="312"/>
      <c r="M441" s="312"/>
      <c r="N441" s="312"/>
      <c r="O441" s="312"/>
      <c r="P441" s="312"/>
      <c r="Q441" s="312"/>
      <c r="R441" s="312"/>
      <c r="S441" s="312"/>
      <c r="T441" s="308"/>
      <c r="U441" s="308"/>
      <c r="V441" s="308"/>
      <c r="W441" s="308"/>
      <c r="X441" s="308"/>
      <c r="Y441" s="308"/>
      <c r="Z441" s="308"/>
      <c r="AA441" s="308"/>
      <c r="AB441" s="308"/>
      <c r="AC441" s="308"/>
      <c r="AD441" s="308"/>
      <c r="AE441" s="308"/>
      <c r="AF441" s="308"/>
      <c r="AG441" s="308"/>
      <c r="AH441" s="308"/>
      <c r="AI441" s="308"/>
      <c r="AJ441" s="308"/>
      <c r="AK441" s="308"/>
      <c r="AL441" s="308"/>
      <c r="AM441" s="308"/>
      <c r="AN441" s="308"/>
      <c r="AO441" s="308"/>
      <c r="AP441" s="308"/>
      <c r="AQ441" s="308"/>
      <c r="AR441" s="308"/>
      <c r="AS441" s="308"/>
      <c r="AT441" s="308"/>
      <c r="AU441" s="308"/>
      <c r="AV441" s="308"/>
      <c r="AW441" s="308"/>
      <c r="AX441" s="308"/>
      <c r="AY441" s="308"/>
      <c r="AZ441" s="308"/>
      <c r="BA441" s="308"/>
      <c r="BB441" s="308"/>
      <c r="BC441" s="308"/>
      <c r="BD441" s="308"/>
      <c r="BE441" s="308"/>
      <c r="BF441" s="308"/>
      <c r="BG441" s="308"/>
      <c r="BH441" s="308"/>
      <c r="BI441" s="308"/>
      <c r="BJ441" s="308"/>
      <c r="BK441" s="308"/>
      <c r="BL441" s="308"/>
      <c r="BM441" s="308"/>
      <c r="BN441" s="308"/>
      <c r="BO441" s="308"/>
      <c r="BP441" s="308"/>
      <c r="BQ441" s="308"/>
      <c r="BR441" s="312"/>
      <c r="BS441" s="312"/>
      <c r="BT441" s="312"/>
      <c r="BU441" s="312"/>
      <c r="BV441" s="312"/>
      <c r="BW441" s="316"/>
      <c r="BX441" s="316"/>
      <c r="BY441" s="316"/>
      <c r="BZ441" s="316"/>
      <c r="CA441" s="316"/>
      <c r="CB441" s="316"/>
      <c r="CC441" s="316"/>
      <c r="CD441" s="316"/>
    </row>
    <row r="442" ht="15.75" customHeight="1">
      <c r="A442" s="308"/>
      <c r="B442" s="312"/>
      <c r="C442" s="312"/>
      <c r="D442" s="312"/>
      <c r="E442" s="312"/>
      <c r="F442" s="312"/>
      <c r="G442" s="312"/>
      <c r="H442" s="312"/>
      <c r="I442" s="312"/>
      <c r="J442" s="312"/>
      <c r="K442" s="312"/>
      <c r="L442" s="312"/>
      <c r="M442" s="312"/>
      <c r="N442" s="312"/>
      <c r="O442" s="312"/>
      <c r="P442" s="312"/>
      <c r="Q442" s="312"/>
      <c r="R442" s="312"/>
      <c r="S442" s="312"/>
      <c r="T442" s="308"/>
      <c r="U442" s="308"/>
      <c r="V442" s="308"/>
      <c r="W442" s="308"/>
      <c r="X442" s="308"/>
      <c r="Y442" s="308"/>
      <c r="Z442" s="308"/>
      <c r="AA442" s="308"/>
      <c r="AB442" s="308"/>
      <c r="AC442" s="308"/>
      <c r="AD442" s="308"/>
      <c r="AE442" s="308"/>
      <c r="AF442" s="308"/>
      <c r="AG442" s="308"/>
      <c r="AH442" s="308"/>
      <c r="AI442" s="308"/>
      <c r="AJ442" s="308"/>
      <c r="AK442" s="308"/>
      <c r="AL442" s="308"/>
      <c r="AM442" s="308"/>
      <c r="AN442" s="308"/>
      <c r="AO442" s="308"/>
      <c r="AP442" s="308"/>
      <c r="AQ442" s="308"/>
      <c r="AR442" s="308"/>
      <c r="AS442" s="308"/>
      <c r="AT442" s="308"/>
      <c r="AU442" s="308"/>
      <c r="AV442" s="308"/>
      <c r="AW442" s="308"/>
      <c r="AX442" s="308"/>
      <c r="AY442" s="308"/>
      <c r="AZ442" s="308"/>
      <c r="BA442" s="308"/>
      <c r="BB442" s="308"/>
      <c r="BC442" s="308"/>
      <c r="BD442" s="308"/>
      <c r="BE442" s="308"/>
      <c r="BF442" s="308"/>
      <c r="BG442" s="308"/>
      <c r="BH442" s="308"/>
      <c r="BI442" s="308"/>
      <c r="BJ442" s="308"/>
      <c r="BK442" s="308"/>
      <c r="BL442" s="308"/>
      <c r="BM442" s="308"/>
      <c r="BN442" s="308"/>
      <c r="BO442" s="308"/>
      <c r="BP442" s="308"/>
      <c r="BQ442" s="308"/>
      <c r="BR442" s="312"/>
      <c r="BS442" s="312"/>
      <c r="BT442" s="312"/>
      <c r="BU442" s="312"/>
      <c r="BV442" s="312"/>
      <c r="BW442" s="316"/>
      <c r="BX442" s="316"/>
      <c r="BY442" s="316"/>
      <c r="BZ442" s="316"/>
      <c r="CA442" s="316"/>
      <c r="CB442" s="316"/>
      <c r="CC442" s="316"/>
      <c r="CD442" s="316"/>
    </row>
    <row r="443" ht="15.75" customHeight="1">
      <c r="A443" s="308"/>
      <c r="B443" s="312"/>
      <c r="C443" s="312"/>
      <c r="D443" s="312"/>
      <c r="E443" s="312"/>
      <c r="F443" s="312"/>
      <c r="G443" s="312"/>
      <c r="H443" s="312"/>
      <c r="I443" s="312"/>
      <c r="J443" s="312"/>
      <c r="K443" s="312"/>
      <c r="L443" s="312"/>
      <c r="M443" s="312"/>
      <c r="N443" s="312"/>
      <c r="O443" s="312"/>
      <c r="P443" s="312"/>
      <c r="Q443" s="312"/>
      <c r="R443" s="312"/>
      <c r="S443" s="312"/>
      <c r="T443" s="308"/>
      <c r="U443" s="308"/>
      <c r="V443" s="308"/>
      <c r="W443" s="308"/>
      <c r="X443" s="308"/>
      <c r="Y443" s="308"/>
      <c r="Z443" s="308"/>
      <c r="AA443" s="308"/>
      <c r="AB443" s="308"/>
      <c r="AC443" s="308"/>
      <c r="AD443" s="308"/>
      <c r="AE443" s="308"/>
      <c r="AF443" s="308"/>
      <c r="AG443" s="308"/>
      <c r="AH443" s="308"/>
      <c r="AI443" s="308"/>
      <c r="AJ443" s="308"/>
      <c r="AK443" s="308"/>
      <c r="AL443" s="308"/>
      <c r="AM443" s="308"/>
      <c r="AN443" s="308"/>
      <c r="AO443" s="308"/>
      <c r="AP443" s="308"/>
      <c r="AQ443" s="308"/>
      <c r="AR443" s="308"/>
      <c r="AS443" s="308"/>
      <c r="AT443" s="308"/>
      <c r="AU443" s="308"/>
      <c r="AV443" s="308"/>
      <c r="AW443" s="308"/>
      <c r="AX443" s="308"/>
      <c r="AY443" s="308"/>
      <c r="AZ443" s="308"/>
      <c r="BA443" s="308"/>
      <c r="BB443" s="308"/>
      <c r="BC443" s="308"/>
      <c r="BD443" s="308"/>
      <c r="BE443" s="308"/>
      <c r="BF443" s="308"/>
      <c r="BG443" s="308"/>
      <c r="BH443" s="308"/>
      <c r="BI443" s="308"/>
      <c r="BJ443" s="308"/>
      <c r="BK443" s="308"/>
      <c r="BL443" s="308"/>
      <c r="BM443" s="308"/>
      <c r="BN443" s="308"/>
      <c r="BO443" s="308"/>
      <c r="BP443" s="308"/>
      <c r="BQ443" s="308"/>
      <c r="BR443" s="312"/>
      <c r="BS443" s="312"/>
      <c r="BT443" s="312"/>
      <c r="BU443" s="312"/>
      <c r="BV443" s="312"/>
      <c r="BW443" s="316"/>
      <c r="BX443" s="316"/>
      <c r="BY443" s="316"/>
      <c r="BZ443" s="316"/>
      <c r="CA443" s="316"/>
      <c r="CB443" s="316"/>
      <c r="CC443" s="316"/>
      <c r="CD443" s="316"/>
    </row>
    <row r="444" ht="15.75" customHeight="1">
      <c r="A444" s="308"/>
      <c r="B444" s="312"/>
      <c r="C444" s="312"/>
      <c r="D444" s="312"/>
      <c r="E444" s="312"/>
      <c r="F444" s="312"/>
      <c r="G444" s="312"/>
      <c r="H444" s="312"/>
      <c r="I444" s="312"/>
      <c r="J444" s="312"/>
      <c r="K444" s="312"/>
      <c r="L444" s="312"/>
      <c r="M444" s="312"/>
      <c r="N444" s="312"/>
      <c r="O444" s="312"/>
      <c r="P444" s="312"/>
      <c r="Q444" s="312"/>
      <c r="R444" s="312"/>
      <c r="S444" s="312"/>
      <c r="T444" s="308"/>
      <c r="U444" s="308"/>
      <c r="V444" s="308"/>
      <c r="W444" s="308"/>
      <c r="X444" s="308"/>
      <c r="Y444" s="308"/>
      <c r="Z444" s="308"/>
      <c r="AA444" s="308"/>
      <c r="AB444" s="308"/>
      <c r="AC444" s="308"/>
      <c r="AD444" s="308"/>
      <c r="AE444" s="308"/>
      <c r="AF444" s="308"/>
      <c r="AG444" s="308"/>
      <c r="AH444" s="308"/>
      <c r="AI444" s="308"/>
      <c r="AJ444" s="308"/>
      <c r="AK444" s="308"/>
      <c r="AL444" s="308"/>
      <c r="AM444" s="308"/>
      <c r="AN444" s="308"/>
      <c r="AO444" s="308"/>
      <c r="AP444" s="308"/>
      <c r="AQ444" s="308"/>
      <c r="AR444" s="308"/>
      <c r="AS444" s="308"/>
      <c r="AT444" s="308"/>
      <c r="AU444" s="308"/>
      <c r="AV444" s="308"/>
      <c r="AW444" s="308"/>
      <c r="AX444" s="308"/>
      <c r="AY444" s="308"/>
      <c r="AZ444" s="308"/>
      <c r="BA444" s="308"/>
      <c r="BB444" s="308"/>
      <c r="BC444" s="308"/>
      <c r="BD444" s="308"/>
      <c r="BE444" s="308"/>
      <c r="BF444" s="308"/>
      <c r="BG444" s="308"/>
      <c r="BH444" s="308"/>
      <c r="BI444" s="308"/>
      <c r="BJ444" s="308"/>
      <c r="BK444" s="308"/>
      <c r="BL444" s="308"/>
      <c r="BM444" s="308"/>
      <c r="BN444" s="308"/>
      <c r="BO444" s="308"/>
      <c r="BP444" s="308"/>
      <c r="BQ444" s="308"/>
      <c r="BR444" s="312"/>
      <c r="BS444" s="312"/>
      <c r="BT444" s="312"/>
      <c r="BU444" s="312"/>
      <c r="BV444" s="312"/>
      <c r="BW444" s="316"/>
      <c r="BX444" s="316"/>
      <c r="BY444" s="316"/>
      <c r="BZ444" s="316"/>
      <c r="CA444" s="316"/>
      <c r="CB444" s="316"/>
      <c r="CC444" s="316"/>
      <c r="CD444" s="316"/>
    </row>
    <row r="445" ht="15.75" customHeight="1">
      <c r="A445" s="308"/>
      <c r="B445" s="312"/>
      <c r="C445" s="312"/>
      <c r="D445" s="312"/>
      <c r="E445" s="312"/>
      <c r="F445" s="312"/>
      <c r="G445" s="312"/>
      <c r="H445" s="312"/>
      <c r="I445" s="312"/>
      <c r="J445" s="312"/>
      <c r="K445" s="312"/>
      <c r="L445" s="312"/>
      <c r="M445" s="312"/>
      <c r="N445" s="312"/>
      <c r="O445" s="312"/>
      <c r="P445" s="312"/>
      <c r="Q445" s="312"/>
      <c r="R445" s="312"/>
      <c r="S445" s="312"/>
      <c r="T445" s="308"/>
      <c r="U445" s="308"/>
      <c r="V445" s="308"/>
      <c r="W445" s="308"/>
      <c r="X445" s="308"/>
      <c r="Y445" s="308"/>
      <c r="Z445" s="308"/>
      <c r="AA445" s="308"/>
      <c r="AB445" s="308"/>
      <c r="AC445" s="308"/>
      <c r="AD445" s="308"/>
      <c r="AE445" s="308"/>
      <c r="AF445" s="308"/>
      <c r="AG445" s="308"/>
      <c r="AH445" s="308"/>
      <c r="AI445" s="308"/>
      <c r="AJ445" s="308"/>
      <c r="AK445" s="308"/>
      <c r="AL445" s="308"/>
      <c r="AM445" s="308"/>
      <c r="AN445" s="308"/>
      <c r="AO445" s="308"/>
      <c r="AP445" s="308"/>
      <c r="AQ445" s="308"/>
      <c r="AR445" s="308"/>
      <c r="AS445" s="308"/>
      <c r="AT445" s="308"/>
      <c r="AU445" s="308"/>
      <c r="AV445" s="308"/>
      <c r="AW445" s="308"/>
      <c r="AX445" s="308"/>
      <c r="AY445" s="308"/>
      <c r="AZ445" s="308"/>
      <c r="BA445" s="308"/>
      <c r="BB445" s="308"/>
      <c r="BC445" s="308"/>
      <c r="BD445" s="308"/>
      <c r="BE445" s="308"/>
      <c r="BF445" s="308"/>
      <c r="BG445" s="308"/>
      <c r="BH445" s="308"/>
      <c r="BI445" s="308"/>
      <c r="BJ445" s="308"/>
      <c r="BK445" s="308"/>
      <c r="BL445" s="308"/>
      <c r="BM445" s="308"/>
      <c r="BN445" s="308"/>
      <c r="BO445" s="308"/>
      <c r="BP445" s="308"/>
      <c r="BQ445" s="308"/>
      <c r="BR445" s="312"/>
      <c r="BS445" s="312"/>
      <c r="BT445" s="312"/>
      <c r="BU445" s="312"/>
      <c r="BV445" s="312"/>
      <c r="BW445" s="316"/>
      <c r="BX445" s="316"/>
      <c r="BY445" s="316"/>
      <c r="BZ445" s="316"/>
      <c r="CA445" s="316"/>
      <c r="CB445" s="316"/>
      <c r="CC445" s="316"/>
      <c r="CD445" s="316"/>
    </row>
    <row r="446" ht="15.75" customHeight="1">
      <c r="A446" s="308"/>
      <c r="B446" s="312"/>
      <c r="C446" s="312"/>
      <c r="D446" s="312"/>
      <c r="E446" s="312"/>
      <c r="F446" s="312"/>
      <c r="G446" s="312"/>
      <c r="H446" s="312"/>
      <c r="I446" s="312"/>
      <c r="J446" s="312"/>
      <c r="K446" s="312"/>
      <c r="L446" s="312"/>
      <c r="M446" s="312"/>
      <c r="N446" s="312"/>
      <c r="O446" s="312"/>
      <c r="P446" s="312"/>
      <c r="Q446" s="312"/>
      <c r="R446" s="312"/>
      <c r="S446" s="312"/>
      <c r="T446" s="308"/>
      <c r="U446" s="308"/>
      <c r="V446" s="308"/>
      <c r="W446" s="308"/>
      <c r="X446" s="308"/>
      <c r="Y446" s="308"/>
      <c r="Z446" s="308"/>
      <c r="AA446" s="308"/>
      <c r="AB446" s="308"/>
      <c r="AC446" s="308"/>
      <c r="AD446" s="308"/>
      <c r="AE446" s="308"/>
      <c r="AF446" s="308"/>
      <c r="AG446" s="308"/>
      <c r="AH446" s="308"/>
      <c r="AI446" s="308"/>
      <c r="AJ446" s="308"/>
      <c r="AK446" s="308"/>
      <c r="AL446" s="308"/>
      <c r="AM446" s="308"/>
      <c r="AN446" s="308"/>
      <c r="AO446" s="308"/>
      <c r="AP446" s="308"/>
      <c r="AQ446" s="308"/>
      <c r="AR446" s="308"/>
      <c r="AS446" s="308"/>
      <c r="AT446" s="308"/>
      <c r="AU446" s="308"/>
      <c r="AV446" s="308"/>
      <c r="AW446" s="308"/>
      <c r="AX446" s="308"/>
      <c r="AY446" s="308"/>
      <c r="AZ446" s="308"/>
      <c r="BA446" s="308"/>
      <c r="BB446" s="308"/>
      <c r="BC446" s="308"/>
      <c r="BD446" s="308"/>
      <c r="BE446" s="308"/>
      <c r="BF446" s="308"/>
      <c r="BG446" s="308"/>
      <c r="BH446" s="308"/>
      <c r="BI446" s="308"/>
      <c r="BJ446" s="308"/>
      <c r="BK446" s="308"/>
      <c r="BL446" s="308"/>
      <c r="BM446" s="308"/>
      <c r="BN446" s="308"/>
      <c r="BO446" s="308"/>
      <c r="BP446" s="308"/>
      <c r="BQ446" s="308"/>
      <c r="BR446" s="312"/>
      <c r="BS446" s="312"/>
      <c r="BT446" s="312"/>
      <c r="BU446" s="312"/>
      <c r="BV446" s="312"/>
      <c r="BW446" s="316"/>
      <c r="BX446" s="316"/>
      <c r="BY446" s="316"/>
      <c r="BZ446" s="316"/>
      <c r="CA446" s="316"/>
      <c r="CB446" s="316"/>
      <c r="CC446" s="316"/>
      <c r="CD446" s="316"/>
    </row>
    <row r="447" ht="15.75" customHeight="1">
      <c r="A447" s="308"/>
      <c r="B447" s="312"/>
      <c r="C447" s="312"/>
      <c r="D447" s="312"/>
      <c r="E447" s="312"/>
      <c r="F447" s="312"/>
      <c r="G447" s="312"/>
      <c r="H447" s="312"/>
      <c r="I447" s="312"/>
      <c r="J447" s="312"/>
      <c r="K447" s="312"/>
      <c r="L447" s="312"/>
      <c r="M447" s="312"/>
      <c r="N447" s="312"/>
      <c r="O447" s="312"/>
      <c r="P447" s="312"/>
      <c r="Q447" s="312"/>
      <c r="R447" s="312"/>
      <c r="S447" s="312"/>
      <c r="T447" s="308"/>
      <c r="U447" s="308"/>
      <c r="V447" s="308"/>
      <c r="W447" s="308"/>
      <c r="X447" s="308"/>
      <c r="Y447" s="308"/>
      <c r="Z447" s="308"/>
      <c r="AA447" s="308"/>
      <c r="AB447" s="308"/>
      <c r="AC447" s="308"/>
      <c r="AD447" s="308"/>
      <c r="AE447" s="308"/>
      <c r="AF447" s="308"/>
      <c r="AG447" s="308"/>
      <c r="AH447" s="308"/>
      <c r="AI447" s="308"/>
      <c r="AJ447" s="308"/>
      <c r="AK447" s="308"/>
      <c r="AL447" s="308"/>
      <c r="AM447" s="308"/>
      <c r="AN447" s="308"/>
      <c r="AO447" s="308"/>
      <c r="AP447" s="308"/>
      <c r="AQ447" s="308"/>
      <c r="AR447" s="308"/>
      <c r="AS447" s="308"/>
      <c r="AT447" s="308"/>
      <c r="AU447" s="308"/>
      <c r="AV447" s="308"/>
      <c r="AW447" s="308"/>
      <c r="AX447" s="308"/>
      <c r="AY447" s="308"/>
      <c r="AZ447" s="308"/>
      <c r="BA447" s="308"/>
      <c r="BB447" s="308"/>
      <c r="BC447" s="308"/>
      <c r="BD447" s="308"/>
      <c r="BE447" s="308"/>
      <c r="BF447" s="308"/>
      <c r="BG447" s="308"/>
      <c r="BH447" s="308"/>
      <c r="BI447" s="308"/>
      <c r="BJ447" s="308"/>
      <c r="BK447" s="308"/>
      <c r="BL447" s="308"/>
      <c r="BM447" s="308"/>
      <c r="BN447" s="308"/>
      <c r="BO447" s="308"/>
      <c r="BP447" s="308"/>
      <c r="BQ447" s="308"/>
      <c r="BR447" s="312"/>
      <c r="BS447" s="312"/>
      <c r="BT447" s="312"/>
      <c r="BU447" s="312"/>
      <c r="BV447" s="312"/>
      <c r="BW447" s="316"/>
      <c r="BX447" s="316"/>
      <c r="BY447" s="316"/>
      <c r="BZ447" s="316"/>
      <c r="CA447" s="316"/>
      <c r="CB447" s="316"/>
      <c r="CC447" s="316"/>
      <c r="CD447" s="316"/>
    </row>
    <row r="448" ht="15.75" customHeight="1">
      <c r="A448" s="308"/>
      <c r="B448" s="312"/>
      <c r="C448" s="312"/>
      <c r="D448" s="312"/>
      <c r="E448" s="312"/>
      <c r="F448" s="312"/>
      <c r="G448" s="312"/>
      <c r="H448" s="312"/>
      <c r="I448" s="312"/>
      <c r="J448" s="312"/>
      <c r="K448" s="312"/>
      <c r="L448" s="312"/>
      <c r="M448" s="312"/>
      <c r="N448" s="312"/>
      <c r="O448" s="312"/>
      <c r="P448" s="312"/>
      <c r="Q448" s="312"/>
      <c r="R448" s="312"/>
      <c r="S448" s="312"/>
      <c r="T448" s="308"/>
      <c r="U448" s="308"/>
      <c r="V448" s="308"/>
      <c r="W448" s="308"/>
      <c r="X448" s="308"/>
      <c r="Y448" s="308"/>
      <c r="Z448" s="308"/>
      <c r="AA448" s="308"/>
      <c r="AB448" s="308"/>
      <c r="AC448" s="308"/>
      <c r="AD448" s="308"/>
      <c r="AE448" s="308"/>
      <c r="AF448" s="308"/>
      <c r="AG448" s="308"/>
      <c r="AH448" s="308"/>
      <c r="AI448" s="308"/>
      <c r="AJ448" s="308"/>
      <c r="AK448" s="308"/>
      <c r="AL448" s="308"/>
      <c r="AM448" s="308"/>
      <c r="AN448" s="308"/>
      <c r="AO448" s="308"/>
      <c r="AP448" s="308"/>
      <c r="AQ448" s="308"/>
      <c r="AR448" s="308"/>
      <c r="AS448" s="308"/>
      <c r="AT448" s="308"/>
      <c r="AU448" s="308"/>
      <c r="AV448" s="308"/>
      <c r="AW448" s="308"/>
      <c r="AX448" s="308"/>
      <c r="AY448" s="308"/>
      <c r="AZ448" s="308"/>
      <c r="BA448" s="308"/>
      <c r="BB448" s="308"/>
      <c r="BC448" s="308"/>
      <c r="BD448" s="308"/>
      <c r="BE448" s="308"/>
      <c r="BF448" s="308"/>
      <c r="BG448" s="308"/>
      <c r="BH448" s="308"/>
      <c r="BI448" s="308"/>
      <c r="BJ448" s="308"/>
      <c r="BK448" s="308"/>
      <c r="BL448" s="308"/>
      <c r="BM448" s="308"/>
      <c r="BN448" s="308"/>
      <c r="BO448" s="308"/>
      <c r="BP448" s="308"/>
      <c r="BQ448" s="308"/>
      <c r="BR448" s="312"/>
      <c r="BS448" s="312"/>
      <c r="BT448" s="312"/>
      <c r="BU448" s="312"/>
      <c r="BV448" s="312"/>
      <c r="BW448" s="316"/>
      <c r="BX448" s="316"/>
      <c r="BY448" s="316"/>
      <c r="BZ448" s="316"/>
      <c r="CA448" s="316"/>
      <c r="CB448" s="316"/>
      <c r="CC448" s="316"/>
      <c r="CD448" s="316"/>
    </row>
    <row r="449" ht="15.75" customHeight="1">
      <c r="A449" s="308"/>
      <c r="B449" s="312"/>
      <c r="C449" s="312"/>
      <c r="D449" s="312"/>
      <c r="E449" s="312"/>
      <c r="F449" s="312"/>
      <c r="G449" s="312"/>
      <c r="H449" s="312"/>
      <c r="I449" s="312"/>
      <c r="J449" s="312"/>
      <c r="K449" s="312"/>
      <c r="L449" s="312"/>
      <c r="M449" s="312"/>
      <c r="N449" s="312"/>
      <c r="O449" s="312"/>
      <c r="P449" s="312"/>
      <c r="Q449" s="312"/>
      <c r="R449" s="312"/>
      <c r="S449" s="312"/>
      <c r="T449" s="308"/>
      <c r="U449" s="308"/>
      <c r="V449" s="308"/>
      <c r="W449" s="308"/>
      <c r="X449" s="308"/>
      <c r="Y449" s="308"/>
      <c r="Z449" s="308"/>
      <c r="AA449" s="308"/>
      <c r="AB449" s="308"/>
      <c r="AC449" s="308"/>
      <c r="AD449" s="308"/>
      <c r="AE449" s="308"/>
      <c r="AF449" s="308"/>
      <c r="AG449" s="308"/>
      <c r="AH449" s="308"/>
      <c r="AI449" s="308"/>
      <c r="AJ449" s="308"/>
      <c r="AK449" s="308"/>
      <c r="AL449" s="308"/>
      <c r="AM449" s="308"/>
      <c r="AN449" s="308"/>
      <c r="AO449" s="308"/>
      <c r="AP449" s="308"/>
      <c r="AQ449" s="308"/>
      <c r="AR449" s="308"/>
      <c r="AS449" s="308"/>
      <c r="AT449" s="308"/>
      <c r="AU449" s="308"/>
      <c r="AV449" s="308"/>
      <c r="AW449" s="308"/>
      <c r="AX449" s="308"/>
      <c r="AY449" s="308"/>
      <c r="AZ449" s="308"/>
      <c r="BA449" s="308"/>
      <c r="BB449" s="308"/>
      <c r="BC449" s="308"/>
      <c r="BD449" s="308"/>
      <c r="BE449" s="308"/>
      <c r="BF449" s="308"/>
      <c r="BG449" s="308"/>
      <c r="BH449" s="308"/>
      <c r="BI449" s="308"/>
      <c r="BJ449" s="308"/>
      <c r="BK449" s="308"/>
      <c r="BL449" s="308"/>
      <c r="BM449" s="308"/>
      <c r="BN449" s="308"/>
      <c r="BO449" s="308"/>
      <c r="BP449" s="308"/>
      <c r="BQ449" s="308"/>
      <c r="BR449" s="312"/>
      <c r="BS449" s="312"/>
      <c r="BT449" s="312"/>
      <c r="BU449" s="312"/>
      <c r="BV449" s="312"/>
      <c r="BW449" s="316"/>
      <c r="BX449" s="316"/>
      <c r="BY449" s="316"/>
      <c r="BZ449" s="316"/>
      <c r="CA449" s="316"/>
      <c r="CB449" s="316"/>
      <c r="CC449" s="316"/>
      <c r="CD449" s="316"/>
    </row>
    <row r="450" ht="15.75" customHeight="1">
      <c r="A450" s="308"/>
      <c r="B450" s="312"/>
      <c r="C450" s="312"/>
      <c r="D450" s="312"/>
      <c r="E450" s="312"/>
      <c r="F450" s="312"/>
      <c r="G450" s="312"/>
      <c r="H450" s="312"/>
      <c r="I450" s="312"/>
      <c r="J450" s="312"/>
      <c r="K450" s="312"/>
      <c r="L450" s="312"/>
      <c r="M450" s="312"/>
      <c r="N450" s="312"/>
      <c r="O450" s="312"/>
      <c r="P450" s="312"/>
      <c r="Q450" s="312"/>
      <c r="R450" s="312"/>
      <c r="S450" s="312"/>
      <c r="T450" s="308"/>
      <c r="U450" s="308"/>
      <c r="V450" s="308"/>
      <c r="W450" s="308"/>
      <c r="X450" s="308"/>
      <c r="Y450" s="308"/>
      <c r="Z450" s="308"/>
      <c r="AA450" s="308"/>
      <c r="AB450" s="308"/>
      <c r="AC450" s="308"/>
      <c r="AD450" s="308"/>
      <c r="AE450" s="308"/>
      <c r="AF450" s="308"/>
      <c r="AG450" s="308"/>
      <c r="AH450" s="308"/>
      <c r="AI450" s="308"/>
      <c r="AJ450" s="308"/>
      <c r="AK450" s="308"/>
      <c r="AL450" s="308"/>
      <c r="AM450" s="308"/>
      <c r="AN450" s="308"/>
      <c r="AO450" s="308"/>
      <c r="AP450" s="308"/>
      <c r="AQ450" s="308"/>
      <c r="AR450" s="308"/>
      <c r="AS450" s="308"/>
      <c r="AT450" s="308"/>
      <c r="AU450" s="308"/>
      <c r="AV450" s="308"/>
      <c r="AW450" s="308"/>
      <c r="AX450" s="308"/>
      <c r="AY450" s="308"/>
      <c r="AZ450" s="308"/>
      <c r="BA450" s="308"/>
      <c r="BB450" s="308"/>
      <c r="BC450" s="308"/>
      <c r="BD450" s="308"/>
      <c r="BE450" s="308"/>
      <c r="BF450" s="308"/>
      <c r="BG450" s="308"/>
      <c r="BH450" s="308"/>
      <c r="BI450" s="308"/>
      <c r="BJ450" s="308"/>
      <c r="BK450" s="308"/>
      <c r="BL450" s="308"/>
      <c r="BM450" s="308"/>
      <c r="BN450" s="308"/>
      <c r="BO450" s="308"/>
      <c r="BP450" s="308"/>
      <c r="BQ450" s="308"/>
      <c r="BR450" s="312"/>
      <c r="BS450" s="312"/>
      <c r="BT450" s="312"/>
      <c r="BU450" s="312"/>
      <c r="BV450" s="312"/>
      <c r="BW450" s="316"/>
      <c r="BX450" s="316"/>
      <c r="BY450" s="316"/>
      <c r="BZ450" s="316"/>
      <c r="CA450" s="316"/>
      <c r="CB450" s="316"/>
      <c r="CC450" s="316"/>
      <c r="CD450" s="316"/>
    </row>
    <row r="451" ht="15.75" customHeight="1">
      <c r="A451" s="308"/>
      <c r="B451" s="312"/>
      <c r="C451" s="312"/>
      <c r="D451" s="312"/>
      <c r="E451" s="312"/>
      <c r="F451" s="312"/>
      <c r="G451" s="312"/>
      <c r="H451" s="312"/>
      <c r="I451" s="312"/>
      <c r="J451" s="312"/>
      <c r="K451" s="312"/>
      <c r="L451" s="312"/>
      <c r="M451" s="312"/>
      <c r="N451" s="312"/>
      <c r="O451" s="312"/>
      <c r="P451" s="312"/>
      <c r="Q451" s="312"/>
      <c r="R451" s="312"/>
      <c r="S451" s="312"/>
      <c r="T451" s="308"/>
      <c r="U451" s="308"/>
      <c r="V451" s="308"/>
      <c r="W451" s="308"/>
      <c r="X451" s="308"/>
      <c r="Y451" s="308"/>
      <c r="Z451" s="308"/>
      <c r="AA451" s="308"/>
      <c r="AB451" s="308"/>
      <c r="AC451" s="308"/>
      <c r="AD451" s="308"/>
      <c r="AE451" s="308"/>
      <c r="AF451" s="308"/>
      <c r="AG451" s="308"/>
      <c r="AH451" s="308"/>
      <c r="AI451" s="308"/>
      <c r="AJ451" s="308"/>
      <c r="AK451" s="308"/>
      <c r="AL451" s="308"/>
      <c r="AM451" s="308"/>
      <c r="AN451" s="308"/>
      <c r="AO451" s="308"/>
      <c r="AP451" s="308"/>
      <c r="AQ451" s="308"/>
      <c r="AR451" s="308"/>
      <c r="AS451" s="308"/>
      <c r="AT451" s="308"/>
      <c r="AU451" s="308"/>
      <c r="AV451" s="308"/>
      <c r="AW451" s="308"/>
      <c r="AX451" s="308"/>
      <c r="AY451" s="308"/>
      <c r="AZ451" s="308"/>
      <c r="BA451" s="308"/>
      <c r="BB451" s="308"/>
      <c r="BC451" s="308"/>
      <c r="BD451" s="308"/>
      <c r="BE451" s="308"/>
      <c r="BF451" s="308"/>
      <c r="BG451" s="308"/>
      <c r="BH451" s="308"/>
      <c r="BI451" s="308"/>
      <c r="BJ451" s="308"/>
      <c r="BK451" s="308"/>
      <c r="BL451" s="308"/>
      <c r="BM451" s="308"/>
      <c r="BN451" s="308"/>
      <c r="BO451" s="308"/>
      <c r="BP451" s="308"/>
      <c r="BQ451" s="308"/>
      <c r="BR451" s="312"/>
      <c r="BS451" s="312"/>
      <c r="BT451" s="312"/>
      <c r="BU451" s="312"/>
      <c r="BV451" s="312"/>
      <c r="BW451" s="316"/>
      <c r="BX451" s="316"/>
      <c r="BY451" s="316"/>
      <c r="BZ451" s="316"/>
      <c r="CA451" s="316"/>
      <c r="CB451" s="316"/>
      <c r="CC451" s="316"/>
      <c r="CD451" s="316"/>
    </row>
    <row r="452" ht="15.75" customHeight="1">
      <c r="A452" s="308"/>
      <c r="B452" s="312"/>
      <c r="C452" s="312"/>
      <c r="D452" s="312"/>
      <c r="E452" s="312"/>
      <c r="F452" s="312"/>
      <c r="G452" s="312"/>
      <c r="H452" s="312"/>
      <c r="I452" s="312"/>
      <c r="J452" s="312"/>
      <c r="K452" s="312"/>
      <c r="L452" s="312"/>
      <c r="M452" s="312"/>
      <c r="N452" s="312"/>
      <c r="O452" s="312"/>
      <c r="P452" s="312"/>
      <c r="Q452" s="312"/>
      <c r="R452" s="312"/>
      <c r="S452" s="312"/>
      <c r="T452" s="308"/>
      <c r="U452" s="308"/>
      <c r="V452" s="308"/>
      <c r="W452" s="308"/>
      <c r="X452" s="308"/>
      <c r="Y452" s="308"/>
      <c r="Z452" s="308"/>
      <c r="AA452" s="308"/>
      <c r="AB452" s="308"/>
      <c r="AC452" s="308"/>
      <c r="AD452" s="308"/>
      <c r="AE452" s="308"/>
      <c r="AF452" s="308"/>
      <c r="AG452" s="308"/>
      <c r="AH452" s="308"/>
      <c r="AI452" s="308"/>
      <c r="AJ452" s="308"/>
      <c r="AK452" s="308"/>
      <c r="AL452" s="308"/>
      <c r="AM452" s="308"/>
      <c r="AN452" s="308"/>
      <c r="AO452" s="308"/>
      <c r="AP452" s="308"/>
      <c r="AQ452" s="308"/>
      <c r="AR452" s="308"/>
      <c r="AS452" s="308"/>
      <c r="AT452" s="308"/>
      <c r="AU452" s="308"/>
      <c r="AV452" s="308"/>
      <c r="AW452" s="308"/>
      <c r="AX452" s="308"/>
      <c r="AY452" s="308"/>
      <c r="AZ452" s="308"/>
      <c r="BA452" s="308"/>
      <c r="BB452" s="308"/>
      <c r="BC452" s="308"/>
      <c r="BD452" s="308"/>
      <c r="BE452" s="308"/>
      <c r="BF452" s="308"/>
      <c r="BG452" s="308"/>
      <c r="BH452" s="308"/>
      <c r="BI452" s="308"/>
      <c r="BJ452" s="308"/>
      <c r="BK452" s="308"/>
      <c r="BL452" s="308"/>
      <c r="BM452" s="308"/>
      <c r="BN452" s="308"/>
      <c r="BO452" s="308"/>
      <c r="BP452" s="308"/>
      <c r="BQ452" s="308"/>
      <c r="BR452" s="312"/>
      <c r="BS452" s="312"/>
      <c r="BT452" s="312"/>
      <c r="BU452" s="312"/>
      <c r="BV452" s="312"/>
      <c r="BW452" s="316"/>
      <c r="BX452" s="316"/>
      <c r="BY452" s="316"/>
      <c r="BZ452" s="316"/>
      <c r="CA452" s="316"/>
      <c r="CB452" s="316"/>
      <c r="CC452" s="316"/>
      <c r="CD452" s="316"/>
    </row>
    <row r="453" ht="15.75" customHeight="1">
      <c r="A453" s="308"/>
      <c r="B453" s="312"/>
      <c r="C453" s="312"/>
      <c r="D453" s="312"/>
      <c r="E453" s="312"/>
      <c r="F453" s="312"/>
      <c r="G453" s="312"/>
      <c r="H453" s="312"/>
      <c r="I453" s="312"/>
      <c r="J453" s="312"/>
      <c r="K453" s="312"/>
      <c r="L453" s="312"/>
      <c r="M453" s="312"/>
      <c r="N453" s="312"/>
      <c r="O453" s="312"/>
      <c r="P453" s="312"/>
      <c r="Q453" s="312"/>
      <c r="R453" s="312"/>
      <c r="S453" s="312"/>
      <c r="T453" s="308"/>
      <c r="U453" s="308"/>
      <c r="V453" s="308"/>
      <c r="W453" s="308"/>
      <c r="X453" s="308"/>
      <c r="Y453" s="308"/>
      <c r="Z453" s="308"/>
      <c r="AA453" s="308"/>
      <c r="AB453" s="308"/>
      <c r="AC453" s="308"/>
      <c r="AD453" s="308"/>
      <c r="AE453" s="308"/>
      <c r="AF453" s="308"/>
      <c r="AG453" s="308"/>
      <c r="AH453" s="308"/>
      <c r="AI453" s="308"/>
      <c r="AJ453" s="308"/>
      <c r="AK453" s="308"/>
      <c r="AL453" s="308"/>
      <c r="AM453" s="308"/>
      <c r="AN453" s="308"/>
      <c r="AO453" s="308"/>
      <c r="AP453" s="308"/>
      <c r="AQ453" s="308"/>
      <c r="AR453" s="308"/>
      <c r="AS453" s="308"/>
      <c r="AT453" s="308"/>
      <c r="AU453" s="308"/>
      <c r="AV453" s="308"/>
      <c r="AW453" s="308"/>
      <c r="AX453" s="308"/>
      <c r="AY453" s="308"/>
      <c r="AZ453" s="308"/>
      <c r="BA453" s="308"/>
      <c r="BB453" s="308"/>
      <c r="BC453" s="308"/>
      <c r="BD453" s="308"/>
      <c r="BE453" s="308"/>
      <c r="BF453" s="308"/>
      <c r="BG453" s="308"/>
      <c r="BH453" s="308"/>
      <c r="BI453" s="308"/>
      <c r="BJ453" s="308"/>
      <c r="BK453" s="308"/>
      <c r="BL453" s="308"/>
      <c r="BM453" s="308"/>
      <c r="BN453" s="308"/>
      <c r="BO453" s="308"/>
      <c r="BP453" s="308"/>
      <c r="BQ453" s="308"/>
      <c r="BR453" s="312"/>
      <c r="BS453" s="312"/>
      <c r="BT453" s="312"/>
      <c r="BU453" s="312"/>
      <c r="BV453" s="312"/>
      <c r="BW453" s="316"/>
      <c r="BX453" s="316"/>
      <c r="BY453" s="316"/>
      <c r="BZ453" s="316"/>
      <c r="CA453" s="316"/>
      <c r="CB453" s="316"/>
      <c r="CC453" s="316"/>
      <c r="CD453" s="316"/>
    </row>
    <row r="454" ht="15.75" customHeight="1">
      <c r="A454" s="308"/>
      <c r="B454" s="312"/>
      <c r="C454" s="312"/>
      <c r="D454" s="312"/>
      <c r="E454" s="312"/>
      <c r="F454" s="312"/>
      <c r="G454" s="312"/>
      <c r="H454" s="312"/>
      <c r="I454" s="312"/>
      <c r="J454" s="312"/>
      <c r="K454" s="312"/>
      <c r="L454" s="312"/>
      <c r="M454" s="312"/>
      <c r="N454" s="312"/>
      <c r="O454" s="312"/>
      <c r="P454" s="312"/>
      <c r="Q454" s="312"/>
      <c r="R454" s="312"/>
      <c r="S454" s="312"/>
      <c r="T454" s="308"/>
      <c r="U454" s="308"/>
      <c r="V454" s="308"/>
      <c r="W454" s="308"/>
      <c r="X454" s="308"/>
      <c r="Y454" s="308"/>
      <c r="Z454" s="308"/>
      <c r="AA454" s="308"/>
      <c r="AB454" s="308"/>
      <c r="AC454" s="308"/>
      <c r="AD454" s="308"/>
      <c r="AE454" s="308"/>
      <c r="AF454" s="308"/>
      <c r="AG454" s="308"/>
      <c r="AH454" s="308"/>
      <c r="AI454" s="308"/>
      <c r="AJ454" s="308"/>
      <c r="AK454" s="308"/>
      <c r="AL454" s="308"/>
      <c r="AM454" s="308"/>
      <c r="AN454" s="308"/>
      <c r="AO454" s="308"/>
      <c r="AP454" s="308"/>
      <c r="AQ454" s="308"/>
      <c r="AR454" s="308"/>
      <c r="AS454" s="308"/>
      <c r="AT454" s="308"/>
      <c r="AU454" s="308"/>
      <c r="AV454" s="308"/>
      <c r="AW454" s="308"/>
      <c r="AX454" s="308"/>
      <c r="AY454" s="308"/>
      <c r="AZ454" s="308"/>
      <c r="BA454" s="308"/>
      <c r="BB454" s="308"/>
      <c r="BC454" s="308"/>
      <c r="BD454" s="308"/>
      <c r="BE454" s="308"/>
      <c r="BF454" s="308"/>
      <c r="BG454" s="308"/>
      <c r="BH454" s="308"/>
      <c r="BI454" s="308"/>
      <c r="BJ454" s="308"/>
      <c r="BK454" s="308"/>
      <c r="BL454" s="308"/>
      <c r="BM454" s="308"/>
      <c r="BN454" s="308"/>
      <c r="BO454" s="308"/>
      <c r="BP454" s="308"/>
      <c r="BQ454" s="308"/>
      <c r="BR454" s="312"/>
      <c r="BS454" s="312"/>
      <c r="BT454" s="312"/>
      <c r="BU454" s="312"/>
      <c r="BV454" s="312"/>
      <c r="BW454" s="316"/>
      <c r="BX454" s="316"/>
      <c r="BY454" s="316"/>
      <c r="BZ454" s="316"/>
      <c r="CA454" s="316"/>
      <c r="CB454" s="316"/>
      <c r="CC454" s="316"/>
      <c r="CD454" s="316"/>
    </row>
    <row r="455" ht="15.75" customHeight="1">
      <c r="A455" s="308"/>
      <c r="B455" s="312"/>
      <c r="C455" s="312"/>
      <c r="D455" s="312"/>
      <c r="E455" s="312"/>
      <c r="F455" s="312"/>
      <c r="G455" s="312"/>
      <c r="H455" s="312"/>
      <c r="I455" s="312"/>
      <c r="J455" s="312"/>
      <c r="K455" s="312"/>
      <c r="L455" s="312"/>
      <c r="M455" s="312"/>
      <c r="N455" s="312"/>
      <c r="O455" s="312"/>
      <c r="P455" s="312"/>
      <c r="Q455" s="312"/>
      <c r="R455" s="312"/>
      <c r="S455" s="312"/>
      <c r="T455" s="308"/>
      <c r="U455" s="308"/>
      <c r="V455" s="308"/>
      <c r="W455" s="308"/>
      <c r="X455" s="308"/>
      <c r="Y455" s="308"/>
      <c r="Z455" s="308"/>
      <c r="AA455" s="308"/>
      <c r="AB455" s="308"/>
      <c r="AC455" s="308"/>
      <c r="AD455" s="308"/>
      <c r="AE455" s="308"/>
      <c r="AF455" s="308"/>
      <c r="AG455" s="308"/>
      <c r="AH455" s="308"/>
      <c r="AI455" s="308"/>
      <c r="AJ455" s="308"/>
      <c r="AK455" s="308"/>
      <c r="AL455" s="308"/>
      <c r="AM455" s="308"/>
      <c r="AN455" s="308"/>
      <c r="AO455" s="308"/>
      <c r="AP455" s="308"/>
      <c r="AQ455" s="308"/>
      <c r="AR455" s="308"/>
      <c r="AS455" s="308"/>
      <c r="AT455" s="308"/>
      <c r="AU455" s="308"/>
      <c r="AV455" s="308"/>
      <c r="AW455" s="308"/>
      <c r="AX455" s="308"/>
      <c r="AY455" s="308"/>
      <c r="AZ455" s="308"/>
      <c r="BA455" s="308"/>
      <c r="BB455" s="308"/>
      <c r="BC455" s="308"/>
      <c r="BD455" s="308"/>
      <c r="BE455" s="308"/>
      <c r="BF455" s="308"/>
      <c r="BG455" s="308"/>
      <c r="BH455" s="308"/>
      <c r="BI455" s="308"/>
      <c r="BJ455" s="308"/>
      <c r="BK455" s="308"/>
      <c r="BL455" s="308"/>
      <c r="BM455" s="308"/>
      <c r="BN455" s="308"/>
      <c r="BO455" s="308"/>
      <c r="BP455" s="308"/>
      <c r="BQ455" s="308"/>
      <c r="BR455" s="312"/>
      <c r="BS455" s="312"/>
      <c r="BT455" s="312"/>
      <c r="BU455" s="312"/>
      <c r="BV455" s="312"/>
      <c r="BW455" s="316"/>
      <c r="BX455" s="316"/>
      <c r="BY455" s="316"/>
      <c r="BZ455" s="316"/>
      <c r="CA455" s="316"/>
      <c r="CB455" s="316"/>
      <c r="CC455" s="316"/>
      <c r="CD455" s="316"/>
    </row>
    <row r="456" ht="15.75" customHeight="1">
      <c r="A456" s="308"/>
      <c r="B456" s="312"/>
      <c r="C456" s="312"/>
      <c r="D456" s="312"/>
      <c r="E456" s="312"/>
      <c r="F456" s="312"/>
      <c r="G456" s="312"/>
      <c r="H456" s="312"/>
      <c r="I456" s="312"/>
      <c r="J456" s="312"/>
      <c r="K456" s="312"/>
      <c r="L456" s="312"/>
      <c r="M456" s="312"/>
      <c r="N456" s="312"/>
      <c r="O456" s="312"/>
      <c r="P456" s="312"/>
      <c r="Q456" s="312"/>
      <c r="R456" s="312"/>
      <c r="S456" s="312"/>
      <c r="T456" s="308"/>
      <c r="U456" s="308"/>
      <c r="V456" s="308"/>
      <c r="W456" s="308"/>
      <c r="X456" s="308"/>
      <c r="Y456" s="308"/>
      <c r="Z456" s="308"/>
      <c r="AA456" s="308"/>
      <c r="AB456" s="308"/>
      <c r="AC456" s="308"/>
      <c r="AD456" s="308"/>
      <c r="AE456" s="308"/>
      <c r="AF456" s="308"/>
      <c r="AG456" s="308"/>
      <c r="AH456" s="308"/>
      <c r="AI456" s="308"/>
      <c r="AJ456" s="308"/>
      <c r="AK456" s="308"/>
      <c r="AL456" s="308"/>
      <c r="AM456" s="308"/>
      <c r="AN456" s="308"/>
      <c r="AO456" s="308"/>
      <c r="AP456" s="308"/>
      <c r="AQ456" s="308"/>
      <c r="AR456" s="308"/>
      <c r="AS456" s="308"/>
      <c r="AT456" s="308"/>
      <c r="AU456" s="308"/>
      <c r="AV456" s="308"/>
      <c r="AW456" s="308"/>
      <c r="AX456" s="308"/>
      <c r="AY456" s="308"/>
      <c r="AZ456" s="308"/>
      <c r="BA456" s="308"/>
      <c r="BB456" s="32"/>
      <c r="BC456" s="308"/>
      <c r="BD456" s="32"/>
      <c r="BE456" s="308"/>
      <c r="BF456" s="308"/>
      <c r="BG456" s="308"/>
      <c r="BH456" s="308"/>
      <c r="BI456" s="308"/>
      <c r="BJ456" s="308"/>
      <c r="BK456" s="308"/>
      <c r="BL456" s="308"/>
      <c r="BM456" s="308"/>
      <c r="BN456" s="308"/>
      <c r="BO456" s="308"/>
      <c r="BP456" s="308"/>
      <c r="BQ456" s="308"/>
      <c r="BR456" s="312"/>
      <c r="BS456" s="312"/>
      <c r="BT456" s="312"/>
      <c r="BU456" s="312"/>
      <c r="BV456" s="312"/>
      <c r="BW456" s="316"/>
      <c r="BX456" s="316"/>
      <c r="BY456" s="316"/>
      <c r="BZ456" s="316"/>
      <c r="CA456" s="316"/>
      <c r="CB456" s="316"/>
      <c r="CC456" s="316"/>
      <c r="CD456" s="316"/>
    </row>
    <row r="457" ht="15.75" customHeight="1">
      <c r="A457" s="308"/>
      <c r="B457" s="312"/>
      <c r="C457" s="312"/>
      <c r="D457" s="312"/>
      <c r="E457" s="312"/>
      <c r="F457" s="312"/>
      <c r="G457" s="312"/>
      <c r="H457" s="312"/>
      <c r="I457" s="312"/>
      <c r="J457" s="312"/>
      <c r="K457" s="312"/>
      <c r="L457" s="312"/>
      <c r="M457" s="312"/>
      <c r="N457" s="312"/>
      <c r="O457" s="312"/>
      <c r="P457" s="312"/>
      <c r="Q457" s="312"/>
      <c r="R457" s="312"/>
      <c r="S457" s="312"/>
      <c r="T457" s="308"/>
      <c r="U457" s="308"/>
      <c r="V457" s="308"/>
      <c r="W457" s="308"/>
      <c r="X457" s="308"/>
      <c r="Y457" s="308"/>
      <c r="Z457" s="308"/>
      <c r="AA457" s="308"/>
      <c r="AB457" s="308"/>
      <c r="AC457" s="308"/>
      <c r="AD457" s="308"/>
      <c r="AE457" s="308"/>
      <c r="AF457" s="308"/>
      <c r="AG457" s="308"/>
      <c r="AH457" s="308"/>
      <c r="AI457" s="308"/>
      <c r="AJ457" s="308"/>
      <c r="AK457" s="308"/>
      <c r="AL457" s="308"/>
      <c r="AM457" s="308"/>
      <c r="AN457" s="308"/>
      <c r="AO457" s="308"/>
      <c r="AP457" s="308"/>
      <c r="AQ457" s="308"/>
      <c r="AR457" s="308"/>
      <c r="AS457" s="308"/>
      <c r="AT457" s="308"/>
      <c r="AU457" s="308"/>
      <c r="AV457" s="399"/>
      <c r="AW457" s="308"/>
      <c r="AX457" s="308"/>
      <c r="AY457" s="308"/>
      <c r="AZ457" s="308"/>
      <c r="BA457" s="308"/>
      <c r="BB457" s="308"/>
      <c r="BC457" s="308"/>
      <c r="BD457" s="308"/>
      <c r="BE457" s="308"/>
      <c r="BF457" s="308"/>
      <c r="BG457" s="308"/>
      <c r="BH457" s="308"/>
      <c r="BI457" s="308"/>
      <c r="BJ457" s="308"/>
      <c r="BK457" s="308"/>
      <c r="BL457" s="308"/>
      <c r="BM457" s="308"/>
      <c r="BN457" s="308"/>
      <c r="BO457" s="308"/>
      <c r="BP457" s="308"/>
      <c r="BQ457" s="308"/>
      <c r="BR457" s="312"/>
      <c r="BS457" s="312"/>
      <c r="BT457" s="312"/>
      <c r="BU457" s="312"/>
      <c r="BV457" s="312"/>
      <c r="BW457" s="316"/>
      <c r="BX457" s="316"/>
      <c r="BY457" s="316"/>
      <c r="BZ457" s="316"/>
      <c r="CA457" s="316"/>
      <c r="CB457" s="316"/>
      <c r="CC457" s="316"/>
      <c r="CD457" s="316"/>
    </row>
    <row r="458" ht="15.75" customHeight="1">
      <c r="A458" s="308"/>
      <c r="B458" s="312"/>
      <c r="C458" s="312"/>
      <c r="D458" s="312"/>
      <c r="E458" s="312"/>
      <c r="F458" s="312"/>
      <c r="G458" s="312"/>
      <c r="H458" s="312"/>
      <c r="I458" s="312"/>
      <c r="J458" s="312"/>
      <c r="K458" s="312"/>
      <c r="L458" s="312"/>
      <c r="M458" s="312"/>
      <c r="N458" s="312"/>
      <c r="O458" s="312"/>
      <c r="P458" s="312"/>
      <c r="Q458" s="312"/>
      <c r="R458" s="312"/>
      <c r="S458" s="312"/>
      <c r="T458" s="308"/>
      <c r="U458" s="308"/>
      <c r="V458" s="308"/>
      <c r="W458" s="308"/>
      <c r="X458" s="308"/>
      <c r="Y458" s="308"/>
      <c r="Z458" s="308"/>
      <c r="AA458" s="308"/>
      <c r="AB458" s="308"/>
      <c r="AC458" s="308"/>
      <c r="AD458" s="308"/>
      <c r="AE458" s="308"/>
      <c r="AF458" s="308"/>
      <c r="AG458" s="308"/>
      <c r="AH458" s="308"/>
      <c r="AI458" s="308"/>
      <c r="AJ458" s="308"/>
      <c r="AK458" s="308"/>
      <c r="AL458" s="308"/>
      <c r="AM458" s="308"/>
      <c r="AN458" s="308"/>
      <c r="AO458" s="308"/>
      <c r="AP458" s="308"/>
      <c r="AQ458" s="308"/>
      <c r="AR458" s="308"/>
      <c r="AS458" s="308"/>
      <c r="AT458" s="308"/>
      <c r="AU458" s="308"/>
      <c r="AV458" s="399"/>
      <c r="AW458" s="308"/>
      <c r="AX458" s="308"/>
      <c r="AY458" s="308"/>
      <c r="AZ458" s="308"/>
      <c r="BA458" s="308"/>
      <c r="BB458" s="308"/>
      <c r="BC458" s="308"/>
      <c r="BD458" s="308"/>
      <c r="BE458" s="308"/>
      <c r="BF458" s="308"/>
      <c r="BG458" s="308"/>
      <c r="BH458" s="308"/>
      <c r="BI458" s="308"/>
      <c r="BJ458" s="308"/>
      <c r="BK458" s="308"/>
      <c r="BL458" s="308"/>
      <c r="BM458" s="308"/>
      <c r="BN458" s="308"/>
      <c r="BO458" s="308"/>
      <c r="BP458" s="308"/>
      <c r="BQ458" s="308"/>
      <c r="BR458" s="312"/>
      <c r="BS458" s="312"/>
      <c r="BT458" s="312"/>
      <c r="BU458" s="312"/>
      <c r="BV458" s="312"/>
      <c r="BW458" s="316"/>
      <c r="BX458" s="316"/>
      <c r="BY458" s="316"/>
      <c r="BZ458" s="316"/>
      <c r="CA458" s="316"/>
      <c r="CB458" s="316"/>
      <c r="CC458" s="316"/>
      <c r="CD458" s="316"/>
    </row>
    <row r="459" ht="15.75" customHeight="1">
      <c r="A459" s="308"/>
      <c r="B459" s="312"/>
      <c r="C459" s="312"/>
      <c r="D459" s="312"/>
      <c r="E459" s="312"/>
      <c r="F459" s="312"/>
      <c r="G459" s="312"/>
      <c r="H459" s="312"/>
      <c r="I459" s="312"/>
      <c r="J459" s="312"/>
      <c r="K459" s="312"/>
      <c r="L459" s="312"/>
      <c r="M459" s="312"/>
      <c r="N459" s="312"/>
      <c r="O459" s="312"/>
      <c r="P459" s="312"/>
      <c r="Q459" s="312"/>
      <c r="R459" s="312"/>
      <c r="S459" s="312"/>
      <c r="T459" s="308"/>
      <c r="U459" s="308"/>
      <c r="V459" s="308"/>
      <c r="W459" s="308"/>
      <c r="X459" s="308"/>
      <c r="Y459" s="308"/>
      <c r="Z459" s="308"/>
      <c r="AA459" s="308"/>
      <c r="AB459" s="308"/>
      <c r="AC459" s="308"/>
      <c r="AD459" s="308"/>
      <c r="AE459" s="308"/>
      <c r="AF459" s="308"/>
      <c r="AG459" s="308"/>
      <c r="AH459" s="308"/>
      <c r="AI459" s="308"/>
      <c r="AJ459" s="308"/>
      <c r="AK459" s="308"/>
      <c r="AL459" s="308"/>
      <c r="AM459" s="308"/>
      <c r="AN459" s="308"/>
      <c r="AO459" s="308"/>
      <c r="AP459" s="308"/>
      <c r="AQ459" s="308"/>
      <c r="AR459" s="308"/>
      <c r="AS459" s="308"/>
      <c r="AT459" s="308"/>
      <c r="AU459" s="308"/>
      <c r="AV459" s="399"/>
      <c r="AW459" s="308"/>
      <c r="AX459" s="308"/>
      <c r="AY459" s="308"/>
      <c r="AZ459" s="308"/>
      <c r="BA459" s="308"/>
      <c r="BB459" s="308"/>
      <c r="BC459" s="308"/>
      <c r="BD459" s="308"/>
      <c r="BE459" s="308"/>
      <c r="BF459" s="308"/>
      <c r="BG459" s="308"/>
      <c r="BH459" s="308"/>
      <c r="BI459" s="308"/>
      <c r="BJ459" s="308"/>
      <c r="BK459" s="308"/>
      <c r="BL459" s="308"/>
      <c r="BM459" s="308"/>
      <c r="BN459" s="308"/>
      <c r="BO459" s="308"/>
      <c r="BP459" s="308"/>
      <c r="BQ459" s="308"/>
      <c r="BR459" s="312"/>
      <c r="BS459" s="312"/>
      <c r="BT459" s="312"/>
      <c r="BU459" s="312"/>
      <c r="BV459" s="312"/>
      <c r="BW459" s="316"/>
      <c r="BX459" s="316"/>
      <c r="BY459" s="316"/>
      <c r="BZ459" s="316"/>
      <c r="CA459" s="316"/>
      <c r="CB459" s="316"/>
      <c r="CC459" s="316"/>
      <c r="CD459" s="316"/>
    </row>
    <row r="460" ht="15.75" customHeight="1">
      <c r="A460" s="308"/>
      <c r="B460" s="312"/>
      <c r="C460" s="312"/>
      <c r="D460" s="312"/>
      <c r="E460" s="312"/>
      <c r="F460" s="312"/>
      <c r="G460" s="312"/>
      <c r="H460" s="312"/>
      <c r="I460" s="312"/>
      <c r="J460" s="312"/>
      <c r="K460" s="312"/>
      <c r="L460" s="312"/>
      <c r="M460" s="312"/>
      <c r="N460" s="312"/>
      <c r="O460" s="312"/>
      <c r="P460" s="312"/>
      <c r="Q460" s="312"/>
      <c r="R460" s="312"/>
      <c r="S460" s="312"/>
      <c r="T460" s="308"/>
      <c r="U460" s="308"/>
      <c r="V460" s="308"/>
      <c r="W460" s="308"/>
      <c r="X460" s="308"/>
      <c r="Y460" s="308"/>
      <c r="Z460" s="308"/>
      <c r="AA460" s="308"/>
      <c r="AB460" s="308"/>
      <c r="AC460" s="308"/>
      <c r="AD460" s="308"/>
      <c r="AE460" s="308"/>
      <c r="AF460" s="308"/>
      <c r="AG460" s="308"/>
      <c r="AH460" s="308"/>
      <c r="AI460" s="308"/>
      <c r="AJ460" s="308"/>
      <c r="AK460" s="308"/>
      <c r="AL460" s="308"/>
      <c r="AM460" s="308"/>
      <c r="AN460" s="308"/>
      <c r="AO460" s="308"/>
      <c r="AP460" s="308"/>
      <c r="AQ460" s="308"/>
      <c r="AR460" s="308"/>
      <c r="AS460" s="308"/>
      <c r="AT460" s="308"/>
      <c r="AU460" s="308"/>
      <c r="AV460" s="399"/>
      <c r="AW460" s="308"/>
      <c r="AX460" s="308"/>
      <c r="AY460" s="308"/>
      <c r="AZ460" s="308"/>
      <c r="BA460" s="308"/>
      <c r="BB460" s="308"/>
      <c r="BC460" s="308"/>
      <c r="BD460" s="308"/>
      <c r="BE460" s="308"/>
      <c r="BF460" s="308"/>
      <c r="BG460" s="308"/>
      <c r="BH460" s="308"/>
      <c r="BI460" s="308"/>
      <c r="BJ460" s="308"/>
      <c r="BK460" s="308"/>
      <c r="BL460" s="308"/>
      <c r="BM460" s="308"/>
      <c r="BN460" s="308"/>
      <c r="BO460" s="308"/>
      <c r="BP460" s="308"/>
      <c r="BQ460" s="308"/>
      <c r="BR460" s="312"/>
      <c r="BS460" s="312"/>
      <c r="BT460" s="312"/>
      <c r="BU460" s="312"/>
      <c r="BV460" s="312"/>
      <c r="BW460" s="316"/>
      <c r="BX460" s="316"/>
      <c r="BY460" s="316"/>
      <c r="BZ460" s="316"/>
      <c r="CA460" s="316"/>
      <c r="CB460" s="316"/>
      <c r="CC460" s="316"/>
      <c r="CD460" s="316"/>
    </row>
    <row r="461" ht="15.75" customHeight="1">
      <c r="A461" s="308"/>
      <c r="B461" s="312"/>
      <c r="C461" s="312"/>
      <c r="D461" s="312"/>
      <c r="E461" s="312"/>
      <c r="F461" s="312"/>
      <c r="G461" s="312"/>
      <c r="H461" s="312"/>
      <c r="I461" s="312"/>
      <c r="J461" s="312"/>
      <c r="K461" s="312"/>
      <c r="L461" s="312"/>
      <c r="M461" s="312"/>
      <c r="N461" s="312"/>
      <c r="O461" s="312"/>
      <c r="P461" s="312"/>
      <c r="Q461" s="312"/>
      <c r="R461" s="312"/>
      <c r="S461" s="312"/>
      <c r="T461" s="308"/>
      <c r="U461" s="308"/>
      <c r="V461" s="308"/>
      <c r="W461" s="308"/>
      <c r="X461" s="308"/>
      <c r="Y461" s="308"/>
      <c r="Z461" s="308"/>
      <c r="AA461" s="308"/>
      <c r="AB461" s="308"/>
      <c r="AC461" s="308"/>
      <c r="AD461" s="308"/>
      <c r="AE461" s="308"/>
      <c r="AF461" s="308"/>
      <c r="AG461" s="308"/>
      <c r="AH461" s="308"/>
      <c r="AI461" s="308"/>
      <c r="AJ461" s="308"/>
      <c r="AK461" s="308"/>
      <c r="AL461" s="308"/>
      <c r="AM461" s="308"/>
      <c r="AN461" s="308"/>
      <c r="AO461" s="308"/>
      <c r="AP461" s="308"/>
      <c r="AQ461" s="308"/>
      <c r="AR461" s="308"/>
      <c r="AS461" s="308"/>
      <c r="AT461" s="308"/>
      <c r="AU461" s="308"/>
      <c r="AV461" s="399"/>
      <c r="AW461" s="308"/>
      <c r="AX461" s="308"/>
      <c r="AY461" s="308"/>
      <c r="AZ461" s="308"/>
      <c r="BA461" s="308"/>
      <c r="BB461" s="308"/>
      <c r="BC461" s="308"/>
      <c r="BD461" s="308"/>
      <c r="BE461" s="308"/>
      <c r="BF461" s="308"/>
      <c r="BG461" s="308"/>
      <c r="BH461" s="308"/>
      <c r="BI461" s="308"/>
      <c r="BJ461" s="308"/>
      <c r="BK461" s="308"/>
      <c r="BL461" s="308"/>
      <c r="BM461" s="308"/>
      <c r="BN461" s="308"/>
      <c r="BO461" s="308"/>
      <c r="BP461" s="308"/>
      <c r="BQ461" s="308"/>
      <c r="BR461" s="312"/>
      <c r="BS461" s="312"/>
      <c r="BT461" s="312"/>
      <c r="BU461" s="312"/>
      <c r="BV461" s="312"/>
      <c r="BW461" s="316"/>
      <c r="BX461" s="316"/>
      <c r="BY461" s="316"/>
      <c r="BZ461" s="316"/>
      <c r="CA461" s="316"/>
      <c r="CB461" s="316"/>
      <c r="CC461" s="316"/>
      <c r="CD461" s="316"/>
    </row>
    <row r="462" ht="15.75" customHeight="1">
      <c r="A462" s="308"/>
      <c r="B462" s="312"/>
      <c r="C462" s="312"/>
      <c r="D462" s="312"/>
      <c r="E462" s="312"/>
      <c r="F462" s="312"/>
      <c r="G462" s="312"/>
      <c r="H462" s="312"/>
      <c r="I462" s="312"/>
      <c r="J462" s="312"/>
      <c r="K462" s="312"/>
      <c r="L462" s="312"/>
      <c r="M462" s="312"/>
      <c r="N462" s="312"/>
      <c r="O462" s="312"/>
      <c r="P462" s="312"/>
      <c r="Q462" s="312"/>
      <c r="R462" s="312"/>
      <c r="S462" s="312"/>
      <c r="T462" s="308"/>
      <c r="U462" s="308"/>
      <c r="V462" s="308"/>
      <c r="W462" s="308"/>
      <c r="X462" s="308"/>
      <c r="Y462" s="308"/>
      <c r="Z462" s="308"/>
      <c r="AA462" s="308"/>
      <c r="AB462" s="308"/>
      <c r="AC462" s="308"/>
      <c r="AD462" s="308"/>
      <c r="AE462" s="308"/>
      <c r="AF462" s="308"/>
      <c r="AG462" s="308"/>
      <c r="AH462" s="308"/>
      <c r="AI462" s="308"/>
      <c r="AJ462" s="308"/>
      <c r="AK462" s="308"/>
      <c r="AL462" s="308"/>
      <c r="AM462" s="308"/>
      <c r="AN462" s="308"/>
      <c r="AO462" s="308"/>
      <c r="AP462" s="308"/>
      <c r="AQ462" s="308"/>
      <c r="AR462" s="308"/>
      <c r="AS462" s="308"/>
      <c r="AT462" s="308"/>
      <c r="AU462" s="308"/>
      <c r="AV462" s="399"/>
      <c r="AW462" s="308"/>
      <c r="AX462" s="308"/>
      <c r="AY462" s="308"/>
      <c r="AZ462" s="308"/>
      <c r="BA462" s="308"/>
      <c r="BB462" s="308"/>
      <c r="BC462" s="308"/>
      <c r="BD462" s="308"/>
      <c r="BE462" s="308"/>
      <c r="BF462" s="308"/>
      <c r="BG462" s="308"/>
      <c r="BH462" s="308"/>
      <c r="BI462" s="308"/>
      <c r="BJ462" s="308"/>
      <c r="BK462" s="308"/>
      <c r="BL462" s="308"/>
      <c r="BM462" s="308"/>
      <c r="BN462" s="308"/>
      <c r="BO462" s="308"/>
      <c r="BP462" s="308"/>
      <c r="BQ462" s="308"/>
      <c r="BR462" s="312"/>
      <c r="BS462" s="312"/>
      <c r="BT462" s="312"/>
      <c r="BU462" s="312"/>
      <c r="BV462" s="312"/>
      <c r="BW462" s="316"/>
      <c r="BX462" s="316"/>
      <c r="BY462" s="316"/>
      <c r="BZ462" s="316"/>
      <c r="CA462" s="316"/>
      <c r="CB462" s="316"/>
      <c r="CC462" s="316"/>
      <c r="CD462" s="316"/>
    </row>
    <row r="463" ht="15.75" customHeight="1">
      <c r="A463" s="308"/>
      <c r="B463" s="312"/>
      <c r="C463" s="312"/>
      <c r="D463" s="312"/>
      <c r="E463" s="312"/>
      <c r="F463" s="312"/>
      <c r="G463" s="312"/>
      <c r="H463" s="312"/>
      <c r="I463" s="312"/>
      <c r="J463" s="312"/>
      <c r="K463" s="312"/>
      <c r="L463" s="312"/>
      <c r="M463" s="312"/>
      <c r="N463" s="312"/>
      <c r="O463" s="312"/>
      <c r="P463" s="312"/>
      <c r="Q463" s="312"/>
      <c r="R463" s="312"/>
      <c r="S463" s="312"/>
      <c r="T463" s="308"/>
      <c r="U463" s="308"/>
      <c r="V463" s="308"/>
      <c r="W463" s="308"/>
      <c r="X463" s="308"/>
      <c r="Y463" s="308"/>
      <c r="Z463" s="308"/>
      <c r="AA463" s="308"/>
      <c r="AB463" s="308"/>
      <c r="AC463" s="308"/>
      <c r="AD463" s="308"/>
      <c r="AE463" s="308"/>
      <c r="AF463" s="308"/>
      <c r="AG463" s="308"/>
      <c r="AH463" s="308"/>
      <c r="AI463" s="308"/>
      <c r="AJ463" s="308"/>
      <c r="AK463" s="308"/>
      <c r="AL463" s="308"/>
      <c r="AM463" s="308"/>
      <c r="AN463" s="308"/>
      <c r="AO463" s="308"/>
      <c r="AP463" s="308"/>
      <c r="AQ463" s="308"/>
      <c r="AR463" s="308"/>
      <c r="AS463" s="308"/>
      <c r="AT463" s="308"/>
      <c r="AU463" s="308"/>
      <c r="AV463" s="399"/>
      <c r="AW463" s="308"/>
      <c r="AX463" s="308"/>
      <c r="AY463" s="308"/>
      <c r="AZ463" s="308"/>
      <c r="BA463" s="308"/>
      <c r="BB463" s="308"/>
      <c r="BC463" s="308"/>
      <c r="BD463" s="308"/>
      <c r="BE463" s="308"/>
      <c r="BF463" s="308"/>
      <c r="BG463" s="308"/>
      <c r="BH463" s="308"/>
      <c r="BI463" s="308"/>
      <c r="BJ463" s="308"/>
      <c r="BK463" s="308"/>
      <c r="BL463" s="308"/>
      <c r="BM463" s="308"/>
      <c r="BN463" s="308"/>
      <c r="BO463" s="308"/>
      <c r="BP463" s="308"/>
      <c r="BQ463" s="308"/>
      <c r="BR463" s="312"/>
      <c r="BS463" s="312"/>
      <c r="BT463" s="312"/>
      <c r="BU463" s="312"/>
      <c r="BV463" s="312"/>
      <c r="BW463" s="316"/>
      <c r="BX463" s="316"/>
      <c r="BY463" s="316"/>
      <c r="BZ463" s="316"/>
      <c r="CA463" s="316"/>
      <c r="CB463" s="316"/>
      <c r="CC463" s="316"/>
      <c r="CD463" s="316"/>
    </row>
    <row r="464" ht="15.75" customHeight="1">
      <c r="A464" s="308"/>
      <c r="B464" s="312"/>
      <c r="C464" s="312"/>
      <c r="D464" s="312"/>
      <c r="E464" s="312"/>
      <c r="F464" s="312"/>
      <c r="G464" s="312"/>
      <c r="H464" s="312"/>
      <c r="I464" s="312"/>
      <c r="J464" s="312"/>
      <c r="K464" s="312"/>
      <c r="L464" s="312"/>
      <c r="M464" s="312"/>
      <c r="N464" s="312"/>
      <c r="O464" s="312"/>
      <c r="P464" s="312"/>
      <c r="Q464" s="312"/>
      <c r="R464" s="312"/>
      <c r="S464" s="312"/>
      <c r="T464" s="308"/>
      <c r="U464" s="308"/>
      <c r="V464" s="308"/>
      <c r="W464" s="308"/>
      <c r="X464" s="308"/>
      <c r="Y464" s="308"/>
      <c r="Z464" s="308"/>
      <c r="AA464" s="308"/>
      <c r="AB464" s="308"/>
      <c r="AC464" s="308"/>
      <c r="AD464" s="308"/>
      <c r="AE464" s="308"/>
      <c r="AF464" s="308"/>
      <c r="AG464" s="308"/>
      <c r="AH464" s="308"/>
      <c r="AI464" s="308"/>
      <c r="AJ464" s="308"/>
      <c r="AK464" s="308"/>
      <c r="AL464" s="308"/>
      <c r="AM464" s="308"/>
      <c r="AN464" s="308"/>
      <c r="AO464" s="308"/>
      <c r="AP464" s="308"/>
      <c r="AQ464" s="308"/>
      <c r="AR464" s="308"/>
      <c r="AS464" s="308"/>
      <c r="AT464" s="308"/>
      <c r="AU464" s="308"/>
      <c r="AV464" s="399"/>
      <c r="AW464" s="308"/>
      <c r="AX464" s="308"/>
      <c r="AY464" s="308"/>
      <c r="AZ464" s="308"/>
      <c r="BA464" s="308"/>
      <c r="BB464" s="308"/>
      <c r="BC464" s="308"/>
      <c r="BD464" s="308"/>
      <c r="BE464" s="308"/>
      <c r="BF464" s="308"/>
      <c r="BG464" s="308"/>
      <c r="BH464" s="308"/>
      <c r="BI464" s="308"/>
      <c r="BJ464" s="308"/>
      <c r="BK464" s="308"/>
      <c r="BL464" s="308"/>
      <c r="BM464" s="308"/>
      <c r="BN464" s="308"/>
      <c r="BO464" s="308"/>
      <c r="BP464" s="308"/>
      <c r="BQ464" s="308"/>
      <c r="BR464" s="312"/>
      <c r="BS464" s="312"/>
      <c r="BT464" s="312"/>
      <c r="BU464" s="312"/>
      <c r="BV464" s="312"/>
      <c r="BW464" s="316"/>
      <c r="BX464" s="316"/>
      <c r="BY464" s="316"/>
      <c r="BZ464" s="316"/>
      <c r="CA464" s="316"/>
      <c r="CB464" s="316"/>
      <c r="CC464" s="316"/>
      <c r="CD464" s="316"/>
    </row>
    <row r="465" ht="15.75" customHeight="1">
      <c r="A465" s="308"/>
      <c r="B465" s="312"/>
      <c r="C465" s="312"/>
      <c r="D465" s="312"/>
      <c r="E465" s="312"/>
      <c r="F465" s="312"/>
      <c r="G465" s="312"/>
      <c r="H465" s="312"/>
      <c r="I465" s="312"/>
      <c r="J465" s="312"/>
      <c r="K465" s="312"/>
      <c r="L465" s="312"/>
      <c r="M465" s="312"/>
      <c r="N465" s="312"/>
      <c r="O465" s="312"/>
      <c r="P465" s="312"/>
      <c r="Q465" s="312"/>
      <c r="R465" s="312"/>
      <c r="S465" s="312"/>
      <c r="T465" s="308"/>
      <c r="U465" s="308"/>
      <c r="V465" s="308"/>
      <c r="W465" s="308"/>
      <c r="X465" s="308"/>
      <c r="Y465" s="308"/>
      <c r="Z465" s="308"/>
      <c r="AA465" s="308"/>
      <c r="AB465" s="308"/>
      <c r="AC465" s="308"/>
      <c r="AD465" s="308"/>
      <c r="AE465" s="308"/>
      <c r="AF465" s="308"/>
      <c r="AG465" s="308"/>
      <c r="AH465" s="308"/>
      <c r="AI465" s="308"/>
      <c r="AJ465" s="308"/>
      <c r="AK465" s="308"/>
      <c r="AL465" s="308"/>
      <c r="AM465" s="308"/>
      <c r="AN465" s="308"/>
      <c r="AO465" s="308"/>
      <c r="AP465" s="308"/>
      <c r="AQ465" s="308"/>
      <c r="AR465" s="308"/>
      <c r="AS465" s="308"/>
      <c r="AT465" s="308"/>
      <c r="AU465" s="308"/>
      <c r="AV465" s="399"/>
      <c r="AW465" s="308"/>
      <c r="AX465" s="308"/>
      <c r="AY465" s="308"/>
      <c r="AZ465" s="308"/>
      <c r="BA465" s="308"/>
      <c r="BB465" s="308"/>
      <c r="BC465" s="308"/>
      <c r="BD465" s="308"/>
      <c r="BE465" s="308"/>
      <c r="BF465" s="308"/>
      <c r="BG465" s="308"/>
      <c r="BH465" s="308"/>
      <c r="BI465" s="308"/>
      <c r="BJ465" s="308"/>
      <c r="BK465" s="308"/>
      <c r="BL465" s="308"/>
      <c r="BM465" s="308"/>
      <c r="BN465" s="308"/>
      <c r="BO465" s="308"/>
      <c r="BP465" s="308"/>
      <c r="BQ465" s="308"/>
      <c r="BR465" s="312"/>
      <c r="BS465" s="312"/>
      <c r="BT465" s="312"/>
      <c r="BU465" s="312"/>
      <c r="BV465" s="312"/>
      <c r="BW465" s="316"/>
      <c r="BX465" s="316"/>
      <c r="BY465" s="316"/>
      <c r="BZ465" s="316"/>
      <c r="CA465" s="316"/>
      <c r="CB465" s="316"/>
      <c r="CC465" s="316"/>
      <c r="CD465" s="316"/>
    </row>
    <row r="466" ht="15.75" customHeight="1">
      <c r="A466" s="308"/>
      <c r="B466" s="312"/>
      <c r="C466" s="312"/>
      <c r="D466" s="312"/>
      <c r="E466" s="312"/>
      <c r="F466" s="312"/>
      <c r="G466" s="312"/>
      <c r="H466" s="312"/>
      <c r="I466" s="312"/>
      <c r="J466" s="312"/>
      <c r="K466" s="312"/>
      <c r="L466" s="312"/>
      <c r="M466" s="312"/>
      <c r="N466" s="312"/>
      <c r="O466" s="312"/>
      <c r="P466" s="312"/>
      <c r="Q466" s="312"/>
      <c r="R466" s="312"/>
      <c r="S466" s="312"/>
      <c r="T466" s="308"/>
      <c r="U466" s="308"/>
      <c r="V466" s="308"/>
      <c r="W466" s="308"/>
      <c r="X466" s="308"/>
      <c r="Y466" s="308"/>
      <c r="Z466" s="308"/>
      <c r="AA466" s="308"/>
      <c r="AB466" s="308"/>
      <c r="AC466" s="308"/>
      <c r="AD466" s="308"/>
      <c r="AE466" s="308"/>
      <c r="AF466" s="308"/>
      <c r="AG466" s="308"/>
      <c r="AH466" s="308"/>
      <c r="AI466" s="308"/>
      <c r="AJ466" s="308"/>
      <c r="AK466" s="308"/>
      <c r="AL466" s="308"/>
      <c r="AM466" s="308"/>
      <c r="AN466" s="308"/>
      <c r="AO466" s="308"/>
      <c r="AP466" s="308"/>
      <c r="AQ466" s="308"/>
      <c r="AR466" s="308"/>
      <c r="AS466" s="308"/>
      <c r="AT466" s="308"/>
      <c r="AU466" s="308"/>
      <c r="AV466" s="399"/>
      <c r="AW466" s="308"/>
      <c r="AX466" s="308"/>
      <c r="AY466" s="308"/>
      <c r="AZ466" s="308"/>
      <c r="BA466" s="308"/>
      <c r="BB466" s="308"/>
      <c r="BC466" s="308"/>
      <c r="BD466" s="308"/>
      <c r="BE466" s="308"/>
      <c r="BF466" s="308"/>
      <c r="BG466" s="308"/>
      <c r="BH466" s="308"/>
      <c r="BI466" s="308"/>
      <c r="BJ466" s="308"/>
      <c r="BK466" s="308"/>
      <c r="BL466" s="308"/>
      <c r="BM466" s="308"/>
      <c r="BN466" s="308"/>
      <c r="BO466" s="308"/>
      <c r="BP466" s="308"/>
      <c r="BQ466" s="308"/>
      <c r="BR466" s="312"/>
      <c r="BS466" s="312"/>
      <c r="BT466" s="312"/>
      <c r="BU466" s="312"/>
      <c r="BV466" s="312"/>
      <c r="BW466" s="316"/>
      <c r="BX466" s="316"/>
      <c r="BY466" s="316"/>
      <c r="BZ466" s="316"/>
      <c r="CA466" s="316"/>
      <c r="CB466" s="316"/>
      <c r="CC466" s="316"/>
      <c r="CD466" s="316"/>
    </row>
    <row r="467" ht="15.75" customHeight="1">
      <c r="A467" s="308"/>
      <c r="B467" s="312"/>
      <c r="C467" s="312"/>
      <c r="D467" s="312"/>
      <c r="E467" s="312"/>
      <c r="F467" s="312"/>
      <c r="G467" s="312"/>
      <c r="H467" s="312"/>
      <c r="I467" s="312"/>
      <c r="J467" s="312"/>
      <c r="K467" s="312"/>
      <c r="L467" s="312"/>
      <c r="M467" s="312"/>
      <c r="N467" s="312"/>
      <c r="O467" s="312"/>
      <c r="P467" s="312"/>
      <c r="Q467" s="312"/>
      <c r="R467" s="312"/>
      <c r="S467" s="312"/>
      <c r="T467" s="308"/>
      <c r="U467" s="308"/>
      <c r="V467" s="308"/>
      <c r="W467" s="308"/>
      <c r="X467" s="308"/>
      <c r="Y467" s="308"/>
      <c r="Z467" s="308"/>
      <c r="AA467" s="308"/>
      <c r="AB467" s="308"/>
      <c r="AC467" s="308"/>
      <c r="AD467" s="308"/>
      <c r="AE467" s="308"/>
      <c r="AF467" s="308"/>
      <c r="AG467" s="308"/>
      <c r="AH467" s="308"/>
      <c r="AI467" s="308"/>
      <c r="AJ467" s="308"/>
      <c r="AK467" s="308"/>
      <c r="AL467" s="308"/>
      <c r="AM467" s="308"/>
      <c r="AN467" s="308"/>
      <c r="AO467" s="308"/>
      <c r="AP467" s="308"/>
      <c r="AQ467" s="308"/>
      <c r="AR467" s="308"/>
      <c r="AS467" s="308"/>
      <c r="AT467" s="308"/>
      <c r="AU467" s="308"/>
      <c r="AV467" s="399"/>
      <c r="AW467" s="308"/>
      <c r="AX467" s="308"/>
      <c r="AY467" s="308"/>
      <c r="AZ467" s="308"/>
      <c r="BA467" s="308"/>
      <c r="BB467" s="308"/>
      <c r="BC467" s="308"/>
      <c r="BD467" s="308"/>
      <c r="BE467" s="308"/>
      <c r="BF467" s="308"/>
      <c r="BG467" s="308"/>
      <c r="BH467" s="308"/>
      <c r="BI467" s="308"/>
      <c r="BJ467" s="308"/>
      <c r="BK467" s="308"/>
      <c r="BL467" s="308"/>
      <c r="BM467" s="308"/>
      <c r="BN467" s="308"/>
      <c r="BO467" s="308"/>
      <c r="BP467" s="308"/>
      <c r="BQ467" s="308"/>
      <c r="BR467" s="312"/>
      <c r="BS467" s="312"/>
      <c r="BT467" s="312"/>
      <c r="BU467" s="312"/>
      <c r="BV467" s="312"/>
      <c r="BW467" s="316"/>
      <c r="BX467" s="316"/>
      <c r="BY467" s="316"/>
      <c r="BZ467" s="316"/>
      <c r="CA467" s="316"/>
      <c r="CB467" s="316"/>
      <c r="CC467" s="316"/>
      <c r="CD467" s="316"/>
    </row>
    <row r="468" ht="15.75" customHeight="1">
      <c r="A468" s="308"/>
      <c r="B468" s="312"/>
      <c r="C468" s="312"/>
      <c r="D468" s="312"/>
      <c r="E468" s="312"/>
      <c r="F468" s="312"/>
      <c r="G468" s="312"/>
      <c r="H468" s="312"/>
      <c r="I468" s="312"/>
      <c r="J468" s="312"/>
      <c r="K468" s="312"/>
      <c r="L468" s="312"/>
      <c r="M468" s="312"/>
      <c r="N468" s="312"/>
      <c r="O468" s="312"/>
      <c r="P468" s="312"/>
      <c r="Q468" s="312"/>
      <c r="R468" s="312"/>
      <c r="S468" s="312"/>
      <c r="T468" s="308"/>
      <c r="U468" s="308"/>
      <c r="V468" s="308"/>
      <c r="W468" s="308"/>
      <c r="X468" s="308"/>
      <c r="Y468" s="308"/>
      <c r="Z468" s="308"/>
      <c r="AA468" s="308"/>
      <c r="AB468" s="308"/>
      <c r="AC468" s="308"/>
      <c r="AD468" s="308"/>
      <c r="AE468" s="308"/>
      <c r="AF468" s="308"/>
      <c r="AG468" s="308"/>
      <c r="AH468" s="308"/>
      <c r="AI468" s="308"/>
      <c r="AJ468" s="308"/>
      <c r="AK468" s="308"/>
      <c r="AL468" s="308"/>
      <c r="AM468" s="308"/>
      <c r="AN468" s="308"/>
      <c r="AO468" s="308"/>
      <c r="AP468" s="308"/>
      <c r="AQ468" s="308"/>
      <c r="AR468" s="308"/>
      <c r="AS468" s="308"/>
      <c r="AT468" s="308"/>
      <c r="AU468" s="308"/>
      <c r="AV468" s="399"/>
      <c r="AW468" s="308"/>
      <c r="AX468" s="308"/>
      <c r="AY468" s="308"/>
      <c r="AZ468" s="308"/>
      <c r="BA468" s="308"/>
      <c r="BB468" s="308"/>
      <c r="BC468" s="308"/>
      <c r="BD468" s="308"/>
      <c r="BE468" s="308"/>
      <c r="BF468" s="308"/>
      <c r="BG468" s="308"/>
      <c r="BH468" s="308"/>
      <c r="BI468" s="308"/>
      <c r="BJ468" s="308"/>
      <c r="BK468" s="308"/>
      <c r="BL468" s="308"/>
      <c r="BM468" s="308"/>
      <c r="BN468" s="308"/>
      <c r="BO468" s="308"/>
      <c r="BP468" s="308"/>
      <c r="BQ468" s="308"/>
      <c r="BR468" s="312"/>
      <c r="BS468" s="312"/>
      <c r="BT468" s="312"/>
      <c r="BU468" s="312"/>
      <c r="BV468" s="312"/>
      <c r="BW468" s="316"/>
      <c r="BX468" s="316"/>
      <c r="BY468" s="316"/>
      <c r="BZ468" s="316"/>
      <c r="CA468" s="316"/>
      <c r="CB468" s="316"/>
      <c r="CC468" s="316"/>
      <c r="CD468" s="316"/>
    </row>
    <row r="469" ht="15.75" customHeight="1">
      <c r="A469" s="308"/>
      <c r="B469" s="312"/>
      <c r="C469" s="312"/>
      <c r="D469" s="312"/>
      <c r="E469" s="312"/>
      <c r="F469" s="312"/>
      <c r="G469" s="312"/>
      <c r="H469" s="312"/>
      <c r="I469" s="312"/>
      <c r="J469" s="312"/>
      <c r="K469" s="312"/>
      <c r="L469" s="312"/>
      <c r="M469" s="312"/>
      <c r="N469" s="312"/>
      <c r="O469" s="312"/>
      <c r="P469" s="312"/>
      <c r="Q469" s="312"/>
      <c r="R469" s="312"/>
      <c r="S469" s="312"/>
      <c r="T469" s="308"/>
      <c r="U469" s="308"/>
      <c r="V469" s="308"/>
      <c r="W469" s="308"/>
      <c r="X469" s="308"/>
      <c r="Y469" s="308"/>
      <c r="Z469" s="308"/>
      <c r="AA469" s="308"/>
      <c r="AB469" s="308"/>
      <c r="AC469" s="308"/>
      <c r="AD469" s="308"/>
      <c r="AE469" s="308"/>
      <c r="AF469" s="308"/>
      <c r="AG469" s="308"/>
      <c r="AH469" s="308"/>
      <c r="AI469" s="308"/>
      <c r="AJ469" s="308"/>
      <c r="AK469" s="308"/>
      <c r="AL469" s="308"/>
      <c r="AM469" s="308"/>
      <c r="AN469" s="308"/>
      <c r="AO469" s="308"/>
      <c r="AP469" s="308"/>
      <c r="AQ469" s="308"/>
      <c r="AR469" s="308"/>
      <c r="AS469" s="308"/>
      <c r="AT469" s="308"/>
      <c r="AU469" s="308"/>
      <c r="AV469" s="399"/>
      <c r="AW469" s="308"/>
      <c r="AX469" s="308"/>
      <c r="AY469" s="308"/>
      <c r="AZ469" s="308"/>
      <c r="BA469" s="308"/>
      <c r="BB469" s="308"/>
      <c r="BC469" s="308"/>
      <c r="BD469" s="308"/>
      <c r="BE469" s="308"/>
      <c r="BF469" s="308"/>
      <c r="BG469" s="308"/>
      <c r="BH469" s="308"/>
      <c r="BI469" s="308"/>
      <c r="BJ469" s="308"/>
      <c r="BK469" s="308"/>
      <c r="BL469" s="308"/>
      <c r="BM469" s="308"/>
      <c r="BN469" s="308"/>
      <c r="BO469" s="308"/>
      <c r="BP469" s="308"/>
      <c r="BQ469" s="308"/>
      <c r="BR469" s="312"/>
      <c r="BS469" s="312"/>
      <c r="BT469" s="312"/>
      <c r="BU469" s="312"/>
      <c r="BV469" s="312"/>
      <c r="BW469" s="316"/>
      <c r="BX469" s="316"/>
      <c r="BY469" s="316"/>
      <c r="BZ469" s="316"/>
      <c r="CA469" s="316"/>
      <c r="CB469" s="316"/>
      <c r="CC469" s="316"/>
      <c r="CD469" s="316"/>
    </row>
    <row r="470" ht="15.75" customHeight="1">
      <c r="A470" s="308"/>
      <c r="B470" s="312"/>
      <c r="C470" s="312"/>
      <c r="D470" s="312"/>
      <c r="E470" s="312"/>
      <c r="F470" s="312"/>
      <c r="G470" s="312"/>
      <c r="H470" s="312"/>
      <c r="I470" s="312"/>
      <c r="J470" s="312"/>
      <c r="K470" s="312"/>
      <c r="L470" s="312"/>
      <c r="M470" s="312"/>
      <c r="N470" s="312"/>
      <c r="O470" s="312"/>
      <c r="P470" s="312"/>
      <c r="Q470" s="312"/>
      <c r="R470" s="312"/>
      <c r="S470" s="312"/>
      <c r="T470" s="308"/>
      <c r="U470" s="308"/>
      <c r="V470" s="308"/>
      <c r="W470" s="308"/>
      <c r="X470" s="308"/>
      <c r="Y470" s="308"/>
      <c r="Z470" s="308"/>
      <c r="AA470" s="308"/>
      <c r="AB470" s="308"/>
      <c r="AC470" s="308"/>
      <c r="AD470" s="308"/>
      <c r="AE470" s="308"/>
      <c r="AF470" s="308"/>
      <c r="AG470" s="308"/>
      <c r="AH470" s="308"/>
      <c r="AI470" s="308"/>
      <c r="AJ470" s="308"/>
      <c r="AK470" s="308"/>
      <c r="AL470" s="308"/>
      <c r="AM470" s="308"/>
      <c r="AN470" s="308"/>
      <c r="AO470" s="308"/>
      <c r="AP470" s="308"/>
      <c r="AQ470" s="308"/>
      <c r="AR470" s="308"/>
      <c r="AS470" s="308"/>
      <c r="AT470" s="308"/>
      <c r="AU470" s="308"/>
      <c r="AV470" s="399"/>
      <c r="AW470" s="308"/>
      <c r="AX470" s="308"/>
      <c r="AY470" s="308"/>
      <c r="AZ470" s="308"/>
      <c r="BA470" s="308"/>
      <c r="BB470" s="308"/>
      <c r="BC470" s="308"/>
      <c r="BD470" s="308"/>
      <c r="BE470" s="308"/>
      <c r="BF470" s="308"/>
      <c r="BG470" s="308"/>
      <c r="BH470" s="308"/>
      <c r="BI470" s="308"/>
      <c r="BJ470" s="308"/>
      <c r="BK470" s="308"/>
      <c r="BL470" s="308"/>
      <c r="BM470" s="308"/>
      <c r="BN470" s="308"/>
      <c r="BO470" s="308"/>
      <c r="BP470" s="308"/>
      <c r="BQ470" s="308"/>
      <c r="BR470" s="312"/>
      <c r="BS470" s="312"/>
      <c r="BT470" s="312"/>
      <c r="BU470" s="312"/>
      <c r="BV470" s="312"/>
      <c r="BW470" s="316"/>
      <c r="BX470" s="316"/>
      <c r="BY470" s="316"/>
      <c r="BZ470" s="316"/>
      <c r="CA470" s="316"/>
      <c r="CB470" s="316"/>
      <c r="CC470" s="316"/>
      <c r="CD470" s="316"/>
    </row>
    <row r="471" ht="15.75" customHeight="1">
      <c r="A471" s="308"/>
      <c r="B471" s="312"/>
      <c r="C471" s="312"/>
      <c r="D471" s="312"/>
      <c r="E471" s="312"/>
      <c r="F471" s="312"/>
      <c r="G471" s="312"/>
      <c r="H471" s="312"/>
      <c r="I471" s="312"/>
      <c r="J471" s="312"/>
      <c r="K471" s="312"/>
      <c r="L471" s="312"/>
      <c r="M471" s="312"/>
      <c r="N471" s="312"/>
      <c r="O471" s="312"/>
      <c r="P471" s="312"/>
      <c r="Q471" s="312"/>
      <c r="R471" s="312"/>
      <c r="S471" s="312"/>
      <c r="T471" s="308"/>
      <c r="U471" s="308"/>
      <c r="V471" s="308"/>
      <c r="W471" s="308"/>
      <c r="X471" s="308"/>
      <c r="Y471" s="308"/>
      <c r="Z471" s="308"/>
      <c r="AA471" s="308"/>
      <c r="AB471" s="308"/>
      <c r="AC471" s="308"/>
      <c r="AD471" s="308"/>
      <c r="AE471" s="308"/>
      <c r="AF471" s="308"/>
      <c r="AG471" s="308"/>
      <c r="AH471" s="308"/>
      <c r="AI471" s="308"/>
      <c r="AJ471" s="308"/>
      <c r="AK471" s="308"/>
      <c r="AL471" s="308"/>
      <c r="AM471" s="308"/>
      <c r="AN471" s="308"/>
      <c r="AO471" s="308"/>
      <c r="AP471" s="308"/>
      <c r="AQ471" s="308"/>
      <c r="AR471" s="308"/>
      <c r="AS471" s="308"/>
      <c r="AT471" s="308"/>
      <c r="AU471" s="308"/>
      <c r="AV471" s="399"/>
      <c r="AW471" s="308"/>
      <c r="AX471" s="308"/>
      <c r="AY471" s="308"/>
      <c r="AZ471" s="308"/>
      <c r="BA471" s="308"/>
      <c r="BB471" s="308"/>
      <c r="BC471" s="308"/>
      <c r="BD471" s="308"/>
      <c r="BE471" s="308"/>
      <c r="BF471" s="308"/>
      <c r="BG471" s="308"/>
      <c r="BH471" s="308"/>
      <c r="BI471" s="308"/>
      <c r="BJ471" s="308"/>
      <c r="BK471" s="308"/>
      <c r="BL471" s="308"/>
      <c r="BM471" s="308"/>
      <c r="BN471" s="308"/>
      <c r="BO471" s="308"/>
      <c r="BP471" s="308"/>
      <c r="BQ471" s="308"/>
      <c r="BR471" s="312"/>
      <c r="BS471" s="312"/>
      <c r="BT471" s="312"/>
      <c r="BU471" s="312"/>
      <c r="BV471" s="312"/>
      <c r="BW471" s="316"/>
      <c r="BX471" s="316"/>
      <c r="BY471" s="316"/>
      <c r="BZ471" s="316"/>
      <c r="CA471" s="316"/>
      <c r="CB471" s="316"/>
      <c r="CC471" s="316"/>
      <c r="CD471" s="316"/>
    </row>
    <row r="472" ht="15.75" customHeight="1">
      <c r="A472" s="308"/>
      <c r="B472" s="312"/>
      <c r="C472" s="312"/>
      <c r="D472" s="312"/>
      <c r="E472" s="312"/>
      <c r="F472" s="312"/>
      <c r="G472" s="312"/>
      <c r="H472" s="312"/>
      <c r="I472" s="312"/>
      <c r="J472" s="312"/>
      <c r="K472" s="312"/>
      <c r="L472" s="312"/>
      <c r="M472" s="312"/>
      <c r="N472" s="312"/>
      <c r="O472" s="312"/>
      <c r="P472" s="312"/>
      <c r="Q472" s="312"/>
      <c r="R472" s="312"/>
      <c r="S472" s="312"/>
      <c r="T472" s="308"/>
      <c r="U472" s="308"/>
      <c r="V472" s="308"/>
      <c r="W472" s="308"/>
      <c r="X472" s="308"/>
      <c r="Y472" s="308"/>
      <c r="Z472" s="308"/>
      <c r="AA472" s="308"/>
      <c r="AB472" s="308"/>
      <c r="AC472" s="308"/>
      <c r="AD472" s="308"/>
      <c r="AE472" s="308"/>
      <c r="AF472" s="308"/>
      <c r="AG472" s="308"/>
      <c r="AH472" s="308"/>
      <c r="AI472" s="308"/>
      <c r="AJ472" s="308"/>
      <c r="AK472" s="308"/>
      <c r="AL472" s="308"/>
      <c r="AM472" s="308"/>
      <c r="AN472" s="308"/>
      <c r="AO472" s="308"/>
      <c r="AP472" s="308"/>
      <c r="AQ472" s="308"/>
      <c r="AR472" s="308"/>
      <c r="AS472" s="308"/>
      <c r="AT472" s="308"/>
      <c r="AU472" s="308"/>
      <c r="AV472" s="399"/>
      <c r="AW472" s="308"/>
      <c r="AX472" s="308"/>
      <c r="AY472" s="308"/>
      <c r="AZ472" s="308"/>
      <c r="BA472" s="308"/>
      <c r="BB472" s="308"/>
      <c r="BC472" s="308"/>
      <c r="BD472" s="308"/>
      <c r="BE472" s="308"/>
      <c r="BF472" s="308"/>
      <c r="BG472" s="308"/>
      <c r="BH472" s="308"/>
      <c r="BI472" s="308"/>
      <c r="BJ472" s="308"/>
      <c r="BK472" s="308"/>
      <c r="BL472" s="308"/>
      <c r="BM472" s="308"/>
      <c r="BN472" s="308"/>
      <c r="BO472" s="308"/>
      <c r="BP472" s="308"/>
      <c r="BQ472" s="308"/>
      <c r="BR472" s="312"/>
      <c r="BS472" s="312"/>
      <c r="BT472" s="312"/>
      <c r="BU472" s="312"/>
      <c r="BV472" s="312"/>
      <c r="BW472" s="316"/>
      <c r="BX472" s="316"/>
      <c r="BY472" s="316"/>
      <c r="BZ472" s="316"/>
      <c r="CA472" s="316"/>
      <c r="CB472" s="316"/>
      <c r="CC472" s="316"/>
      <c r="CD472" s="316"/>
    </row>
    <row r="473" ht="15.75" customHeight="1">
      <c r="A473" s="308"/>
      <c r="B473" s="312"/>
      <c r="C473" s="312"/>
      <c r="D473" s="312"/>
      <c r="E473" s="312"/>
      <c r="F473" s="312"/>
      <c r="G473" s="312"/>
      <c r="H473" s="312"/>
      <c r="I473" s="312"/>
      <c r="J473" s="312"/>
      <c r="K473" s="312"/>
      <c r="L473" s="312"/>
      <c r="M473" s="312"/>
      <c r="N473" s="312"/>
      <c r="O473" s="312"/>
      <c r="P473" s="312"/>
      <c r="Q473" s="312"/>
      <c r="R473" s="312"/>
      <c r="S473" s="312"/>
      <c r="T473" s="308"/>
      <c r="U473" s="308"/>
      <c r="V473" s="308"/>
      <c r="W473" s="308"/>
      <c r="X473" s="308"/>
      <c r="Y473" s="308"/>
      <c r="Z473" s="308"/>
      <c r="AA473" s="308"/>
      <c r="AB473" s="308"/>
      <c r="AC473" s="308"/>
      <c r="AD473" s="308"/>
      <c r="AE473" s="308"/>
      <c r="AF473" s="308"/>
      <c r="AG473" s="308"/>
      <c r="AH473" s="308"/>
      <c r="AI473" s="308"/>
      <c r="AJ473" s="308"/>
      <c r="AK473" s="308"/>
      <c r="AL473" s="308"/>
      <c r="AM473" s="308"/>
      <c r="AN473" s="308"/>
      <c r="AO473" s="308"/>
      <c r="AP473" s="308"/>
      <c r="AQ473" s="308"/>
      <c r="AR473" s="308"/>
      <c r="AS473" s="308"/>
      <c r="AT473" s="308"/>
      <c r="AU473" s="308"/>
      <c r="AV473" s="399"/>
      <c r="AW473" s="308"/>
      <c r="AX473" s="308"/>
      <c r="AY473" s="308"/>
      <c r="AZ473" s="308"/>
      <c r="BA473" s="308"/>
      <c r="BB473" s="308"/>
      <c r="BC473" s="308"/>
      <c r="BD473" s="308"/>
      <c r="BE473" s="308"/>
      <c r="BF473" s="308"/>
      <c r="BG473" s="308"/>
      <c r="BH473" s="308"/>
      <c r="BI473" s="308"/>
      <c r="BJ473" s="308"/>
      <c r="BK473" s="308"/>
      <c r="BL473" s="308"/>
      <c r="BM473" s="308"/>
      <c r="BN473" s="308"/>
      <c r="BO473" s="308"/>
      <c r="BP473" s="308"/>
      <c r="BQ473" s="308"/>
      <c r="BR473" s="312"/>
      <c r="BS473" s="312"/>
      <c r="BT473" s="312"/>
      <c r="BU473" s="312"/>
      <c r="BV473" s="312"/>
      <c r="BW473" s="316"/>
      <c r="BX473" s="316"/>
      <c r="BY473" s="316"/>
      <c r="BZ473" s="316"/>
      <c r="CA473" s="316"/>
      <c r="CB473" s="316"/>
      <c r="CC473" s="316"/>
      <c r="CD473" s="316"/>
    </row>
    <row r="474" ht="15.75" customHeight="1">
      <c r="A474" s="308"/>
      <c r="B474" s="312"/>
      <c r="C474" s="312"/>
      <c r="D474" s="312"/>
      <c r="E474" s="312"/>
      <c r="F474" s="312"/>
      <c r="G474" s="312"/>
      <c r="H474" s="312"/>
      <c r="I474" s="312"/>
      <c r="J474" s="312"/>
      <c r="K474" s="312"/>
      <c r="L474" s="312"/>
      <c r="M474" s="312"/>
      <c r="N474" s="312"/>
      <c r="O474" s="312"/>
      <c r="P474" s="312"/>
      <c r="Q474" s="312"/>
      <c r="R474" s="312"/>
      <c r="S474" s="312"/>
      <c r="T474" s="308"/>
      <c r="U474" s="308"/>
      <c r="V474" s="308"/>
      <c r="W474" s="308"/>
      <c r="X474" s="308"/>
      <c r="Y474" s="308"/>
      <c r="Z474" s="308"/>
      <c r="AA474" s="308"/>
      <c r="AB474" s="308"/>
      <c r="AC474" s="308"/>
      <c r="AD474" s="308"/>
      <c r="AE474" s="308"/>
      <c r="AF474" s="308"/>
      <c r="AG474" s="308"/>
      <c r="AH474" s="308"/>
      <c r="AI474" s="308"/>
      <c r="AJ474" s="308"/>
      <c r="AK474" s="308"/>
      <c r="AL474" s="308"/>
      <c r="AM474" s="308"/>
      <c r="AN474" s="308"/>
      <c r="AO474" s="308"/>
      <c r="AP474" s="308"/>
      <c r="AQ474" s="308"/>
      <c r="AR474" s="308"/>
      <c r="AS474" s="308"/>
      <c r="AT474" s="308"/>
      <c r="AU474" s="308"/>
      <c r="AV474" s="399"/>
      <c r="AW474" s="308"/>
      <c r="AX474" s="308"/>
      <c r="AY474" s="308"/>
      <c r="AZ474" s="308"/>
      <c r="BA474" s="308"/>
      <c r="BB474" s="308"/>
      <c r="BC474" s="308"/>
      <c r="BD474" s="308"/>
      <c r="BE474" s="308"/>
      <c r="BF474" s="308"/>
      <c r="BG474" s="308"/>
      <c r="BH474" s="308"/>
      <c r="BI474" s="308"/>
      <c r="BJ474" s="308"/>
      <c r="BK474" s="308"/>
      <c r="BL474" s="308"/>
      <c r="BM474" s="308"/>
      <c r="BN474" s="308"/>
      <c r="BO474" s="308"/>
      <c r="BP474" s="308"/>
      <c r="BQ474" s="308"/>
      <c r="BR474" s="312"/>
      <c r="BS474" s="312"/>
      <c r="BT474" s="312"/>
      <c r="BU474" s="312"/>
      <c r="BV474" s="312"/>
      <c r="BW474" s="316"/>
      <c r="BX474" s="316"/>
      <c r="BY474" s="316"/>
      <c r="BZ474" s="316"/>
      <c r="CA474" s="316"/>
      <c r="CB474" s="316"/>
      <c r="CC474" s="316"/>
      <c r="CD474" s="316"/>
    </row>
    <row r="475" ht="15.75" customHeight="1">
      <c r="A475" s="308"/>
      <c r="B475" s="312"/>
      <c r="C475" s="312"/>
      <c r="D475" s="312"/>
      <c r="E475" s="312"/>
      <c r="F475" s="312"/>
      <c r="G475" s="312"/>
      <c r="H475" s="312"/>
      <c r="I475" s="312"/>
      <c r="J475" s="312"/>
      <c r="K475" s="312"/>
      <c r="L475" s="312"/>
      <c r="M475" s="312"/>
      <c r="N475" s="312"/>
      <c r="O475" s="312"/>
      <c r="P475" s="312"/>
      <c r="Q475" s="312"/>
      <c r="R475" s="312"/>
      <c r="S475" s="312"/>
      <c r="T475" s="308"/>
      <c r="U475" s="308"/>
      <c r="V475" s="308"/>
      <c r="W475" s="308"/>
      <c r="X475" s="308"/>
      <c r="Y475" s="308"/>
      <c r="Z475" s="308"/>
      <c r="AA475" s="308"/>
      <c r="AB475" s="308"/>
      <c r="AC475" s="308"/>
      <c r="AD475" s="308"/>
      <c r="AE475" s="308"/>
      <c r="AF475" s="308"/>
      <c r="AG475" s="308"/>
      <c r="AH475" s="308"/>
      <c r="AI475" s="308"/>
      <c r="AJ475" s="308"/>
      <c r="AK475" s="308"/>
      <c r="AL475" s="308"/>
      <c r="AM475" s="308"/>
      <c r="AN475" s="308"/>
      <c r="AO475" s="308"/>
      <c r="AP475" s="308"/>
      <c r="AQ475" s="308"/>
      <c r="AR475" s="308"/>
      <c r="AS475" s="308"/>
      <c r="AT475" s="308"/>
      <c r="AU475" s="308"/>
      <c r="AV475" s="399"/>
      <c r="AW475" s="308"/>
      <c r="AX475" s="308"/>
      <c r="AY475" s="308"/>
      <c r="AZ475" s="308"/>
      <c r="BA475" s="308"/>
      <c r="BB475" s="308"/>
      <c r="BC475" s="308"/>
      <c r="BD475" s="308"/>
      <c r="BE475" s="308"/>
      <c r="BF475" s="308"/>
      <c r="BG475" s="308"/>
      <c r="BH475" s="308"/>
      <c r="BI475" s="308"/>
      <c r="BJ475" s="308"/>
      <c r="BK475" s="308"/>
      <c r="BL475" s="308"/>
      <c r="BM475" s="308"/>
      <c r="BN475" s="308"/>
      <c r="BO475" s="308"/>
      <c r="BP475" s="308"/>
      <c r="BQ475" s="308"/>
      <c r="BR475" s="312"/>
      <c r="BS475" s="312"/>
      <c r="BT475" s="312"/>
      <c r="BU475" s="312"/>
      <c r="BV475" s="312"/>
      <c r="BW475" s="316"/>
      <c r="BX475" s="316"/>
      <c r="BY475" s="316"/>
      <c r="BZ475" s="316"/>
      <c r="CA475" s="316"/>
      <c r="CB475" s="316"/>
      <c r="CC475" s="316"/>
      <c r="CD475" s="316"/>
    </row>
    <row r="476" ht="15.75" customHeight="1">
      <c r="A476" s="308"/>
      <c r="B476" s="312"/>
      <c r="C476" s="312"/>
      <c r="D476" s="312"/>
      <c r="E476" s="312"/>
      <c r="F476" s="312"/>
      <c r="G476" s="312"/>
      <c r="H476" s="312"/>
      <c r="I476" s="312"/>
      <c r="J476" s="312"/>
      <c r="K476" s="312"/>
      <c r="L476" s="312"/>
      <c r="M476" s="312"/>
      <c r="N476" s="312"/>
      <c r="O476" s="312"/>
      <c r="P476" s="312"/>
      <c r="Q476" s="312"/>
      <c r="R476" s="312"/>
      <c r="S476" s="312"/>
      <c r="T476" s="308"/>
      <c r="U476" s="308"/>
      <c r="V476" s="308"/>
      <c r="W476" s="308"/>
      <c r="X476" s="308"/>
      <c r="Y476" s="308"/>
      <c r="Z476" s="308"/>
      <c r="AA476" s="308"/>
      <c r="AB476" s="308"/>
      <c r="AC476" s="308"/>
      <c r="AD476" s="308"/>
      <c r="AE476" s="308"/>
      <c r="AF476" s="308"/>
      <c r="AG476" s="308"/>
      <c r="AH476" s="308"/>
      <c r="AI476" s="308"/>
      <c r="AJ476" s="308"/>
      <c r="AK476" s="308"/>
      <c r="AL476" s="308"/>
      <c r="AM476" s="308"/>
      <c r="AN476" s="308"/>
      <c r="AO476" s="308"/>
      <c r="AP476" s="308"/>
      <c r="AQ476" s="308"/>
      <c r="AR476" s="308"/>
      <c r="AS476" s="308"/>
      <c r="AT476" s="308"/>
      <c r="AU476" s="308"/>
      <c r="AV476" s="399"/>
      <c r="AW476" s="308"/>
      <c r="AX476" s="308"/>
      <c r="AY476" s="308"/>
      <c r="AZ476" s="308"/>
      <c r="BA476" s="308"/>
      <c r="BB476" s="308"/>
      <c r="BC476" s="308"/>
      <c r="BD476" s="308"/>
      <c r="BE476" s="308"/>
      <c r="BF476" s="308"/>
      <c r="BG476" s="308"/>
      <c r="BH476" s="308"/>
      <c r="BI476" s="308"/>
      <c r="BJ476" s="308"/>
      <c r="BK476" s="308"/>
      <c r="BL476" s="308"/>
      <c r="BM476" s="308"/>
      <c r="BN476" s="308"/>
      <c r="BO476" s="308"/>
      <c r="BP476" s="308"/>
      <c r="BQ476" s="308"/>
      <c r="BR476" s="312"/>
      <c r="BS476" s="312"/>
      <c r="BT476" s="312"/>
      <c r="BU476" s="312"/>
      <c r="BV476" s="312"/>
      <c r="BW476" s="316"/>
      <c r="BX476" s="316"/>
      <c r="BY476" s="316"/>
      <c r="BZ476" s="316"/>
      <c r="CA476" s="316"/>
      <c r="CB476" s="316"/>
      <c r="CC476" s="316"/>
      <c r="CD476" s="316"/>
    </row>
    <row r="477" ht="15.75" customHeight="1">
      <c r="A477" s="308"/>
      <c r="B477" s="312"/>
      <c r="C477" s="312"/>
      <c r="D477" s="312"/>
      <c r="E477" s="312"/>
      <c r="F477" s="312"/>
      <c r="G477" s="312"/>
      <c r="H477" s="312"/>
      <c r="I477" s="312"/>
      <c r="J477" s="312"/>
      <c r="K477" s="312"/>
      <c r="L477" s="312"/>
      <c r="M477" s="312"/>
      <c r="N477" s="312"/>
      <c r="O477" s="312"/>
      <c r="P477" s="312"/>
      <c r="Q477" s="312"/>
      <c r="R477" s="312"/>
      <c r="S477" s="312"/>
      <c r="T477" s="308"/>
      <c r="U477" s="308"/>
      <c r="V477" s="308"/>
      <c r="W477" s="308"/>
      <c r="X477" s="308"/>
      <c r="Y477" s="308"/>
      <c r="Z477" s="308"/>
      <c r="AA477" s="308"/>
      <c r="AB477" s="308"/>
      <c r="AC477" s="308"/>
      <c r="AD477" s="308"/>
      <c r="AE477" s="308"/>
      <c r="AF477" s="308"/>
      <c r="AG477" s="308"/>
      <c r="AH477" s="308"/>
      <c r="AI477" s="308"/>
      <c r="AJ477" s="308"/>
      <c r="AK477" s="308"/>
      <c r="AL477" s="308"/>
      <c r="AM477" s="308"/>
      <c r="AN477" s="308"/>
      <c r="AO477" s="308"/>
      <c r="AP477" s="308"/>
      <c r="AQ477" s="308"/>
      <c r="AR477" s="308"/>
      <c r="AS477" s="308"/>
      <c r="AT477" s="308"/>
      <c r="AU477" s="308"/>
      <c r="AV477" s="399"/>
      <c r="AW477" s="308"/>
      <c r="AX477" s="308"/>
      <c r="AY477" s="308"/>
      <c r="AZ477" s="308"/>
      <c r="BA477" s="308"/>
      <c r="BB477" s="308"/>
      <c r="BC477" s="308"/>
      <c r="BD477" s="308"/>
      <c r="BE477" s="308"/>
      <c r="BF477" s="308"/>
      <c r="BG477" s="308"/>
      <c r="BH477" s="308"/>
      <c r="BI477" s="308"/>
      <c r="BJ477" s="308"/>
      <c r="BK477" s="308"/>
      <c r="BL477" s="308"/>
      <c r="BM477" s="308"/>
      <c r="BN477" s="308"/>
      <c r="BO477" s="308"/>
      <c r="BP477" s="308"/>
      <c r="BQ477" s="308"/>
      <c r="BR477" s="312"/>
      <c r="BS477" s="312"/>
      <c r="BT477" s="312"/>
      <c r="BU477" s="312"/>
      <c r="BV477" s="312"/>
      <c r="BW477" s="316"/>
      <c r="BX477" s="316"/>
      <c r="BY477" s="316"/>
      <c r="BZ477" s="316"/>
      <c r="CA477" s="316"/>
      <c r="CB477" s="316"/>
      <c r="CC477" s="316"/>
      <c r="CD477" s="316"/>
    </row>
    <row r="478" ht="15.75" customHeight="1">
      <c r="A478" s="308"/>
      <c r="B478" s="312"/>
      <c r="C478" s="312"/>
      <c r="D478" s="312"/>
      <c r="E478" s="312"/>
      <c r="F478" s="312"/>
      <c r="G478" s="312"/>
      <c r="H478" s="312"/>
      <c r="I478" s="312"/>
      <c r="J478" s="312"/>
      <c r="K478" s="312"/>
      <c r="L478" s="312"/>
      <c r="M478" s="312"/>
      <c r="N478" s="312"/>
      <c r="O478" s="312"/>
      <c r="P478" s="312"/>
      <c r="Q478" s="312"/>
      <c r="R478" s="312"/>
      <c r="S478" s="312"/>
      <c r="T478" s="308"/>
      <c r="U478" s="308"/>
      <c r="V478" s="308"/>
      <c r="W478" s="308"/>
      <c r="X478" s="308"/>
      <c r="Y478" s="308"/>
      <c r="Z478" s="308"/>
      <c r="AA478" s="308"/>
      <c r="AB478" s="308"/>
      <c r="AC478" s="308"/>
      <c r="AD478" s="308"/>
      <c r="AE478" s="308"/>
      <c r="AF478" s="308"/>
      <c r="AG478" s="308"/>
      <c r="AH478" s="308"/>
      <c r="AI478" s="308"/>
      <c r="AJ478" s="308"/>
      <c r="AK478" s="308"/>
      <c r="AL478" s="308"/>
      <c r="AM478" s="308"/>
      <c r="AN478" s="308"/>
      <c r="AO478" s="308"/>
      <c r="AP478" s="308"/>
      <c r="AQ478" s="308"/>
      <c r="AR478" s="308"/>
      <c r="AS478" s="308"/>
      <c r="AT478" s="308"/>
      <c r="AU478" s="308"/>
      <c r="AV478" s="399"/>
      <c r="AW478" s="308"/>
      <c r="AX478" s="308"/>
      <c r="AY478" s="308"/>
      <c r="AZ478" s="308"/>
      <c r="BA478" s="308"/>
      <c r="BB478" s="308"/>
      <c r="BC478" s="308"/>
      <c r="BD478" s="308"/>
      <c r="BE478" s="308"/>
      <c r="BF478" s="308"/>
      <c r="BG478" s="308"/>
      <c r="BH478" s="308"/>
      <c r="BI478" s="308"/>
      <c r="BJ478" s="308"/>
      <c r="BK478" s="308"/>
      <c r="BL478" s="308"/>
      <c r="BM478" s="308"/>
      <c r="BN478" s="308"/>
      <c r="BO478" s="308"/>
      <c r="BP478" s="308"/>
      <c r="BQ478" s="308"/>
      <c r="BR478" s="312"/>
      <c r="BS478" s="312"/>
      <c r="BT478" s="312"/>
      <c r="BU478" s="312"/>
      <c r="BV478" s="312"/>
      <c r="BW478" s="316"/>
      <c r="BX478" s="316"/>
      <c r="BY478" s="316"/>
      <c r="BZ478" s="316"/>
      <c r="CA478" s="316"/>
      <c r="CB478" s="316"/>
      <c r="CC478" s="316"/>
      <c r="CD478" s="316"/>
    </row>
    <row r="479" ht="15.75" customHeight="1">
      <c r="A479" s="308"/>
      <c r="B479" s="312"/>
      <c r="C479" s="312"/>
      <c r="D479" s="312"/>
      <c r="E479" s="312"/>
      <c r="F479" s="312"/>
      <c r="G479" s="312"/>
      <c r="H479" s="312"/>
      <c r="I479" s="312"/>
      <c r="J479" s="312"/>
      <c r="K479" s="312"/>
      <c r="L479" s="312"/>
      <c r="M479" s="312"/>
      <c r="N479" s="312"/>
      <c r="O479" s="312"/>
      <c r="P479" s="312"/>
      <c r="Q479" s="312"/>
      <c r="R479" s="312"/>
      <c r="S479" s="312"/>
      <c r="T479" s="308"/>
      <c r="U479" s="308"/>
      <c r="V479" s="308"/>
      <c r="W479" s="308"/>
      <c r="X479" s="308"/>
      <c r="Y479" s="308"/>
      <c r="Z479" s="308"/>
      <c r="AA479" s="308"/>
      <c r="AB479" s="308"/>
      <c r="AC479" s="308"/>
      <c r="AD479" s="308"/>
      <c r="AE479" s="308"/>
      <c r="AF479" s="308"/>
      <c r="AG479" s="308"/>
      <c r="AH479" s="308"/>
      <c r="AI479" s="308"/>
      <c r="AJ479" s="308"/>
      <c r="AK479" s="308"/>
      <c r="AL479" s="308"/>
      <c r="AM479" s="308"/>
      <c r="AN479" s="308"/>
      <c r="AO479" s="308"/>
      <c r="AP479" s="308"/>
      <c r="AQ479" s="308"/>
      <c r="AR479" s="308"/>
      <c r="AS479" s="308"/>
      <c r="AT479" s="308"/>
      <c r="AU479" s="308"/>
      <c r="AV479" s="399"/>
      <c r="AW479" s="308"/>
      <c r="AX479" s="308"/>
      <c r="AY479" s="308"/>
      <c r="AZ479" s="308"/>
      <c r="BA479" s="308"/>
      <c r="BB479" s="308"/>
      <c r="BC479" s="308"/>
      <c r="BD479" s="308"/>
      <c r="BE479" s="308"/>
      <c r="BF479" s="308"/>
      <c r="BG479" s="308"/>
      <c r="BH479" s="308"/>
      <c r="BI479" s="308"/>
      <c r="BJ479" s="308"/>
      <c r="BK479" s="308"/>
      <c r="BL479" s="308"/>
      <c r="BM479" s="308"/>
      <c r="BN479" s="308"/>
      <c r="BO479" s="308"/>
      <c r="BP479" s="308"/>
      <c r="BQ479" s="308"/>
      <c r="BR479" s="312"/>
      <c r="BS479" s="312"/>
      <c r="BT479" s="312"/>
      <c r="BU479" s="312"/>
      <c r="BV479" s="312"/>
      <c r="BW479" s="316"/>
      <c r="BX479" s="316"/>
      <c r="BY479" s="316"/>
      <c r="BZ479" s="316"/>
      <c r="CA479" s="316"/>
      <c r="CB479" s="316"/>
      <c r="CC479" s="316"/>
      <c r="CD479" s="316"/>
    </row>
    <row r="480" ht="15.75" customHeight="1">
      <c r="A480" s="308"/>
      <c r="B480" s="312"/>
      <c r="C480" s="312"/>
      <c r="D480" s="312"/>
      <c r="E480" s="312"/>
      <c r="F480" s="312"/>
      <c r="G480" s="312"/>
      <c r="H480" s="312"/>
      <c r="I480" s="312"/>
      <c r="J480" s="312"/>
      <c r="K480" s="312"/>
      <c r="L480" s="312"/>
      <c r="M480" s="312"/>
      <c r="N480" s="312"/>
      <c r="O480" s="312"/>
      <c r="P480" s="312"/>
      <c r="Q480" s="312"/>
      <c r="R480" s="312"/>
      <c r="S480" s="312"/>
      <c r="T480" s="308"/>
      <c r="U480" s="308"/>
      <c r="V480" s="308"/>
      <c r="W480" s="308"/>
      <c r="X480" s="308"/>
      <c r="Y480" s="308"/>
      <c r="Z480" s="308"/>
      <c r="AA480" s="308"/>
      <c r="AB480" s="308"/>
      <c r="AC480" s="308"/>
      <c r="AD480" s="308"/>
      <c r="AE480" s="308"/>
      <c r="AF480" s="308"/>
      <c r="AG480" s="308"/>
      <c r="AH480" s="308"/>
      <c r="AI480" s="308"/>
      <c r="AJ480" s="308"/>
      <c r="AK480" s="308"/>
      <c r="AL480" s="308"/>
      <c r="AM480" s="308"/>
      <c r="AN480" s="308"/>
      <c r="AO480" s="308"/>
      <c r="AP480" s="308"/>
      <c r="AQ480" s="308"/>
      <c r="AR480" s="308"/>
      <c r="AS480" s="308"/>
      <c r="AT480" s="308"/>
      <c r="AU480" s="308"/>
      <c r="AV480" s="399"/>
      <c r="AW480" s="308"/>
      <c r="AX480" s="308"/>
      <c r="AY480" s="308"/>
      <c r="AZ480" s="308"/>
      <c r="BA480" s="308"/>
      <c r="BB480" s="308"/>
      <c r="BC480" s="308"/>
      <c r="BD480" s="308"/>
      <c r="BE480" s="308"/>
      <c r="BF480" s="308"/>
      <c r="BG480" s="308"/>
      <c r="BH480" s="308"/>
      <c r="BI480" s="308"/>
      <c r="BJ480" s="308"/>
      <c r="BK480" s="308"/>
      <c r="BL480" s="308"/>
      <c r="BM480" s="308"/>
      <c r="BN480" s="308"/>
      <c r="BO480" s="308"/>
      <c r="BP480" s="308"/>
      <c r="BQ480" s="308"/>
      <c r="BR480" s="312"/>
      <c r="BS480" s="312"/>
      <c r="BT480" s="312"/>
      <c r="BU480" s="312"/>
      <c r="BV480" s="312"/>
      <c r="BW480" s="316"/>
      <c r="BX480" s="316"/>
      <c r="BY480" s="316"/>
      <c r="BZ480" s="316"/>
      <c r="CA480" s="316"/>
      <c r="CB480" s="316"/>
      <c r="CC480" s="316"/>
      <c r="CD480" s="316"/>
    </row>
    <row r="481" ht="15.75" customHeight="1">
      <c r="A481" s="308"/>
      <c r="B481" s="312"/>
      <c r="C481" s="312"/>
      <c r="D481" s="312"/>
      <c r="E481" s="312"/>
      <c r="F481" s="312"/>
      <c r="G481" s="312"/>
      <c r="H481" s="312"/>
      <c r="I481" s="312"/>
      <c r="J481" s="312"/>
      <c r="K481" s="312"/>
      <c r="L481" s="312"/>
      <c r="M481" s="312"/>
      <c r="N481" s="312"/>
      <c r="O481" s="312"/>
      <c r="P481" s="312"/>
      <c r="Q481" s="312"/>
      <c r="R481" s="312"/>
      <c r="S481" s="312"/>
      <c r="T481" s="308"/>
      <c r="U481" s="308"/>
      <c r="V481" s="308"/>
      <c r="W481" s="308"/>
      <c r="X481" s="308"/>
      <c r="Y481" s="308"/>
      <c r="Z481" s="308"/>
      <c r="AA481" s="308"/>
      <c r="AB481" s="308"/>
      <c r="AC481" s="308"/>
      <c r="AD481" s="308"/>
      <c r="AE481" s="308"/>
      <c r="AF481" s="308"/>
      <c r="AG481" s="308"/>
      <c r="AH481" s="308"/>
      <c r="AI481" s="308"/>
      <c r="AJ481" s="308"/>
      <c r="AK481" s="308"/>
      <c r="AL481" s="308"/>
      <c r="AM481" s="308"/>
      <c r="AN481" s="308"/>
      <c r="AO481" s="308"/>
      <c r="AP481" s="308"/>
      <c r="AQ481" s="308"/>
      <c r="AR481" s="308"/>
      <c r="AS481" s="308"/>
      <c r="AT481" s="308"/>
      <c r="AU481" s="308"/>
      <c r="AV481" s="399"/>
      <c r="AW481" s="308"/>
      <c r="AX481" s="308"/>
      <c r="AY481" s="308"/>
      <c r="AZ481" s="308"/>
      <c r="BA481" s="308"/>
      <c r="BB481" s="308"/>
      <c r="BC481" s="308"/>
      <c r="BD481" s="308"/>
      <c r="BE481" s="308"/>
      <c r="BF481" s="308"/>
      <c r="BG481" s="308"/>
      <c r="BH481" s="308"/>
      <c r="BI481" s="308"/>
      <c r="BJ481" s="308"/>
      <c r="BK481" s="308"/>
      <c r="BL481" s="308"/>
      <c r="BM481" s="308"/>
      <c r="BN481" s="308"/>
      <c r="BO481" s="308"/>
      <c r="BP481" s="308"/>
      <c r="BQ481" s="308"/>
      <c r="BR481" s="312"/>
      <c r="BS481" s="312"/>
      <c r="BT481" s="312"/>
      <c r="BU481" s="312"/>
      <c r="BV481" s="312"/>
      <c r="BW481" s="316"/>
      <c r="BX481" s="316"/>
      <c r="BY481" s="316"/>
      <c r="BZ481" s="316"/>
      <c r="CA481" s="316"/>
      <c r="CB481" s="316"/>
      <c r="CC481" s="316"/>
      <c r="CD481" s="316"/>
    </row>
    <row r="482" ht="15.75" customHeight="1">
      <c r="A482" s="308"/>
      <c r="B482" s="312"/>
      <c r="C482" s="312"/>
      <c r="D482" s="312"/>
      <c r="E482" s="312"/>
      <c r="F482" s="312"/>
      <c r="G482" s="312"/>
      <c r="H482" s="312"/>
      <c r="I482" s="312"/>
      <c r="J482" s="312"/>
      <c r="K482" s="312"/>
      <c r="L482" s="312"/>
      <c r="M482" s="312"/>
      <c r="N482" s="312"/>
      <c r="O482" s="312"/>
      <c r="P482" s="312"/>
      <c r="Q482" s="312"/>
      <c r="R482" s="312"/>
      <c r="S482" s="312"/>
      <c r="T482" s="308"/>
      <c r="U482" s="308"/>
      <c r="V482" s="308"/>
      <c r="W482" s="308"/>
      <c r="X482" s="308"/>
      <c r="Y482" s="308"/>
      <c r="Z482" s="308"/>
      <c r="AA482" s="308"/>
      <c r="AB482" s="308"/>
      <c r="AC482" s="399"/>
      <c r="AD482" s="308"/>
      <c r="AE482" s="308"/>
      <c r="AF482" s="308"/>
      <c r="AG482" s="308"/>
      <c r="AH482" s="308"/>
      <c r="AI482" s="308"/>
      <c r="AJ482" s="308"/>
      <c r="AK482" s="308"/>
      <c r="AL482" s="308"/>
      <c r="AM482" s="308"/>
      <c r="AN482" s="308"/>
      <c r="AO482" s="308"/>
      <c r="AP482" s="308"/>
      <c r="AQ482" s="308"/>
      <c r="AR482" s="308"/>
      <c r="AS482" s="308"/>
      <c r="AT482" s="308"/>
      <c r="AU482" s="308"/>
      <c r="AV482" s="308"/>
      <c r="AW482" s="308"/>
      <c r="AX482" s="308"/>
      <c r="AY482" s="308"/>
      <c r="AZ482" s="308"/>
      <c r="BA482" s="308"/>
      <c r="BB482" s="308"/>
      <c r="BC482" s="308"/>
      <c r="BD482" s="308"/>
      <c r="BE482" s="308"/>
      <c r="BF482" s="308"/>
      <c r="BG482" s="308"/>
      <c r="BH482" s="308"/>
      <c r="BI482" s="308"/>
      <c r="BJ482" s="308"/>
      <c r="BK482" s="308"/>
      <c r="BL482" s="308"/>
      <c r="BM482" s="308"/>
      <c r="BN482" s="308"/>
      <c r="BO482" s="308"/>
      <c r="BP482" s="308"/>
      <c r="BQ482" s="308"/>
      <c r="BR482" s="316"/>
      <c r="BS482" s="316"/>
      <c r="BT482" s="316"/>
      <c r="BU482" s="316"/>
      <c r="BV482" s="316"/>
      <c r="BW482" s="316"/>
      <c r="BX482" s="316"/>
      <c r="BY482" s="316"/>
      <c r="BZ482" s="316"/>
      <c r="CA482" s="316"/>
      <c r="CB482" s="316"/>
      <c r="CC482" s="316"/>
      <c r="CD482" s="316"/>
    </row>
    <row r="483" ht="15.75" customHeight="1">
      <c r="A483" s="308"/>
      <c r="B483" s="312"/>
      <c r="C483" s="312"/>
      <c r="D483" s="312"/>
      <c r="E483" s="312"/>
      <c r="F483" s="312"/>
      <c r="G483" s="312"/>
      <c r="H483" s="312"/>
      <c r="I483" s="312"/>
      <c r="J483" s="312"/>
      <c r="K483" s="312"/>
      <c r="L483" s="312"/>
      <c r="M483" s="312"/>
      <c r="N483" s="312"/>
      <c r="O483" s="312"/>
      <c r="P483" s="312"/>
      <c r="Q483" s="312"/>
      <c r="R483" s="312"/>
      <c r="S483" s="312"/>
      <c r="T483" s="308"/>
      <c r="U483" s="308"/>
      <c r="V483" s="308"/>
      <c r="W483" s="308"/>
      <c r="X483" s="308"/>
      <c r="Y483" s="308"/>
      <c r="Z483" s="308"/>
      <c r="AA483" s="308"/>
      <c r="AB483" s="308"/>
      <c r="AC483" s="399"/>
      <c r="AD483" s="308"/>
      <c r="AE483" s="308"/>
      <c r="AF483" s="308"/>
      <c r="AG483" s="308"/>
      <c r="AH483" s="308"/>
      <c r="AI483" s="308"/>
      <c r="AJ483" s="308"/>
      <c r="AK483" s="308"/>
      <c r="AL483" s="308"/>
      <c r="AM483" s="308"/>
      <c r="AN483" s="308"/>
      <c r="AO483" s="308"/>
      <c r="AP483" s="308"/>
      <c r="AQ483" s="308"/>
      <c r="AR483" s="308"/>
      <c r="AS483" s="308"/>
      <c r="AT483" s="308"/>
      <c r="AU483" s="308"/>
      <c r="AV483" s="308"/>
      <c r="AW483" s="308"/>
      <c r="AX483" s="308"/>
      <c r="AY483" s="308"/>
      <c r="AZ483" s="308"/>
      <c r="BA483" s="308"/>
      <c r="BB483" s="308"/>
      <c r="BC483" s="308"/>
      <c r="BD483" s="308"/>
      <c r="BE483" s="308"/>
      <c r="BF483" s="308"/>
      <c r="BG483" s="308"/>
      <c r="BH483" s="308"/>
      <c r="BI483" s="308"/>
      <c r="BJ483" s="308"/>
      <c r="BK483" s="308"/>
      <c r="BL483" s="308"/>
      <c r="BM483" s="308"/>
      <c r="BN483" s="308"/>
      <c r="BO483" s="308"/>
      <c r="BP483" s="308"/>
      <c r="BQ483" s="308"/>
      <c r="BR483" s="316"/>
      <c r="BS483" s="316"/>
      <c r="BT483" s="316"/>
      <c r="BU483" s="316"/>
      <c r="BV483" s="316"/>
      <c r="BW483" s="316"/>
      <c r="BX483" s="316"/>
      <c r="BY483" s="316"/>
      <c r="BZ483" s="316"/>
      <c r="CA483" s="316"/>
      <c r="CB483" s="316"/>
      <c r="CC483" s="316"/>
      <c r="CD483" s="316"/>
    </row>
    <row r="484" ht="15.75" customHeight="1">
      <c r="A484" s="308"/>
      <c r="B484" s="312"/>
      <c r="C484" s="312"/>
      <c r="D484" s="312"/>
      <c r="E484" s="312"/>
      <c r="F484" s="312"/>
      <c r="G484" s="312"/>
      <c r="H484" s="312"/>
      <c r="I484" s="312"/>
      <c r="J484" s="312"/>
      <c r="K484" s="312"/>
      <c r="L484" s="312"/>
      <c r="M484" s="312"/>
      <c r="N484" s="312"/>
      <c r="O484" s="312"/>
      <c r="P484" s="312"/>
      <c r="Q484" s="312"/>
      <c r="R484" s="312"/>
      <c r="S484" s="312"/>
      <c r="T484" s="308"/>
      <c r="U484" s="308"/>
      <c r="V484" s="308"/>
      <c r="W484" s="308"/>
      <c r="X484" s="308"/>
      <c r="Y484" s="308"/>
      <c r="Z484" s="308"/>
      <c r="AA484" s="308"/>
      <c r="AB484" s="308"/>
      <c r="AC484" s="399"/>
      <c r="AD484" s="308"/>
      <c r="AE484" s="308"/>
      <c r="AF484" s="308"/>
      <c r="AG484" s="308"/>
      <c r="AH484" s="308"/>
      <c r="AI484" s="308"/>
      <c r="AJ484" s="308"/>
      <c r="AK484" s="308"/>
      <c r="AL484" s="308"/>
      <c r="AM484" s="308"/>
      <c r="AN484" s="308"/>
      <c r="AO484" s="308"/>
      <c r="AP484" s="308"/>
      <c r="AQ484" s="308"/>
      <c r="AR484" s="308"/>
      <c r="AS484" s="308"/>
      <c r="AT484" s="308"/>
      <c r="AU484" s="308"/>
      <c r="AV484" s="308"/>
      <c r="AW484" s="308"/>
      <c r="AX484" s="308"/>
      <c r="AY484" s="308"/>
      <c r="AZ484" s="308"/>
      <c r="BA484" s="308"/>
      <c r="BB484" s="308"/>
      <c r="BC484" s="308"/>
      <c r="BD484" s="308"/>
      <c r="BE484" s="308"/>
      <c r="BF484" s="308"/>
      <c r="BG484" s="308"/>
      <c r="BH484" s="308"/>
      <c r="BI484" s="308"/>
      <c r="BJ484" s="308"/>
      <c r="BK484" s="308"/>
      <c r="BL484" s="308"/>
      <c r="BM484" s="308"/>
      <c r="BN484" s="308"/>
      <c r="BO484" s="308"/>
      <c r="BP484" s="308"/>
      <c r="BQ484" s="308"/>
      <c r="BR484" s="316"/>
      <c r="BS484" s="316"/>
      <c r="BT484" s="316"/>
      <c r="BU484" s="316"/>
      <c r="BV484" s="316"/>
      <c r="BW484" s="316"/>
      <c r="BX484" s="316"/>
      <c r="BY484" s="316"/>
      <c r="BZ484" s="316"/>
      <c r="CA484" s="316"/>
      <c r="CB484" s="316"/>
      <c r="CC484" s="316"/>
      <c r="CD484" s="316"/>
    </row>
    <row r="485" ht="15.75" customHeight="1">
      <c r="A485" s="308"/>
      <c r="B485" s="312"/>
      <c r="C485" s="312"/>
      <c r="D485" s="312"/>
      <c r="E485" s="312"/>
      <c r="F485" s="312"/>
      <c r="G485" s="312"/>
      <c r="H485" s="312"/>
      <c r="I485" s="312"/>
      <c r="J485" s="312"/>
      <c r="K485" s="312"/>
      <c r="L485" s="312"/>
      <c r="M485" s="312"/>
      <c r="N485" s="312"/>
      <c r="O485" s="312"/>
      <c r="P485" s="312"/>
      <c r="Q485" s="312"/>
      <c r="R485" s="312"/>
      <c r="S485" s="312"/>
      <c r="T485" s="308"/>
      <c r="U485" s="308"/>
      <c r="V485" s="308"/>
      <c r="W485" s="308"/>
      <c r="X485" s="308"/>
      <c r="Y485" s="308"/>
      <c r="Z485" s="308"/>
      <c r="AA485" s="308"/>
      <c r="AB485" s="308"/>
      <c r="AC485" s="399"/>
      <c r="AD485" s="308"/>
      <c r="AE485" s="308"/>
      <c r="AF485" s="308"/>
      <c r="AG485" s="308"/>
      <c r="AH485" s="308"/>
      <c r="AI485" s="308"/>
      <c r="AJ485" s="308"/>
      <c r="AK485" s="308"/>
      <c r="AL485" s="308"/>
      <c r="AM485" s="308"/>
      <c r="AN485" s="308"/>
      <c r="AO485" s="308"/>
      <c r="AP485" s="308"/>
      <c r="AQ485" s="308"/>
      <c r="AR485" s="308"/>
      <c r="AS485" s="308"/>
      <c r="AT485" s="308"/>
      <c r="AU485" s="308"/>
      <c r="AV485" s="308"/>
      <c r="AW485" s="308"/>
      <c r="AX485" s="308"/>
      <c r="AY485" s="308"/>
      <c r="AZ485" s="308"/>
      <c r="BA485" s="308"/>
      <c r="BB485" s="308"/>
      <c r="BC485" s="308"/>
      <c r="BD485" s="308"/>
      <c r="BE485" s="308"/>
      <c r="BF485" s="308"/>
      <c r="BG485" s="308"/>
      <c r="BH485" s="308"/>
      <c r="BI485" s="308"/>
      <c r="BJ485" s="308"/>
      <c r="BK485" s="308"/>
      <c r="BL485" s="308"/>
      <c r="BM485" s="308"/>
      <c r="BN485" s="308"/>
      <c r="BO485" s="308"/>
      <c r="BP485" s="308"/>
      <c r="BQ485" s="308"/>
      <c r="BR485" s="316"/>
      <c r="BS485" s="316"/>
      <c r="BT485" s="316"/>
      <c r="BU485" s="316"/>
      <c r="BV485" s="316"/>
      <c r="BW485" s="316"/>
      <c r="BX485" s="316"/>
      <c r="BY485" s="316"/>
      <c r="BZ485" s="316"/>
      <c r="CA485" s="316"/>
      <c r="CB485" s="316"/>
      <c r="CC485" s="316"/>
      <c r="CD485" s="316"/>
    </row>
    <row r="486" ht="15.75" customHeight="1">
      <c r="A486" s="308"/>
      <c r="B486" s="312"/>
      <c r="C486" s="312"/>
      <c r="D486" s="312"/>
      <c r="E486" s="312"/>
      <c r="F486" s="312"/>
      <c r="G486" s="312"/>
      <c r="H486" s="312"/>
      <c r="I486" s="312"/>
      <c r="J486" s="312"/>
      <c r="K486" s="312"/>
      <c r="L486" s="312"/>
      <c r="M486" s="312"/>
      <c r="N486" s="312"/>
      <c r="O486" s="312"/>
      <c r="P486" s="312"/>
      <c r="Q486" s="312"/>
      <c r="R486" s="312"/>
      <c r="S486" s="312"/>
      <c r="T486" s="308"/>
      <c r="U486" s="308"/>
      <c r="V486" s="308"/>
      <c r="W486" s="308"/>
      <c r="X486" s="308"/>
      <c r="Y486" s="308"/>
      <c r="Z486" s="308"/>
      <c r="AA486" s="308"/>
      <c r="AB486" s="308"/>
      <c r="AC486" s="399"/>
      <c r="AD486" s="308"/>
      <c r="AE486" s="308"/>
      <c r="AF486" s="308"/>
      <c r="AG486" s="308"/>
      <c r="AH486" s="308"/>
      <c r="AI486" s="308"/>
      <c r="AJ486" s="308"/>
      <c r="AK486" s="308"/>
      <c r="AL486" s="308"/>
      <c r="AM486" s="308"/>
      <c r="AN486" s="308"/>
      <c r="AO486" s="308"/>
      <c r="AP486" s="308"/>
      <c r="AQ486" s="308"/>
      <c r="AR486" s="308"/>
      <c r="AS486" s="308"/>
      <c r="AT486" s="308"/>
      <c r="AU486" s="308"/>
      <c r="AV486" s="308"/>
      <c r="AW486" s="308"/>
      <c r="AX486" s="308"/>
      <c r="AY486" s="308"/>
      <c r="AZ486" s="308"/>
      <c r="BA486" s="308"/>
      <c r="BB486" s="308"/>
      <c r="BC486" s="308"/>
      <c r="BD486" s="308"/>
      <c r="BE486" s="308"/>
      <c r="BF486" s="308"/>
      <c r="BG486" s="308"/>
      <c r="BH486" s="308"/>
      <c r="BI486" s="308"/>
      <c r="BJ486" s="308"/>
      <c r="BK486" s="308"/>
      <c r="BL486" s="308"/>
      <c r="BM486" s="308"/>
      <c r="BN486" s="308"/>
      <c r="BO486" s="308"/>
      <c r="BP486" s="308"/>
      <c r="BQ486" s="308"/>
      <c r="BR486" s="316"/>
      <c r="BS486" s="316"/>
      <c r="BT486" s="316"/>
      <c r="BU486" s="316"/>
      <c r="BV486" s="316"/>
      <c r="BW486" s="316"/>
      <c r="BX486" s="316"/>
      <c r="BY486" s="316"/>
      <c r="BZ486" s="316"/>
      <c r="CA486" s="316"/>
      <c r="CB486" s="316"/>
      <c r="CC486" s="316"/>
      <c r="CD486" s="316"/>
    </row>
    <row r="487" ht="15.75" customHeight="1">
      <c r="A487" s="308"/>
      <c r="B487" s="312"/>
      <c r="C487" s="312"/>
      <c r="D487" s="312"/>
      <c r="E487" s="312"/>
      <c r="F487" s="312"/>
      <c r="G487" s="312"/>
      <c r="H487" s="312"/>
      <c r="I487" s="312"/>
      <c r="J487" s="312"/>
      <c r="K487" s="312"/>
      <c r="L487" s="312"/>
      <c r="M487" s="312"/>
      <c r="N487" s="312"/>
      <c r="O487" s="312"/>
      <c r="P487" s="312"/>
      <c r="Q487" s="312"/>
      <c r="R487" s="312"/>
      <c r="S487" s="312"/>
      <c r="T487" s="308"/>
      <c r="U487" s="308"/>
      <c r="V487" s="308"/>
      <c r="W487" s="308"/>
      <c r="X487" s="308"/>
      <c r="Y487" s="308"/>
      <c r="Z487" s="308"/>
      <c r="AA487" s="308"/>
      <c r="AB487" s="308"/>
      <c r="AC487" s="399"/>
      <c r="AD487" s="308"/>
      <c r="AE487" s="308"/>
      <c r="AF487" s="308"/>
      <c r="AG487" s="308"/>
      <c r="AH487" s="308"/>
      <c r="AI487" s="308"/>
      <c r="AJ487" s="308"/>
      <c r="AK487" s="308"/>
      <c r="AL487" s="308"/>
      <c r="AM487" s="308"/>
      <c r="AN487" s="308"/>
      <c r="AO487" s="308"/>
      <c r="AP487" s="308"/>
      <c r="AQ487" s="308"/>
      <c r="AR487" s="308"/>
      <c r="AS487" s="308"/>
      <c r="AT487" s="308"/>
      <c r="AU487" s="308"/>
      <c r="AV487" s="308"/>
      <c r="AW487" s="308"/>
      <c r="AX487" s="308"/>
      <c r="AY487" s="308"/>
      <c r="AZ487" s="308"/>
      <c r="BA487" s="308"/>
      <c r="BB487" s="308"/>
      <c r="BC487" s="308"/>
      <c r="BD487" s="308"/>
      <c r="BE487" s="308"/>
      <c r="BF487" s="308"/>
      <c r="BG487" s="308"/>
      <c r="BH487" s="308"/>
      <c r="BI487" s="308"/>
      <c r="BJ487" s="308"/>
      <c r="BK487" s="308"/>
      <c r="BL487" s="308"/>
      <c r="BM487" s="308"/>
      <c r="BN487" s="308"/>
      <c r="BO487" s="308"/>
      <c r="BP487" s="308"/>
      <c r="BQ487" s="308"/>
      <c r="BR487" s="316"/>
      <c r="BS487" s="316"/>
      <c r="BT487" s="316"/>
      <c r="BU487" s="316"/>
      <c r="BV487" s="316"/>
      <c r="BW487" s="316"/>
      <c r="BX487" s="316"/>
      <c r="BY487" s="316"/>
      <c r="BZ487" s="316"/>
      <c r="CA487" s="316"/>
      <c r="CB487" s="316"/>
      <c r="CC487" s="316"/>
      <c r="CD487" s="316"/>
    </row>
    <row r="488" ht="15.75" customHeight="1">
      <c r="A488" s="308"/>
      <c r="B488" s="312"/>
      <c r="C488" s="312"/>
      <c r="D488" s="312"/>
      <c r="E488" s="312"/>
      <c r="F488" s="312"/>
      <c r="G488" s="312"/>
      <c r="H488" s="312"/>
      <c r="I488" s="312"/>
      <c r="J488" s="312"/>
      <c r="K488" s="312"/>
      <c r="L488" s="312"/>
      <c r="M488" s="312"/>
      <c r="N488" s="312"/>
      <c r="O488" s="312"/>
      <c r="P488" s="312"/>
      <c r="Q488" s="312"/>
      <c r="R488" s="312"/>
      <c r="S488" s="312"/>
      <c r="T488" s="308"/>
      <c r="U488" s="308"/>
      <c r="V488" s="308"/>
      <c r="W488" s="308"/>
      <c r="X488" s="308"/>
      <c r="Y488" s="308"/>
      <c r="Z488" s="308"/>
      <c r="AA488" s="308"/>
      <c r="AB488" s="308"/>
      <c r="AC488" s="399"/>
      <c r="AD488" s="308"/>
      <c r="AE488" s="308"/>
      <c r="AF488" s="308"/>
      <c r="AG488" s="308"/>
      <c r="AH488" s="308"/>
      <c r="AI488" s="308"/>
      <c r="AJ488" s="308"/>
      <c r="AK488" s="308"/>
      <c r="AL488" s="308"/>
      <c r="AM488" s="308"/>
      <c r="AN488" s="308"/>
      <c r="AO488" s="308"/>
      <c r="AP488" s="308"/>
      <c r="AQ488" s="308"/>
      <c r="AR488" s="308"/>
      <c r="AS488" s="308"/>
      <c r="AT488" s="308"/>
      <c r="AU488" s="308"/>
      <c r="AV488" s="308"/>
      <c r="AW488" s="308"/>
      <c r="AX488" s="308"/>
      <c r="AY488" s="308"/>
      <c r="AZ488" s="308"/>
      <c r="BA488" s="308"/>
      <c r="BB488" s="308"/>
      <c r="BC488" s="308"/>
      <c r="BD488" s="308"/>
      <c r="BE488" s="308"/>
      <c r="BF488" s="308"/>
      <c r="BG488" s="308"/>
      <c r="BH488" s="308"/>
      <c r="BI488" s="308"/>
      <c r="BJ488" s="308"/>
      <c r="BK488" s="308"/>
      <c r="BL488" s="308"/>
      <c r="BM488" s="308"/>
      <c r="BN488" s="308"/>
      <c r="BO488" s="308"/>
      <c r="BP488" s="308"/>
      <c r="BQ488" s="308"/>
      <c r="BR488" s="316"/>
      <c r="BS488" s="316"/>
      <c r="BT488" s="316"/>
      <c r="BU488" s="316"/>
      <c r="BV488" s="316"/>
      <c r="BW488" s="316"/>
      <c r="BX488" s="316"/>
      <c r="BY488" s="316"/>
      <c r="BZ488" s="316"/>
      <c r="CA488" s="316"/>
      <c r="CB488" s="316"/>
      <c r="CC488" s="316"/>
      <c r="CD488" s="316"/>
    </row>
    <row r="489" ht="15.75" customHeight="1">
      <c r="A489" s="308"/>
      <c r="B489" s="312"/>
      <c r="C489" s="312"/>
      <c r="D489" s="312"/>
      <c r="E489" s="312"/>
      <c r="F489" s="312"/>
      <c r="G489" s="312"/>
      <c r="H489" s="312"/>
      <c r="I489" s="312"/>
      <c r="J489" s="312"/>
      <c r="K489" s="312"/>
      <c r="L489" s="312"/>
      <c r="M489" s="312"/>
      <c r="N489" s="312"/>
      <c r="O489" s="312"/>
      <c r="P489" s="312"/>
      <c r="Q489" s="312"/>
      <c r="R489" s="312"/>
      <c r="S489" s="312"/>
      <c r="T489" s="312"/>
      <c r="U489" s="312"/>
      <c r="V489" s="312"/>
      <c r="W489" s="312"/>
      <c r="X489" s="312"/>
      <c r="Y489" s="312"/>
      <c r="Z489" s="312"/>
      <c r="AA489" s="312"/>
      <c r="AB489" s="312"/>
      <c r="AC489" s="396"/>
      <c r="AD489" s="312"/>
      <c r="AE489" s="312"/>
      <c r="AF489" s="312"/>
      <c r="AG489" s="312"/>
      <c r="AH489" s="312"/>
      <c r="AI489" s="312"/>
      <c r="AJ489" s="312"/>
      <c r="AK489" s="312"/>
      <c r="AL489" s="312"/>
      <c r="AM489" s="312"/>
      <c r="AN489" s="312"/>
      <c r="AO489" s="312"/>
      <c r="AP489" s="312"/>
      <c r="AQ489" s="312"/>
      <c r="AR489" s="312"/>
      <c r="AS489" s="312"/>
      <c r="AT489" s="312"/>
      <c r="AU489" s="312"/>
      <c r="AV489" s="312"/>
      <c r="AW489" s="312"/>
      <c r="AX489" s="312"/>
      <c r="AY489" s="312"/>
      <c r="AZ489" s="312"/>
      <c r="BA489" s="312"/>
      <c r="BB489" s="312"/>
      <c r="BC489" s="312"/>
      <c r="BD489" s="316"/>
      <c r="BE489" s="316"/>
      <c r="BF489" s="316"/>
      <c r="BG489" s="316"/>
      <c r="BH489" s="316"/>
      <c r="BI489" s="316"/>
      <c r="BJ489" s="316"/>
      <c r="BK489" s="316"/>
      <c r="BL489" s="316"/>
      <c r="BM489" s="316"/>
      <c r="BN489" s="316"/>
      <c r="BO489" s="316"/>
      <c r="BP489" s="316"/>
      <c r="BQ489" s="316"/>
      <c r="BR489" s="316"/>
      <c r="BS489" s="316"/>
      <c r="BT489" s="316"/>
      <c r="BU489" s="316"/>
      <c r="BV489" s="316"/>
      <c r="BW489" s="316"/>
      <c r="BX489" s="316"/>
      <c r="BY489" s="316"/>
      <c r="BZ489" s="316"/>
      <c r="CA489" s="316"/>
      <c r="CB489" s="316"/>
      <c r="CC489" s="316"/>
      <c r="CD489" s="316"/>
    </row>
    <row r="490" ht="15.75" customHeight="1">
      <c r="A490" s="308"/>
      <c r="B490" s="312"/>
      <c r="C490" s="312"/>
      <c r="D490" s="312"/>
      <c r="E490" s="312"/>
      <c r="F490" s="312"/>
      <c r="G490" s="312"/>
      <c r="H490" s="312"/>
      <c r="I490" s="312"/>
      <c r="J490" s="312"/>
      <c r="K490" s="312"/>
      <c r="L490" s="312"/>
      <c r="M490" s="312"/>
      <c r="N490" s="312"/>
      <c r="O490" s="312"/>
      <c r="P490" s="312"/>
      <c r="Q490" s="312"/>
      <c r="R490" s="312"/>
      <c r="S490" s="312"/>
      <c r="T490" s="312"/>
      <c r="U490" s="312"/>
      <c r="V490" s="312"/>
      <c r="W490" s="312"/>
      <c r="X490" s="312"/>
      <c r="Y490" s="312"/>
      <c r="Z490" s="312"/>
      <c r="AA490" s="312"/>
      <c r="AB490" s="312"/>
      <c r="AC490" s="396"/>
      <c r="AD490" s="312"/>
      <c r="AE490" s="312"/>
      <c r="AF490" s="312"/>
      <c r="AG490" s="312"/>
      <c r="AH490" s="312"/>
      <c r="AI490" s="312"/>
      <c r="AJ490" s="312"/>
      <c r="AK490" s="312"/>
      <c r="AL490" s="312"/>
      <c r="AM490" s="312"/>
      <c r="AN490" s="312"/>
      <c r="AO490" s="312"/>
      <c r="AP490" s="312"/>
      <c r="AQ490" s="312"/>
      <c r="AR490" s="312"/>
      <c r="AS490" s="312"/>
      <c r="AT490" s="312"/>
      <c r="AU490" s="312"/>
      <c r="AV490" s="312"/>
      <c r="AW490" s="312"/>
      <c r="AX490" s="312"/>
      <c r="AY490" s="312"/>
      <c r="AZ490" s="312"/>
      <c r="BA490" s="312"/>
      <c r="BB490" s="312"/>
      <c r="BC490" s="312"/>
      <c r="BD490" s="316"/>
      <c r="BE490" s="316"/>
      <c r="BF490" s="316"/>
      <c r="BG490" s="316"/>
      <c r="BH490" s="316"/>
      <c r="BI490" s="316"/>
      <c r="BJ490" s="316"/>
      <c r="BK490" s="316"/>
      <c r="BL490" s="316"/>
      <c r="BM490" s="316"/>
      <c r="BN490" s="316"/>
      <c r="BO490" s="316"/>
      <c r="BP490" s="316"/>
      <c r="BQ490" s="316"/>
      <c r="BR490" s="316"/>
      <c r="BS490" s="316"/>
      <c r="BT490" s="316"/>
      <c r="BU490" s="316"/>
      <c r="BV490" s="316"/>
      <c r="BW490" s="316"/>
      <c r="BX490" s="316"/>
      <c r="BY490" s="316"/>
      <c r="BZ490" s="316"/>
      <c r="CA490" s="316"/>
      <c r="CB490" s="316"/>
      <c r="CC490" s="316"/>
      <c r="CD490" s="316"/>
    </row>
    <row r="491" ht="15.75" customHeight="1">
      <c r="A491" s="308"/>
      <c r="B491" s="312"/>
      <c r="C491" s="312"/>
      <c r="D491" s="312"/>
      <c r="E491" s="312"/>
      <c r="F491" s="312"/>
      <c r="G491" s="312"/>
      <c r="H491" s="312"/>
      <c r="I491" s="312"/>
      <c r="J491" s="312"/>
      <c r="K491" s="312"/>
      <c r="L491" s="312"/>
      <c r="M491" s="312"/>
      <c r="N491" s="312"/>
      <c r="O491" s="312"/>
      <c r="P491" s="312"/>
      <c r="Q491" s="312"/>
      <c r="R491" s="312"/>
      <c r="S491" s="312"/>
      <c r="T491" s="312"/>
      <c r="U491" s="312"/>
      <c r="V491" s="312"/>
      <c r="W491" s="312"/>
      <c r="X491" s="312"/>
      <c r="Y491" s="312"/>
      <c r="Z491" s="312"/>
      <c r="AA491" s="312"/>
      <c r="AB491" s="312"/>
      <c r="AC491" s="396"/>
      <c r="AD491" s="312"/>
      <c r="AE491" s="312"/>
      <c r="AF491" s="312"/>
      <c r="AG491" s="312"/>
      <c r="AH491" s="312"/>
      <c r="AI491" s="312"/>
      <c r="AJ491" s="312"/>
      <c r="AK491" s="312"/>
      <c r="AL491" s="312"/>
      <c r="AM491" s="312"/>
      <c r="AN491" s="312"/>
      <c r="AO491" s="312"/>
      <c r="AP491" s="312"/>
      <c r="AQ491" s="312"/>
      <c r="AR491" s="312"/>
      <c r="AS491" s="312"/>
      <c r="AT491" s="312"/>
      <c r="AU491" s="312"/>
      <c r="AV491" s="312"/>
      <c r="AW491" s="312"/>
      <c r="AX491" s="312"/>
      <c r="AY491" s="312"/>
      <c r="AZ491" s="312"/>
      <c r="BA491" s="312"/>
      <c r="BB491" s="312"/>
      <c r="BC491" s="312"/>
      <c r="BD491" s="316"/>
      <c r="BE491" s="316"/>
      <c r="BF491" s="316"/>
      <c r="BG491" s="316"/>
      <c r="BH491" s="316"/>
      <c r="BI491" s="316"/>
      <c r="BJ491" s="316"/>
      <c r="BK491" s="316"/>
      <c r="BL491" s="316"/>
      <c r="BM491" s="316"/>
      <c r="BN491" s="316"/>
      <c r="BO491" s="316"/>
      <c r="BP491" s="316"/>
      <c r="BQ491" s="316"/>
      <c r="BR491" s="316"/>
      <c r="BS491" s="316"/>
      <c r="BT491" s="316"/>
      <c r="BU491" s="316"/>
      <c r="BV491" s="316"/>
      <c r="BW491" s="316"/>
      <c r="BX491" s="316"/>
      <c r="BY491" s="316"/>
      <c r="BZ491" s="316"/>
      <c r="CA491" s="316"/>
      <c r="CB491" s="316"/>
      <c r="CC491" s="316"/>
      <c r="CD491" s="316"/>
    </row>
    <row r="492" ht="15.75" customHeight="1">
      <c r="A492" s="308"/>
      <c r="B492" s="312"/>
      <c r="C492" s="312"/>
      <c r="D492" s="312"/>
      <c r="E492" s="312"/>
      <c r="F492" s="312"/>
      <c r="G492" s="312"/>
      <c r="H492" s="312"/>
      <c r="I492" s="312"/>
      <c r="J492" s="312"/>
      <c r="K492" s="312"/>
      <c r="L492" s="312"/>
      <c r="M492" s="312"/>
      <c r="N492" s="312"/>
      <c r="O492" s="312"/>
      <c r="P492" s="312"/>
      <c r="Q492" s="312"/>
      <c r="R492" s="312"/>
      <c r="S492" s="312"/>
      <c r="T492" s="312"/>
      <c r="U492" s="312"/>
      <c r="V492" s="312"/>
      <c r="W492" s="312"/>
      <c r="X492" s="312"/>
      <c r="Y492" s="312"/>
      <c r="Z492" s="312"/>
      <c r="AA492" s="312"/>
      <c r="AB492" s="312"/>
      <c r="AC492" s="396"/>
      <c r="AD492" s="312"/>
      <c r="AE492" s="312"/>
      <c r="AF492" s="312"/>
      <c r="AG492" s="312"/>
      <c r="AH492" s="312"/>
      <c r="AI492" s="312"/>
      <c r="AJ492" s="312"/>
      <c r="AK492" s="312"/>
      <c r="AL492" s="312"/>
      <c r="AM492" s="312"/>
      <c r="AN492" s="312"/>
      <c r="AO492" s="312"/>
      <c r="AP492" s="312"/>
      <c r="AQ492" s="312"/>
      <c r="AR492" s="312"/>
      <c r="AS492" s="312"/>
      <c r="AT492" s="312"/>
      <c r="AU492" s="312"/>
      <c r="AV492" s="312"/>
      <c r="AW492" s="312"/>
      <c r="AX492" s="312"/>
      <c r="AY492" s="312"/>
      <c r="AZ492" s="312"/>
      <c r="BA492" s="312"/>
      <c r="BB492" s="312"/>
      <c r="BC492" s="312"/>
      <c r="BD492" s="316"/>
      <c r="BE492" s="316"/>
      <c r="BF492" s="316"/>
      <c r="BG492" s="316"/>
      <c r="BH492" s="316"/>
      <c r="BI492" s="316"/>
      <c r="BJ492" s="316"/>
      <c r="BK492" s="316"/>
      <c r="BL492" s="316"/>
      <c r="BM492" s="316"/>
      <c r="BN492" s="316"/>
      <c r="BO492" s="316"/>
      <c r="BP492" s="316"/>
      <c r="BQ492" s="316"/>
      <c r="BR492" s="316"/>
      <c r="BS492" s="316"/>
      <c r="BT492" s="316"/>
      <c r="BU492" s="316"/>
      <c r="BV492" s="316"/>
      <c r="BW492" s="316"/>
      <c r="BX492" s="316"/>
      <c r="BY492" s="316"/>
      <c r="BZ492" s="316"/>
      <c r="CA492" s="316"/>
      <c r="CB492" s="316"/>
      <c r="CC492" s="316"/>
      <c r="CD492" s="316"/>
    </row>
    <row r="493" ht="15.75" customHeight="1">
      <c r="A493" s="308"/>
      <c r="B493" s="312"/>
      <c r="C493" s="312"/>
      <c r="D493" s="312"/>
      <c r="E493" s="312"/>
      <c r="F493" s="312"/>
      <c r="G493" s="312"/>
      <c r="H493" s="312"/>
      <c r="I493" s="312"/>
      <c r="J493" s="312"/>
      <c r="K493" s="312"/>
      <c r="L493" s="312"/>
      <c r="M493" s="312"/>
      <c r="N493" s="312"/>
      <c r="O493" s="312"/>
      <c r="P493" s="312"/>
      <c r="Q493" s="312"/>
      <c r="R493" s="312"/>
      <c r="S493" s="312"/>
      <c r="T493" s="312"/>
      <c r="U493" s="312"/>
      <c r="V493" s="312"/>
      <c r="W493" s="312"/>
      <c r="X493" s="312"/>
      <c r="Y493" s="312"/>
      <c r="Z493" s="312"/>
      <c r="AA493" s="312"/>
      <c r="AB493" s="312"/>
      <c r="AC493" s="396"/>
      <c r="AD493" s="312"/>
      <c r="AE493" s="312"/>
      <c r="AF493" s="312"/>
      <c r="AG493" s="312"/>
      <c r="AH493" s="312"/>
      <c r="AI493" s="312"/>
      <c r="AJ493" s="312"/>
      <c r="AK493" s="312"/>
      <c r="AL493" s="312"/>
      <c r="AM493" s="312"/>
      <c r="AN493" s="312"/>
      <c r="AO493" s="312"/>
      <c r="AP493" s="312"/>
      <c r="AQ493" s="312"/>
      <c r="AR493" s="312"/>
      <c r="AS493" s="312"/>
      <c r="AT493" s="312"/>
      <c r="AU493" s="312"/>
      <c r="AV493" s="312"/>
      <c r="AW493" s="312"/>
      <c r="AX493" s="312"/>
      <c r="AY493" s="312"/>
      <c r="AZ493" s="312"/>
      <c r="BA493" s="312"/>
      <c r="BB493" s="312"/>
      <c r="BC493" s="312"/>
      <c r="BD493" s="316"/>
      <c r="BE493" s="316"/>
      <c r="BF493" s="316"/>
      <c r="BG493" s="316"/>
      <c r="BH493" s="316"/>
      <c r="BI493" s="316"/>
      <c r="BJ493" s="316"/>
      <c r="BK493" s="316"/>
      <c r="BL493" s="316"/>
      <c r="BM493" s="316"/>
      <c r="BN493" s="316"/>
      <c r="BO493" s="316"/>
      <c r="BP493" s="316"/>
      <c r="BQ493" s="316"/>
      <c r="BR493" s="316"/>
      <c r="BS493" s="316"/>
      <c r="BT493" s="316"/>
      <c r="BU493" s="316"/>
      <c r="BV493" s="316"/>
      <c r="BW493" s="316"/>
      <c r="BX493" s="316"/>
      <c r="BY493" s="316"/>
      <c r="BZ493" s="316"/>
      <c r="CA493" s="316"/>
      <c r="CB493" s="316"/>
      <c r="CC493" s="316"/>
      <c r="CD493" s="316"/>
    </row>
    <row r="494" ht="15.75" customHeight="1">
      <c r="A494" s="308"/>
      <c r="B494" s="312"/>
      <c r="C494" s="312"/>
      <c r="D494" s="312"/>
      <c r="E494" s="312"/>
      <c r="F494" s="312"/>
      <c r="G494" s="312"/>
      <c r="H494" s="312"/>
      <c r="I494" s="312"/>
      <c r="J494" s="312"/>
      <c r="K494" s="312"/>
      <c r="L494" s="312"/>
      <c r="M494" s="312"/>
      <c r="N494" s="312"/>
      <c r="O494" s="312"/>
      <c r="P494" s="312"/>
      <c r="Q494" s="312"/>
      <c r="R494" s="312"/>
      <c r="S494" s="312"/>
      <c r="T494" s="312"/>
      <c r="U494" s="312"/>
      <c r="V494" s="312"/>
      <c r="W494" s="312"/>
      <c r="X494" s="312"/>
      <c r="Y494" s="312"/>
      <c r="Z494" s="312"/>
      <c r="AA494" s="312"/>
      <c r="AB494" s="312"/>
      <c r="AC494" s="396"/>
      <c r="AD494" s="312"/>
      <c r="AE494" s="312"/>
      <c r="AF494" s="312"/>
      <c r="AG494" s="312"/>
      <c r="AH494" s="312"/>
      <c r="AI494" s="312"/>
      <c r="AJ494" s="312"/>
      <c r="AK494" s="312"/>
      <c r="AL494" s="312"/>
      <c r="AM494" s="312"/>
      <c r="AN494" s="312"/>
      <c r="AO494" s="312"/>
      <c r="AP494" s="312"/>
      <c r="AQ494" s="312"/>
      <c r="AR494" s="312"/>
      <c r="AS494" s="312"/>
      <c r="AT494" s="312"/>
      <c r="AU494" s="312"/>
      <c r="AV494" s="312"/>
      <c r="AW494" s="312"/>
      <c r="AX494" s="312"/>
      <c r="AY494" s="312"/>
      <c r="AZ494" s="312"/>
      <c r="BA494" s="312"/>
      <c r="BB494" s="312"/>
      <c r="BC494" s="312"/>
      <c r="BD494" s="316"/>
      <c r="BE494" s="316"/>
      <c r="BF494" s="316"/>
      <c r="BG494" s="316"/>
      <c r="BH494" s="316"/>
      <c r="BI494" s="316"/>
      <c r="BJ494" s="316"/>
      <c r="BK494" s="316"/>
      <c r="BL494" s="316"/>
      <c r="BM494" s="316"/>
      <c r="BN494" s="316"/>
      <c r="BO494" s="316"/>
      <c r="BP494" s="316"/>
      <c r="BQ494" s="316"/>
      <c r="BR494" s="316"/>
      <c r="BS494" s="316"/>
      <c r="BT494" s="316"/>
      <c r="BU494" s="316"/>
      <c r="BV494" s="316"/>
      <c r="BW494" s="316"/>
      <c r="BX494" s="316"/>
      <c r="BY494" s="316"/>
      <c r="BZ494" s="316"/>
      <c r="CA494" s="316"/>
      <c r="CB494" s="316"/>
      <c r="CC494" s="316"/>
      <c r="CD494" s="316"/>
    </row>
    <row r="495" ht="15.75" customHeight="1">
      <c r="A495" s="308"/>
      <c r="B495" s="312"/>
      <c r="C495" s="312"/>
      <c r="D495" s="312"/>
      <c r="E495" s="312"/>
      <c r="F495" s="312"/>
      <c r="G495" s="312"/>
      <c r="H495" s="312"/>
      <c r="I495" s="312"/>
      <c r="J495" s="312"/>
      <c r="K495" s="312"/>
      <c r="L495" s="312"/>
      <c r="M495" s="312"/>
      <c r="N495" s="312"/>
      <c r="O495" s="312"/>
      <c r="P495" s="312"/>
      <c r="Q495" s="312"/>
      <c r="R495" s="312"/>
      <c r="S495" s="312"/>
      <c r="T495" s="312"/>
      <c r="U495" s="312"/>
      <c r="V495" s="312"/>
      <c r="W495" s="312"/>
      <c r="X495" s="312"/>
      <c r="Y495" s="312"/>
      <c r="Z495" s="312"/>
      <c r="AA495" s="312"/>
      <c r="AB495" s="312"/>
      <c r="AC495" s="396"/>
      <c r="AD495" s="312"/>
      <c r="AE495" s="312"/>
      <c r="AF495" s="312"/>
      <c r="AG495" s="312"/>
      <c r="AH495" s="312"/>
      <c r="AI495" s="312"/>
      <c r="AJ495" s="312"/>
      <c r="AK495" s="312"/>
      <c r="AL495" s="312"/>
      <c r="AM495" s="312"/>
      <c r="AN495" s="312"/>
      <c r="AO495" s="312"/>
      <c r="AP495" s="312"/>
      <c r="AQ495" s="312"/>
      <c r="AR495" s="312"/>
      <c r="AS495" s="312"/>
      <c r="AT495" s="312"/>
      <c r="AU495" s="312"/>
      <c r="AV495" s="312"/>
      <c r="AW495" s="312"/>
      <c r="AX495" s="312"/>
      <c r="AY495" s="312"/>
      <c r="AZ495" s="312"/>
      <c r="BA495" s="312"/>
      <c r="BB495" s="312"/>
      <c r="BC495" s="312"/>
      <c r="BD495" s="316"/>
      <c r="BE495" s="316"/>
      <c r="BF495" s="316"/>
      <c r="BG495" s="316"/>
      <c r="BH495" s="316"/>
      <c r="BI495" s="316"/>
      <c r="BJ495" s="316"/>
      <c r="BK495" s="316"/>
      <c r="BL495" s="316"/>
      <c r="BM495" s="316"/>
      <c r="BN495" s="316"/>
      <c r="BO495" s="316"/>
      <c r="BP495" s="316"/>
      <c r="BQ495" s="316"/>
      <c r="BR495" s="316"/>
      <c r="BS495" s="316"/>
      <c r="BT495" s="316"/>
      <c r="BU495" s="316"/>
      <c r="BV495" s="316"/>
      <c r="BW495" s="316"/>
      <c r="BX495" s="316"/>
      <c r="BY495" s="316"/>
      <c r="BZ495" s="316"/>
      <c r="CA495" s="316"/>
      <c r="CB495" s="316"/>
      <c r="CC495" s="316"/>
      <c r="CD495" s="316"/>
    </row>
    <row r="496" ht="15.75" customHeight="1">
      <c r="A496" s="308"/>
      <c r="B496" s="312"/>
      <c r="C496" s="312"/>
      <c r="D496" s="312"/>
      <c r="E496" s="312"/>
      <c r="F496" s="312"/>
      <c r="G496" s="312"/>
      <c r="H496" s="312"/>
      <c r="I496" s="312"/>
      <c r="J496" s="312"/>
      <c r="K496" s="312"/>
      <c r="L496" s="312"/>
      <c r="M496" s="312"/>
      <c r="N496" s="312"/>
      <c r="O496" s="312"/>
      <c r="P496" s="312"/>
      <c r="Q496" s="312"/>
      <c r="R496" s="312"/>
      <c r="S496" s="312"/>
      <c r="T496" s="312"/>
      <c r="U496" s="312"/>
      <c r="V496" s="312"/>
      <c r="W496" s="312"/>
      <c r="X496" s="312"/>
      <c r="Y496" s="312"/>
      <c r="Z496" s="312"/>
      <c r="AA496" s="312"/>
      <c r="AB496" s="312"/>
      <c r="AC496" s="396"/>
      <c r="AD496" s="312"/>
      <c r="AE496" s="312"/>
      <c r="AF496" s="312"/>
      <c r="AG496" s="312"/>
      <c r="AH496" s="312"/>
      <c r="AI496" s="312"/>
      <c r="AJ496" s="312"/>
      <c r="AK496" s="312"/>
      <c r="AL496" s="312"/>
      <c r="AM496" s="312"/>
      <c r="AN496" s="312"/>
      <c r="AO496" s="312"/>
      <c r="AP496" s="312"/>
      <c r="AQ496" s="312"/>
      <c r="AR496" s="312"/>
      <c r="AS496" s="312"/>
      <c r="AT496" s="312"/>
      <c r="AU496" s="312"/>
      <c r="AV496" s="312"/>
      <c r="AW496" s="312"/>
      <c r="AX496" s="312"/>
      <c r="AY496" s="312"/>
      <c r="AZ496" s="312"/>
      <c r="BA496" s="312"/>
      <c r="BB496" s="312"/>
      <c r="BC496" s="312"/>
      <c r="BD496" s="316"/>
      <c r="BE496" s="316"/>
      <c r="BF496" s="316"/>
      <c r="BG496" s="316"/>
      <c r="BH496" s="316"/>
      <c r="BI496" s="316"/>
      <c r="BJ496" s="316"/>
      <c r="BK496" s="316"/>
      <c r="BL496" s="316"/>
      <c r="BM496" s="316"/>
      <c r="BN496" s="316"/>
      <c r="BO496" s="316"/>
      <c r="BP496" s="316"/>
      <c r="BQ496" s="316"/>
      <c r="BR496" s="316"/>
      <c r="BS496" s="316"/>
      <c r="BT496" s="316"/>
      <c r="BU496" s="316"/>
      <c r="BV496" s="316"/>
      <c r="BW496" s="316"/>
      <c r="BX496" s="316"/>
      <c r="BY496" s="316"/>
      <c r="BZ496" s="316"/>
      <c r="CA496" s="316"/>
      <c r="CB496" s="316"/>
      <c r="CC496" s="316"/>
      <c r="CD496" s="316"/>
    </row>
    <row r="497" ht="15.75" customHeight="1">
      <c r="A497" s="308"/>
      <c r="B497" s="312"/>
      <c r="C497" s="312"/>
      <c r="D497" s="312"/>
      <c r="E497" s="312"/>
      <c r="F497" s="312"/>
      <c r="G497" s="312"/>
      <c r="H497" s="312"/>
      <c r="I497" s="312"/>
      <c r="J497" s="312"/>
      <c r="K497" s="312"/>
      <c r="L497" s="312"/>
      <c r="M497" s="312"/>
      <c r="N497" s="312"/>
      <c r="O497" s="312"/>
      <c r="P497" s="312"/>
      <c r="Q497" s="312"/>
      <c r="R497" s="312"/>
      <c r="S497" s="312"/>
      <c r="T497" s="312"/>
      <c r="U497" s="312"/>
      <c r="V497" s="312"/>
      <c r="W497" s="312"/>
      <c r="X497" s="312"/>
      <c r="Y497" s="312"/>
      <c r="Z497" s="312"/>
      <c r="AA497" s="312"/>
      <c r="AB497" s="312"/>
      <c r="AC497" s="396"/>
      <c r="AD497" s="312"/>
      <c r="AE497" s="312"/>
      <c r="AF497" s="312"/>
      <c r="AG497" s="312"/>
      <c r="AH497" s="312"/>
      <c r="AI497" s="312"/>
      <c r="AJ497" s="312"/>
      <c r="AK497" s="312"/>
      <c r="AL497" s="312"/>
      <c r="AM497" s="312"/>
      <c r="AN497" s="312"/>
      <c r="AO497" s="312"/>
      <c r="AP497" s="312"/>
      <c r="AQ497" s="312"/>
      <c r="AR497" s="312"/>
      <c r="AS497" s="312"/>
      <c r="AT497" s="312"/>
      <c r="AU497" s="312"/>
      <c r="AV497" s="312"/>
      <c r="AW497" s="312"/>
      <c r="AX497" s="312"/>
      <c r="AY497" s="312"/>
      <c r="AZ497" s="312"/>
      <c r="BA497" s="312"/>
      <c r="BB497" s="312"/>
      <c r="BC497" s="312"/>
      <c r="BD497" s="316"/>
      <c r="BE497" s="316"/>
      <c r="BF497" s="316"/>
      <c r="BG497" s="316"/>
      <c r="BH497" s="316"/>
      <c r="BI497" s="316"/>
      <c r="BJ497" s="316"/>
      <c r="BK497" s="316"/>
      <c r="BL497" s="316"/>
      <c r="BM497" s="316"/>
      <c r="BN497" s="316"/>
      <c r="BO497" s="316"/>
      <c r="BP497" s="316"/>
      <c r="BQ497" s="316"/>
      <c r="BR497" s="316"/>
      <c r="BS497" s="316"/>
      <c r="BT497" s="316"/>
      <c r="BU497" s="316"/>
      <c r="BV497" s="316"/>
      <c r="BW497" s="316"/>
      <c r="BX497" s="316"/>
      <c r="BY497" s="316"/>
      <c r="BZ497" s="316"/>
      <c r="CA497" s="316"/>
      <c r="CB497" s="316"/>
      <c r="CC497" s="316"/>
      <c r="CD497" s="316"/>
    </row>
    <row r="498" ht="15.75" customHeight="1">
      <c r="A498" s="308"/>
      <c r="B498" s="312"/>
      <c r="C498" s="312"/>
      <c r="D498" s="312"/>
      <c r="E498" s="312"/>
      <c r="F498" s="312"/>
      <c r="G498" s="312"/>
      <c r="H498" s="312"/>
      <c r="I498" s="312"/>
      <c r="J498" s="312"/>
      <c r="K498" s="312"/>
      <c r="L498" s="312"/>
      <c r="M498" s="312"/>
      <c r="N498" s="312"/>
      <c r="O498" s="312"/>
      <c r="P498" s="312"/>
      <c r="Q498" s="312"/>
      <c r="R498" s="312"/>
      <c r="S498" s="312"/>
      <c r="T498" s="312"/>
      <c r="U498" s="312"/>
      <c r="V498" s="312"/>
      <c r="W498" s="312"/>
      <c r="X498" s="312"/>
      <c r="Y498" s="312"/>
      <c r="Z498" s="312"/>
      <c r="AA498" s="312"/>
      <c r="AB498" s="312"/>
      <c r="AC498" s="396"/>
      <c r="AD498" s="312"/>
      <c r="AE498" s="312"/>
      <c r="AF498" s="312"/>
      <c r="AG498" s="312"/>
      <c r="AH498" s="312"/>
      <c r="AI498" s="312"/>
      <c r="AJ498" s="312"/>
      <c r="AK498" s="312"/>
      <c r="AL498" s="312"/>
      <c r="AM498" s="312"/>
      <c r="AN498" s="312"/>
      <c r="AO498" s="312"/>
      <c r="AP498" s="312"/>
      <c r="AQ498" s="312"/>
      <c r="AR498" s="312"/>
      <c r="AS498" s="312"/>
      <c r="AT498" s="312"/>
      <c r="AU498" s="312"/>
      <c r="AV498" s="312"/>
      <c r="AW498" s="312"/>
      <c r="AX498" s="312"/>
      <c r="AY498" s="312"/>
      <c r="AZ498" s="312"/>
      <c r="BA498" s="312"/>
      <c r="BB498" s="312"/>
      <c r="BC498" s="312"/>
      <c r="BD498" s="316"/>
      <c r="BE498" s="316"/>
      <c r="BF498" s="316"/>
      <c r="BG498" s="316"/>
      <c r="BH498" s="316"/>
      <c r="BI498" s="316"/>
      <c r="BJ498" s="316"/>
      <c r="BK498" s="316"/>
      <c r="BL498" s="316"/>
      <c r="BM498" s="316"/>
      <c r="BN498" s="316"/>
      <c r="BO498" s="316"/>
      <c r="BP498" s="316"/>
      <c r="BQ498" s="316"/>
      <c r="BR498" s="316"/>
      <c r="BS498" s="316"/>
      <c r="BT498" s="316"/>
      <c r="BU498" s="316"/>
      <c r="BV498" s="316"/>
      <c r="BW498" s="316"/>
      <c r="BX498" s="316"/>
      <c r="BY498" s="316"/>
      <c r="BZ498" s="316"/>
      <c r="CA498" s="316"/>
      <c r="CB498" s="316"/>
      <c r="CC498" s="316"/>
      <c r="CD498" s="316"/>
    </row>
    <row r="499" ht="15.75" customHeight="1">
      <c r="A499" s="308"/>
      <c r="B499" s="312"/>
      <c r="C499" s="312"/>
      <c r="D499" s="312"/>
      <c r="E499" s="312"/>
      <c r="F499" s="312"/>
      <c r="G499" s="312"/>
      <c r="H499" s="312"/>
      <c r="I499" s="312"/>
      <c r="J499" s="312"/>
      <c r="K499" s="312"/>
      <c r="L499" s="312"/>
      <c r="M499" s="312"/>
      <c r="N499" s="312"/>
      <c r="O499" s="312"/>
      <c r="P499" s="312"/>
      <c r="Q499" s="312"/>
      <c r="R499" s="312"/>
      <c r="S499" s="312"/>
      <c r="T499" s="312"/>
      <c r="U499" s="312"/>
      <c r="V499" s="312"/>
      <c r="W499" s="312"/>
      <c r="X499" s="312"/>
      <c r="Y499" s="312"/>
      <c r="Z499" s="312"/>
      <c r="AA499" s="312"/>
      <c r="AB499" s="312"/>
      <c r="AC499" s="396"/>
      <c r="AD499" s="312"/>
      <c r="AE499" s="312"/>
      <c r="AF499" s="312"/>
      <c r="AG499" s="312"/>
      <c r="AH499" s="312"/>
      <c r="AI499" s="312"/>
      <c r="AJ499" s="312"/>
      <c r="AK499" s="312"/>
      <c r="AL499" s="312"/>
      <c r="AM499" s="312"/>
      <c r="AN499" s="312"/>
      <c r="AO499" s="312"/>
      <c r="AP499" s="312"/>
      <c r="AQ499" s="312"/>
      <c r="AR499" s="312"/>
      <c r="AS499" s="312"/>
      <c r="AT499" s="312"/>
      <c r="AU499" s="312"/>
      <c r="AV499" s="312"/>
      <c r="AW499" s="312"/>
      <c r="AX499" s="312"/>
      <c r="AY499" s="312"/>
      <c r="AZ499" s="312"/>
      <c r="BA499" s="312"/>
      <c r="BB499" s="312"/>
      <c r="BC499" s="312"/>
      <c r="BD499" s="316"/>
      <c r="BE499" s="316"/>
      <c r="BF499" s="316"/>
      <c r="BG499" s="316"/>
      <c r="BH499" s="316"/>
      <c r="BI499" s="316"/>
      <c r="BJ499" s="316"/>
      <c r="BK499" s="316"/>
      <c r="BL499" s="316"/>
      <c r="BM499" s="316"/>
      <c r="BN499" s="316"/>
      <c r="BO499" s="316"/>
      <c r="BP499" s="316"/>
      <c r="BQ499" s="316"/>
      <c r="BR499" s="316"/>
      <c r="BS499" s="316"/>
      <c r="BT499" s="316"/>
      <c r="BU499" s="316"/>
      <c r="BV499" s="316"/>
      <c r="BW499" s="316"/>
      <c r="BX499" s="316"/>
      <c r="BY499" s="316"/>
      <c r="BZ499" s="316"/>
      <c r="CA499" s="316"/>
      <c r="CB499" s="316"/>
      <c r="CC499" s="316"/>
      <c r="CD499" s="316"/>
    </row>
    <row r="500" ht="15.75" customHeight="1">
      <c r="A500" s="308"/>
      <c r="B500" s="312"/>
      <c r="C500" s="312"/>
      <c r="D500" s="312"/>
      <c r="E500" s="312"/>
      <c r="F500" s="312"/>
      <c r="G500" s="312"/>
      <c r="H500" s="312"/>
      <c r="I500" s="312"/>
      <c r="J500" s="312"/>
      <c r="K500" s="312"/>
      <c r="L500" s="312"/>
      <c r="M500" s="312"/>
      <c r="N500" s="312"/>
      <c r="O500" s="312"/>
      <c r="P500" s="312"/>
      <c r="Q500" s="312"/>
      <c r="R500" s="312"/>
      <c r="S500" s="312"/>
      <c r="T500" s="312"/>
      <c r="U500" s="312"/>
      <c r="V500" s="312"/>
      <c r="W500" s="312"/>
      <c r="X500" s="312"/>
      <c r="Y500" s="312"/>
      <c r="Z500" s="312"/>
      <c r="AA500" s="312"/>
      <c r="AB500" s="312"/>
      <c r="AC500" s="396"/>
      <c r="AD500" s="312"/>
      <c r="AE500" s="312"/>
      <c r="AF500" s="312"/>
      <c r="AG500" s="312"/>
      <c r="AH500" s="312"/>
      <c r="AI500" s="312"/>
      <c r="AJ500" s="312"/>
      <c r="AK500" s="312"/>
      <c r="AL500" s="312"/>
      <c r="AM500" s="312"/>
      <c r="AN500" s="312"/>
      <c r="AO500" s="312"/>
      <c r="AP500" s="312"/>
      <c r="AQ500" s="312"/>
      <c r="AR500" s="312"/>
      <c r="AS500" s="312"/>
      <c r="AT500" s="312"/>
      <c r="AU500" s="312"/>
      <c r="AV500" s="312"/>
      <c r="AW500" s="312"/>
      <c r="AX500" s="312"/>
      <c r="AY500" s="312"/>
      <c r="AZ500" s="312"/>
      <c r="BA500" s="312"/>
      <c r="BB500" s="312"/>
      <c r="BC500" s="312"/>
      <c r="BD500" s="316"/>
      <c r="BE500" s="316"/>
      <c r="BF500" s="316"/>
      <c r="BG500" s="316"/>
      <c r="BH500" s="316"/>
      <c r="BI500" s="316"/>
      <c r="BJ500" s="316"/>
      <c r="BK500" s="316"/>
      <c r="BL500" s="316"/>
      <c r="BM500" s="316"/>
      <c r="BN500" s="316"/>
      <c r="BO500" s="316"/>
      <c r="BP500" s="316"/>
      <c r="BQ500" s="316"/>
      <c r="BR500" s="316"/>
      <c r="BS500" s="316"/>
      <c r="BT500" s="316"/>
      <c r="BU500" s="316"/>
      <c r="BV500" s="316"/>
      <c r="BW500" s="316"/>
      <c r="BX500" s="316"/>
      <c r="BY500" s="316"/>
      <c r="BZ500" s="316"/>
      <c r="CA500" s="316"/>
      <c r="CB500" s="316"/>
      <c r="CC500" s="316"/>
      <c r="CD500" s="316"/>
    </row>
    <row r="501" ht="15.75" customHeight="1">
      <c r="A501" s="308"/>
      <c r="B501" s="312"/>
      <c r="C501" s="312"/>
      <c r="D501" s="312"/>
      <c r="E501" s="312"/>
      <c r="F501" s="312"/>
      <c r="G501" s="312"/>
      <c r="H501" s="312"/>
      <c r="I501" s="312"/>
      <c r="J501" s="312"/>
      <c r="K501" s="312"/>
      <c r="L501" s="312"/>
      <c r="M501" s="312"/>
      <c r="N501" s="312"/>
      <c r="O501" s="312"/>
      <c r="P501" s="312"/>
      <c r="Q501" s="312"/>
      <c r="R501" s="312"/>
      <c r="S501" s="312"/>
      <c r="T501" s="312"/>
      <c r="U501" s="312"/>
      <c r="V501" s="312"/>
      <c r="W501" s="312"/>
      <c r="X501" s="312"/>
      <c r="Y501" s="312"/>
      <c r="Z501" s="312"/>
      <c r="AA501" s="312"/>
      <c r="AB501" s="312"/>
      <c r="AC501" s="396"/>
      <c r="AD501" s="312"/>
      <c r="AE501" s="312"/>
      <c r="AF501" s="312"/>
      <c r="AG501" s="312"/>
      <c r="AH501" s="312"/>
      <c r="AI501" s="312"/>
      <c r="AJ501" s="312"/>
      <c r="AK501" s="312"/>
      <c r="AL501" s="312"/>
      <c r="AM501" s="312"/>
      <c r="AN501" s="312"/>
      <c r="AO501" s="312"/>
      <c r="AP501" s="312"/>
      <c r="AQ501" s="312"/>
      <c r="AR501" s="312"/>
      <c r="AS501" s="312"/>
      <c r="AT501" s="312"/>
      <c r="AU501" s="312"/>
      <c r="AV501" s="312"/>
      <c r="AW501" s="312"/>
      <c r="AX501" s="312"/>
      <c r="AY501" s="312"/>
      <c r="AZ501" s="312"/>
      <c r="BA501" s="312"/>
      <c r="BB501" s="312"/>
      <c r="BC501" s="312"/>
      <c r="BD501" s="316"/>
      <c r="BE501" s="316"/>
      <c r="BF501" s="316"/>
      <c r="BG501" s="316"/>
      <c r="BH501" s="316"/>
      <c r="BI501" s="316"/>
      <c r="BJ501" s="316"/>
      <c r="BK501" s="316"/>
      <c r="BL501" s="316"/>
      <c r="BM501" s="316"/>
      <c r="BN501" s="316"/>
      <c r="BO501" s="316"/>
      <c r="BP501" s="316"/>
      <c r="BQ501" s="316"/>
      <c r="BR501" s="316"/>
      <c r="BS501" s="316"/>
      <c r="BT501" s="316"/>
      <c r="BU501" s="316"/>
      <c r="BV501" s="316"/>
      <c r="BW501" s="316"/>
      <c r="BX501" s="316"/>
      <c r="BY501" s="316"/>
      <c r="BZ501" s="316"/>
      <c r="CA501" s="316"/>
      <c r="CB501" s="316"/>
      <c r="CC501" s="316"/>
      <c r="CD501" s="316"/>
    </row>
    <row r="502" ht="15.75" customHeight="1">
      <c r="A502" s="308"/>
      <c r="B502" s="312"/>
      <c r="C502" s="312"/>
      <c r="D502" s="312"/>
      <c r="E502" s="312"/>
      <c r="F502" s="312"/>
      <c r="G502" s="312"/>
      <c r="H502" s="312"/>
      <c r="I502" s="312"/>
      <c r="J502" s="312"/>
      <c r="K502" s="312"/>
      <c r="L502" s="312"/>
      <c r="M502" s="312"/>
      <c r="N502" s="312"/>
      <c r="O502" s="312"/>
      <c r="P502" s="312"/>
      <c r="Q502" s="312"/>
      <c r="R502" s="312"/>
      <c r="S502" s="312"/>
      <c r="T502" s="312"/>
      <c r="U502" s="312"/>
      <c r="V502" s="312"/>
      <c r="W502" s="312"/>
      <c r="X502" s="312"/>
      <c r="Y502" s="312"/>
      <c r="Z502" s="312"/>
      <c r="AA502" s="312"/>
      <c r="AB502" s="312"/>
      <c r="AC502" s="396"/>
      <c r="AD502" s="312"/>
      <c r="AE502" s="312"/>
      <c r="AF502" s="312"/>
      <c r="AG502" s="312"/>
      <c r="AH502" s="312"/>
      <c r="AI502" s="312"/>
      <c r="AJ502" s="312"/>
      <c r="AK502" s="312"/>
      <c r="AL502" s="312"/>
      <c r="AM502" s="312"/>
      <c r="AN502" s="312"/>
      <c r="AO502" s="312"/>
      <c r="AP502" s="312"/>
      <c r="AQ502" s="312"/>
      <c r="AR502" s="312"/>
      <c r="AS502" s="312"/>
      <c r="AT502" s="312"/>
      <c r="AU502" s="312"/>
      <c r="AV502" s="312"/>
      <c r="AW502" s="312"/>
      <c r="AX502" s="312"/>
      <c r="AY502" s="312"/>
      <c r="AZ502" s="312"/>
      <c r="BA502" s="312"/>
      <c r="BB502" s="312"/>
      <c r="BC502" s="312"/>
      <c r="BD502" s="316"/>
      <c r="BE502" s="316"/>
      <c r="BF502" s="316"/>
      <c r="BG502" s="316"/>
      <c r="BH502" s="316"/>
      <c r="BI502" s="316"/>
      <c r="BJ502" s="316"/>
      <c r="BK502" s="316"/>
      <c r="BL502" s="316"/>
      <c r="BM502" s="316"/>
      <c r="BN502" s="316"/>
      <c r="BO502" s="316"/>
      <c r="BP502" s="316"/>
      <c r="BQ502" s="316"/>
      <c r="BR502" s="316"/>
      <c r="BS502" s="316"/>
      <c r="BT502" s="316"/>
      <c r="BU502" s="316"/>
      <c r="BV502" s="316"/>
      <c r="BW502" s="316"/>
      <c r="BX502" s="316"/>
      <c r="BY502" s="316"/>
      <c r="BZ502" s="316"/>
      <c r="CA502" s="316"/>
      <c r="CB502" s="316"/>
      <c r="CC502" s="316"/>
      <c r="CD502" s="316"/>
    </row>
    <row r="503" ht="15.75" customHeight="1">
      <c r="A503" s="308"/>
      <c r="B503" s="312"/>
      <c r="C503" s="312"/>
      <c r="D503" s="312"/>
      <c r="E503" s="312"/>
      <c r="F503" s="312"/>
      <c r="G503" s="312"/>
      <c r="H503" s="312"/>
      <c r="I503" s="312"/>
      <c r="J503" s="312"/>
      <c r="K503" s="312"/>
      <c r="L503" s="312"/>
      <c r="M503" s="312"/>
      <c r="N503" s="312"/>
      <c r="O503" s="312"/>
      <c r="P503" s="312"/>
      <c r="Q503" s="312"/>
      <c r="R503" s="312"/>
      <c r="S503" s="312"/>
      <c r="T503" s="312"/>
      <c r="U503" s="312"/>
      <c r="V503" s="312"/>
      <c r="W503" s="312"/>
      <c r="X503" s="312"/>
      <c r="Y503" s="312"/>
      <c r="Z503" s="312"/>
      <c r="AA503" s="312"/>
      <c r="AB503" s="312"/>
      <c r="AC503" s="396"/>
      <c r="AD503" s="312"/>
      <c r="AE503" s="312"/>
      <c r="AF503" s="312"/>
      <c r="AG503" s="312"/>
      <c r="AH503" s="312"/>
      <c r="AI503" s="312"/>
      <c r="AJ503" s="312"/>
      <c r="AK503" s="312"/>
      <c r="AL503" s="312"/>
      <c r="AM503" s="312"/>
      <c r="AN503" s="312"/>
      <c r="AO503" s="312"/>
      <c r="AP503" s="312"/>
      <c r="AQ503" s="312"/>
      <c r="AR503" s="312"/>
      <c r="AS503" s="312"/>
      <c r="AT503" s="312"/>
      <c r="AU503" s="312"/>
      <c r="AV503" s="312"/>
      <c r="AW503" s="312"/>
      <c r="AX503" s="312"/>
      <c r="AY503" s="312"/>
      <c r="AZ503" s="312"/>
      <c r="BA503" s="312"/>
      <c r="BB503" s="312"/>
      <c r="BC503" s="312"/>
      <c r="BD503" s="316"/>
      <c r="BE503" s="316"/>
      <c r="BF503" s="316"/>
      <c r="BG503" s="316"/>
      <c r="BH503" s="316"/>
      <c r="BI503" s="316"/>
      <c r="BJ503" s="316"/>
      <c r="BK503" s="316"/>
      <c r="BL503" s="316"/>
      <c r="BM503" s="316"/>
      <c r="BN503" s="316"/>
      <c r="BO503" s="316"/>
      <c r="BP503" s="316"/>
      <c r="BQ503" s="316"/>
      <c r="BR503" s="316"/>
      <c r="BS503" s="316"/>
      <c r="BT503" s="316"/>
      <c r="BU503" s="316"/>
      <c r="BV503" s="316"/>
      <c r="BW503" s="316"/>
      <c r="BX503" s="316"/>
      <c r="BY503" s="316"/>
      <c r="BZ503" s="316"/>
      <c r="CA503" s="316"/>
      <c r="CB503" s="316"/>
      <c r="CC503" s="316"/>
      <c r="CD503" s="316"/>
    </row>
    <row r="504" ht="15.75" customHeight="1">
      <c r="A504" s="308"/>
      <c r="B504" s="312"/>
      <c r="C504" s="312"/>
      <c r="D504" s="312"/>
      <c r="E504" s="312"/>
      <c r="F504" s="312"/>
      <c r="G504" s="312"/>
      <c r="H504" s="312"/>
      <c r="I504" s="312"/>
      <c r="J504" s="312"/>
      <c r="K504" s="312"/>
      <c r="L504" s="312"/>
      <c r="M504" s="312"/>
      <c r="N504" s="312"/>
      <c r="O504" s="312"/>
      <c r="P504" s="312"/>
      <c r="Q504" s="312"/>
      <c r="R504" s="312"/>
      <c r="S504" s="312"/>
      <c r="T504" s="312"/>
      <c r="U504" s="312"/>
      <c r="V504" s="312"/>
      <c r="W504" s="312"/>
      <c r="X504" s="312"/>
      <c r="Y504" s="312"/>
      <c r="Z504" s="312"/>
      <c r="AA504" s="312"/>
      <c r="AB504" s="312"/>
      <c r="AC504" s="396"/>
      <c r="AD504" s="312"/>
      <c r="AE504" s="312"/>
      <c r="AF504" s="312"/>
      <c r="AG504" s="312"/>
      <c r="AH504" s="312"/>
      <c r="AI504" s="312"/>
      <c r="AJ504" s="312"/>
      <c r="AK504" s="312"/>
      <c r="AL504" s="312"/>
      <c r="AM504" s="312"/>
      <c r="AN504" s="312"/>
      <c r="AO504" s="312"/>
      <c r="AP504" s="312"/>
      <c r="AQ504" s="312"/>
      <c r="AR504" s="312"/>
      <c r="AS504" s="312"/>
      <c r="AT504" s="312"/>
      <c r="AU504" s="312"/>
      <c r="AV504" s="312"/>
      <c r="AW504" s="312"/>
      <c r="AX504" s="312"/>
      <c r="AY504" s="312"/>
      <c r="AZ504" s="312"/>
      <c r="BA504" s="312"/>
      <c r="BB504" s="312"/>
      <c r="BC504" s="312"/>
      <c r="BD504" s="316"/>
      <c r="BE504" s="316"/>
      <c r="BF504" s="316"/>
      <c r="BG504" s="316"/>
      <c r="BH504" s="316"/>
      <c r="BI504" s="316"/>
      <c r="BJ504" s="316"/>
      <c r="BK504" s="316"/>
      <c r="BL504" s="316"/>
      <c r="BM504" s="316"/>
      <c r="BN504" s="316"/>
      <c r="BO504" s="316"/>
      <c r="BP504" s="316"/>
      <c r="BQ504" s="316"/>
      <c r="BR504" s="316"/>
      <c r="BS504" s="316"/>
      <c r="BT504" s="316"/>
      <c r="BU504" s="316"/>
      <c r="BV504" s="316"/>
      <c r="BW504" s="316"/>
      <c r="BX504" s="316"/>
      <c r="BY504" s="316"/>
      <c r="BZ504" s="316"/>
      <c r="CA504" s="316"/>
      <c r="CB504" s="316"/>
      <c r="CC504" s="316"/>
      <c r="CD504" s="316"/>
    </row>
    <row r="505" ht="15.75" customHeight="1">
      <c r="A505" s="308"/>
      <c r="B505" s="312"/>
      <c r="C505" s="312"/>
      <c r="D505" s="312"/>
      <c r="E505" s="312"/>
      <c r="F505" s="312"/>
      <c r="G505" s="312"/>
      <c r="H505" s="312"/>
      <c r="I505" s="312"/>
      <c r="J505" s="312"/>
      <c r="K505" s="312"/>
      <c r="L505" s="312"/>
      <c r="M505" s="312"/>
      <c r="N505" s="312"/>
      <c r="O505" s="312"/>
      <c r="P505" s="312"/>
      <c r="Q505" s="312"/>
      <c r="R505" s="312"/>
      <c r="S505" s="312"/>
      <c r="T505" s="312"/>
      <c r="U505" s="312"/>
      <c r="V505" s="312"/>
      <c r="W505" s="312"/>
      <c r="X505" s="312"/>
      <c r="Y505" s="312"/>
      <c r="Z505" s="312"/>
      <c r="AA505" s="312"/>
      <c r="AB505" s="312"/>
      <c r="AC505" s="396"/>
      <c r="AD505" s="312"/>
      <c r="AE505" s="312"/>
      <c r="AF505" s="312"/>
      <c r="AG505" s="312"/>
      <c r="AH505" s="312"/>
      <c r="AI505" s="312"/>
      <c r="AJ505" s="312"/>
      <c r="AK505" s="312"/>
      <c r="AL505" s="312"/>
      <c r="AM505" s="312"/>
      <c r="AN505" s="312"/>
      <c r="AO505" s="312"/>
      <c r="AP505" s="312"/>
      <c r="AQ505" s="312"/>
      <c r="AR505" s="312"/>
      <c r="AS505" s="312"/>
      <c r="AT505" s="312"/>
      <c r="AU505" s="312"/>
      <c r="AV505" s="312"/>
      <c r="AW505" s="312"/>
      <c r="AX505" s="312"/>
      <c r="AY505" s="312"/>
      <c r="AZ505" s="312"/>
      <c r="BA505" s="312"/>
      <c r="BB505" s="312"/>
      <c r="BC505" s="312"/>
      <c r="BD505" s="316"/>
      <c r="BE505" s="316"/>
      <c r="BF505" s="316"/>
      <c r="BG505" s="316"/>
      <c r="BH505" s="316"/>
      <c r="BI505" s="316"/>
      <c r="BJ505" s="316"/>
      <c r="BK505" s="316"/>
      <c r="BL505" s="316"/>
      <c r="BM505" s="316"/>
      <c r="BN505" s="316"/>
      <c r="BO505" s="316"/>
      <c r="BP505" s="316"/>
      <c r="BQ505" s="316"/>
      <c r="BR505" s="316"/>
      <c r="BS505" s="316"/>
      <c r="BT505" s="316"/>
      <c r="BU505" s="316"/>
      <c r="BV505" s="316"/>
      <c r="BW505" s="316"/>
      <c r="BX505" s="316"/>
      <c r="BY505" s="316"/>
      <c r="BZ505" s="316"/>
      <c r="CA505" s="316"/>
      <c r="CB505" s="316"/>
      <c r="CC505" s="316"/>
      <c r="CD505" s="316"/>
    </row>
    <row r="506" ht="15.75" customHeight="1">
      <c r="A506" s="308"/>
      <c r="B506" s="312"/>
      <c r="C506" s="312"/>
      <c r="D506" s="312"/>
      <c r="E506" s="312"/>
      <c r="F506" s="312"/>
      <c r="G506" s="312"/>
      <c r="H506" s="312"/>
      <c r="I506" s="312"/>
      <c r="J506" s="312"/>
      <c r="K506" s="312"/>
      <c r="L506" s="312"/>
      <c r="M506" s="312"/>
      <c r="N506" s="312"/>
      <c r="O506" s="312"/>
      <c r="P506" s="312"/>
      <c r="Q506" s="312"/>
      <c r="R506" s="312"/>
      <c r="S506" s="312"/>
      <c r="T506" s="312"/>
      <c r="U506" s="312"/>
      <c r="V506" s="312"/>
      <c r="W506" s="312"/>
      <c r="X506" s="312"/>
      <c r="Y506" s="312"/>
      <c r="Z506" s="312"/>
      <c r="AA506" s="312"/>
      <c r="AB506" s="312"/>
      <c r="AC506" s="396"/>
      <c r="AD506" s="312"/>
      <c r="AE506" s="312"/>
      <c r="AF506" s="312"/>
      <c r="AG506" s="312"/>
      <c r="AH506" s="312"/>
      <c r="AI506" s="312"/>
      <c r="AJ506" s="312"/>
      <c r="AK506" s="312"/>
      <c r="AL506" s="312"/>
      <c r="AM506" s="312"/>
      <c r="AN506" s="312"/>
      <c r="AO506" s="312"/>
      <c r="AP506" s="312"/>
      <c r="AQ506" s="312"/>
      <c r="AR506" s="312"/>
      <c r="AS506" s="312"/>
      <c r="AT506" s="312"/>
      <c r="AU506" s="312"/>
      <c r="AV506" s="312"/>
      <c r="AW506" s="312"/>
      <c r="AX506" s="312"/>
      <c r="AY506" s="312"/>
      <c r="AZ506" s="312"/>
      <c r="BA506" s="312"/>
      <c r="BB506" s="312"/>
      <c r="BC506" s="312"/>
      <c r="BD506" s="316"/>
      <c r="BE506" s="316"/>
      <c r="BF506" s="316"/>
      <c r="BG506" s="316"/>
      <c r="BH506" s="316"/>
      <c r="BI506" s="316"/>
      <c r="BJ506" s="316"/>
      <c r="BK506" s="316"/>
      <c r="BL506" s="316"/>
      <c r="BM506" s="316"/>
      <c r="BN506" s="316"/>
      <c r="BO506" s="316"/>
      <c r="BP506" s="316"/>
      <c r="BQ506" s="316"/>
      <c r="BR506" s="316"/>
      <c r="BS506" s="316"/>
      <c r="BT506" s="316"/>
      <c r="BU506" s="316"/>
      <c r="BV506" s="316"/>
      <c r="BW506" s="316"/>
      <c r="BX506" s="316"/>
      <c r="BY506" s="316"/>
      <c r="BZ506" s="316"/>
      <c r="CA506" s="316"/>
      <c r="CB506" s="316"/>
      <c r="CC506" s="316"/>
      <c r="CD506" s="316"/>
    </row>
    <row r="507" ht="15.75" customHeight="1">
      <c r="A507" s="308"/>
      <c r="B507" s="312"/>
      <c r="C507" s="312"/>
      <c r="D507" s="312"/>
      <c r="E507" s="312"/>
      <c r="F507" s="312"/>
      <c r="G507" s="312"/>
      <c r="H507" s="312"/>
      <c r="I507" s="312"/>
      <c r="J507" s="312"/>
      <c r="K507" s="312"/>
      <c r="L507" s="312"/>
      <c r="M507" s="312"/>
      <c r="N507" s="312"/>
      <c r="O507" s="312"/>
      <c r="P507" s="312"/>
      <c r="Q507" s="312"/>
      <c r="R507" s="312"/>
      <c r="S507" s="312"/>
      <c r="T507" s="312"/>
      <c r="U507" s="312"/>
      <c r="V507" s="312"/>
      <c r="W507" s="312"/>
      <c r="X507" s="312"/>
      <c r="Y507" s="312"/>
      <c r="Z507" s="312"/>
      <c r="AA507" s="312"/>
      <c r="AB507" s="312"/>
      <c r="AC507" s="396"/>
      <c r="AD507" s="312"/>
      <c r="AE507" s="312"/>
      <c r="AF507" s="312"/>
      <c r="AG507" s="312"/>
      <c r="AH507" s="312"/>
      <c r="AI507" s="312"/>
      <c r="AJ507" s="312"/>
      <c r="AK507" s="312"/>
      <c r="AL507" s="312"/>
      <c r="AM507" s="312"/>
      <c r="AN507" s="312"/>
      <c r="AO507" s="312"/>
      <c r="AP507" s="312"/>
      <c r="AQ507" s="312"/>
      <c r="AR507" s="312"/>
      <c r="AS507" s="312"/>
      <c r="AT507" s="312"/>
      <c r="AU507" s="312"/>
      <c r="AV507" s="312"/>
      <c r="AW507" s="312"/>
      <c r="AX507" s="312"/>
      <c r="AY507" s="312"/>
      <c r="AZ507" s="312"/>
      <c r="BA507" s="312"/>
      <c r="BB507" s="312"/>
      <c r="BC507" s="312"/>
      <c r="BD507" s="316"/>
      <c r="BE507" s="316"/>
      <c r="BF507" s="316"/>
      <c r="BG507" s="316"/>
      <c r="BH507" s="316"/>
      <c r="BI507" s="316"/>
      <c r="BJ507" s="316"/>
      <c r="BK507" s="316"/>
      <c r="BL507" s="316"/>
      <c r="BM507" s="316"/>
      <c r="BN507" s="316"/>
      <c r="BO507" s="316"/>
      <c r="BP507" s="316"/>
      <c r="BQ507" s="316"/>
      <c r="BR507" s="316"/>
      <c r="BS507" s="316"/>
      <c r="BT507" s="316"/>
      <c r="BU507" s="316"/>
      <c r="BV507" s="316"/>
      <c r="BW507" s="316"/>
      <c r="BX507" s="316"/>
      <c r="BY507" s="316"/>
      <c r="BZ507" s="316"/>
      <c r="CA507" s="316"/>
      <c r="CB507" s="316"/>
      <c r="CC507" s="316"/>
      <c r="CD507" s="316"/>
    </row>
    <row r="508" ht="15.75" customHeight="1">
      <c r="A508" s="308"/>
      <c r="B508" s="312"/>
      <c r="C508" s="312"/>
      <c r="D508" s="312"/>
      <c r="E508" s="312"/>
      <c r="F508" s="312"/>
      <c r="G508" s="312"/>
      <c r="H508" s="312"/>
      <c r="I508" s="312"/>
      <c r="J508" s="312"/>
      <c r="K508" s="312"/>
      <c r="L508" s="312"/>
      <c r="M508" s="312"/>
      <c r="N508" s="312"/>
      <c r="O508" s="312"/>
      <c r="P508" s="312"/>
      <c r="Q508" s="312"/>
      <c r="R508" s="312"/>
      <c r="S508" s="312"/>
      <c r="T508" s="312"/>
      <c r="U508" s="312"/>
      <c r="V508" s="312"/>
      <c r="W508" s="312"/>
      <c r="X508" s="312"/>
      <c r="Y508" s="312"/>
      <c r="Z508" s="312"/>
      <c r="AA508" s="312"/>
      <c r="AB508" s="312"/>
      <c r="AC508" s="396"/>
      <c r="AD508" s="312"/>
      <c r="AE508" s="312"/>
      <c r="AF508" s="312"/>
      <c r="AG508" s="312"/>
      <c r="AH508" s="312"/>
      <c r="AI508" s="312"/>
      <c r="AJ508" s="312"/>
      <c r="AK508" s="312"/>
      <c r="AL508" s="312"/>
      <c r="AM508" s="312"/>
      <c r="AN508" s="312"/>
      <c r="AO508" s="312"/>
      <c r="AP508" s="312"/>
      <c r="AQ508" s="312"/>
      <c r="AR508" s="312"/>
      <c r="AS508" s="312"/>
      <c r="AT508" s="312"/>
      <c r="AU508" s="312"/>
      <c r="AV508" s="312"/>
      <c r="AW508" s="312"/>
      <c r="AX508" s="312"/>
      <c r="AY508" s="312"/>
      <c r="AZ508" s="312"/>
      <c r="BA508" s="312"/>
      <c r="BB508" s="312"/>
      <c r="BC508" s="312"/>
      <c r="BD508" s="316"/>
      <c r="BE508" s="316"/>
      <c r="BF508" s="316"/>
      <c r="BG508" s="316"/>
      <c r="BH508" s="316"/>
      <c r="BI508" s="316"/>
      <c r="BJ508" s="316"/>
      <c r="BK508" s="316"/>
      <c r="BL508" s="316"/>
      <c r="BM508" s="316"/>
      <c r="BN508" s="316"/>
      <c r="BO508" s="316"/>
      <c r="BP508" s="316"/>
      <c r="BQ508" s="316"/>
      <c r="BR508" s="316"/>
      <c r="BS508" s="316"/>
      <c r="BT508" s="316"/>
      <c r="BU508" s="316"/>
      <c r="BV508" s="316"/>
      <c r="BW508" s="316"/>
      <c r="BX508" s="316"/>
      <c r="BY508" s="316"/>
      <c r="BZ508" s="316"/>
      <c r="CA508" s="316"/>
      <c r="CB508" s="316"/>
      <c r="CC508" s="316"/>
      <c r="CD508" s="316"/>
    </row>
    <row r="509" ht="15.75" customHeight="1">
      <c r="A509" s="308"/>
      <c r="B509" s="312"/>
      <c r="C509" s="312"/>
      <c r="D509" s="312"/>
      <c r="E509" s="312"/>
      <c r="F509" s="312"/>
      <c r="G509" s="312"/>
      <c r="H509" s="312"/>
      <c r="I509" s="312"/>
      <c r="J509" s="312"/>
      <c r="K509" s="312"/>
      <c r="L509" s="312"/>
      <c r="M509" s="312"/>
      <c r="N509" s="312"/>
      <c r="O509" s="312"/>
      <c r="P509" s="312"/>
      <c r="Q509" s="312"/>
      <c r="R509" s="312"/>
      <c r="S509" s="312"/>
      <c r="T509" s="312"/>
      <c r="U509" s="312"/>
      <c r="V509" s="312"/>
      <c r="W509" s="312"/>
      <c r="X509" s="312"/>
      <c r="Y509" s="312"/>
      <c r="Z509" s="312"/>
      <c r="AA509" s="312"/>
      <c r="AB509" s="312"/>
      <c r="AC509" s="396"/>
      <c r="AD509" s="312"/>
      <c r="AE509" s="312"/>
      <c r="AF509" s="312"/>
      <c r="AG509" s="312"/>
      <c r="AH509" s="312"/>
      <c r="AI509" s="312"/>
      <c r="AJ509" s="312"/>
      <c r="AK509" s="312"/>
      <c r="AL509" s="312"/>
      <c r="AM509" s="312"/>
      <c r="AN509" s="312"/>
      <c r="AO509" s="312"/>
      <c r="AP509" s="312"/>
      <c r="AQ509" s="312"/>
      <c r="AR509" s="312"/>
      <c r="AS509" s="312"/>
      <c r="AT509" s="312"/>
      <c r="AU509" s="312"/>
      <c r="AV509" s="312"/>
      <c r="AW509" s="312"/>
      <c r="AX509" s="312"/>
      <c r="AY509" s="312"/>
      <c r="AZ509" s="312"/>
      <c r="BA509" s="312"/>
      <c r="BB509" s="312"/>
      <c r="BC509" s="312"/>
      <c r="BD509" s="316"/>
      <c r="BE509" s="316"/>
      <c r="BF509" s="316"/>
      <c r="BG509" s="316"/>
      <c r="BH509" s="316"/>
      <c r="BI509" s="316"/>
      <c r="BJ509" s="316"/>
      <c r="BK509" s="316"/>
      <c r="BL509" s="316"/>
      <c r="BM509" s="316"/>
      <c r="BN509" s="316"/>
      <c r="BO509" s="316"/>
      <c r="BP509" s="316"/>
      <c r="BQ509" s="316"/>
      <c r="BR509" s="316"/>
      <c r="BS509" s="316"/>
      <c r="BT509" s="316"/>
      <c r="BU509" s="316"/>
      <c r="BV509" s="316"/>
      <c r="BW509" s="316"/>
      <c r="BX509" s="316"/>
      <c r="BY509" s="316"/>
      <c r="BZ509" s="316"/>
      <c r="CA509" s="316"/>
      <c r="CB509" s="316"/>
      <c r="CC509" s="316"/>
      <c r="CD509" s="316"/>
    </row>
    <row r="510" ht="15.75" customHeight="1">
      <c r="A510" s="308"/>
      <c r="B510" s="312"/>
      <c r="C510" s="312"/>
      <c r="D510" s="312"/>
      <c r="E510" s="312"/>
      <c r="F510" s="312"/>
      <c r="G510" s="312"/>
      <c r="H510" s="312"/>
      <c r="I510" s="312"/>
      <c r="J510" s="312"/>
      <c r="K510" s="312"/>
      <c r="L510" s="312"/>
      <c r="M510" s="312"/>
      <c r="N510" s="312"/>
      <c r="O510" s="312"/>
      <c r="P510" s="312"/>
      <c r="Q510" s="312"/>
      <c r="R510" s="312"/>
      <c r="S510" s="312"/>
      <c r="T510" s="312"/>
      <c r="U510" s="312"/>
      <c r="V510" s="312"/>
      <c r="W510" s="312"/>
      <c r="X510" s="312"/>
      <c r="Y510" s="312"/>
      <c r="Z510" s="312"/>
      <c r="AA510" s="312"/>
      <c r="AB510" s="312"/>
      <c r="AC510" s="396"/>
      <c r="AD510" s="312"/>
      <c r="AE510" s="312"/>
      <c r="AF510" s="312"/>
      <c r="AG510" s="312"/>
      <c r="AH510" s="312"/>
      <c r="AI510" s="312"/>
      <c r="AJ510" s="312"/>
      <c r="AK510" s="312"/>
      <c r="AL510" s="312"/>
      <c r="AM510" s="312"/>
      <c r="AN510" s="312"/>
      <c r="AO510" s="312"/>
      <c r="AP510" s="312"/>
      <c r="AQ510" s="312"/>
      <c r="AR510" s="312"/>
      <c r="AS510" s="312"/>
      <c r="AT510" s="312"/>
      <c r="AU510" s="312"/>
      <c r="AV510" s="312"/>
      <c r="AW510" s="312"/>
      <c r="AX510" s="312"/>
      <c r="AY510" s="312"/>
      <c r="AZ510" s="312"/>
      <c r="BA510" s="312"/>
      <c r="BB510" s="312"/>
      <c r="BC510" s="312"/>
      <c r="BD510" s="316"/>
      <c r="BE510" s="316"/>
      <c r="BF510" s="316"/>
      <c r="BG510" s="316"/>
      <c r="BH510" s="316"/>
      <c r="BI510" s="316"/>
      <c r="BJ510" s="316"/>
      <c r="BK510" s="316"/>
      <c r="BL510" s="316"/>
      <c r="BM510" s="316"/>
      <c r="BN510" s="316"/>
      <c r="BO510" s="316"/>
      <c r="BP510" s="316"/>
      <c r="BQ510" s="316"/>
      <c r="BR510" s="316"/>
      <c r="BS510" s="316"/>
      <c r="BT510" s="316"/>
      <c r="BU510" s="316"/>
      <c r="BV510" s="316"/>
      <c r="BW510" s="316"/>
      <c r="BX510" s="316"/>
      <c r="BY510" s="316"/>
      <c r="BZ510" s="316"/>
      <c r="CA510" s="316"/>
      <c r="CB510" s="316"/>
      <c r="CC510" s="316"/>
      <c r="CD510" s="316"/>
    </row>
    <row r="511" ht="15.75" customHeight="1">
      <c r="A511" s="308"/>
      <c r="B511" s="312"/>
      <c r="C511" s="312"/>
      <c r="D511" s="312"/>
      <c r="E511" s="312"/>
      <c r="F511" s="312"/>
      <c r="G511" s="312"/>
      <c r="H511" s="312"/>
      <c r="I511" s="312"/>
      <c r="J511" s="312"/>
      <c r="K511" s="312"/>
      <c r="L511" s="312"/>
      <c r="M511" s="312"/>
      <c r="N511" s="312"/>
      <c r="O511" s="312"/>
      <c r="P511" s="312"/>
      <c r="Q511" s="312"/>
      <c r="R511" s="312"/>
      <c r="S511" s="312"/>
      <c r="T511" s="312"/>
      <c r="U511" s="312"/>
      <c r="V511" s="312"/>
      <c r="W511" s="312"/>
      <c r="X511" s="312"/>
      <c r="Y511" s="312"/>
      <c r="Z511" s="312"/>
      <c r="AA511" s="312"/>
      <c r="AB511" s="312"/>
      <c r="AC511" s="396"/>
      <c r="AD511" s="312"/>
      <c r="AE511" s="312"/>
      <c r="AF511" s="312"/>
      <c r="AG511" s="312"/>
      <c r="AH511" s="312"/>
      <c r="AI511" s="312"/>
      <c r="AJ511" s="312"/>
      <c r="AK511" s="312"/>
      <c r="AL511" s="312"/>
      <c r="AM511" s="312"/>
      <c r="AN511" s="312"/>
      <c r="AO511" s="312"/>
      <c r="AP511" s="312"/>
      <c r="AQ511" s="312"/>
      <c r="AR511" s="312"/>
      <c r="AS511" s="312"/>
      <c r="AT511" s="312"/>
      <c r="AU511" s="312"/>
      <c r="AV511" s="312"/>
      <c r="AW511" s="312"/>
      <c r="AX511" s="312"/>
      <c r="AY511" s="312"/>
      <c r="AZ511" s="312"/>
      <c r="BA511" s="312"/>
      <c r="BB511" s="312"/>
      <c r="BC511" s="312"/>
      <c r="BD511" s="316"/>
      <c r="BE511" s="316"/>
      <c r="BF511" s="316"/>
      <c r="BG511" s="316"/>
      <c r="BH511" s="316"/>
      <c r="BI511" s="316"/>
      <c r="BJ511" s="316"/>
      <c r="BK511" s="316"/>
      <c r="BL511" s="316"/>
      <c r="BM511" s="316"/>
      <c r="BN511" s="316"/>
      <c r="BO511" s="316"/>
      <c r="BP511" s="316"/>
      <c r="BQ511" s="316"/>
      <c r="BR511" s="316"/>
      <c r="BS511" s="316"/>
      <c r="BT511" s="316"/>
      <c r="BU511" s="316"/>
      <c r="BV511" s="316"/>
      <c r="BW511" s="316"/>
      <c r="BX511" s="316"/>
      <c r="BY511" s="316"/>
      <c r="BZ511" s="316"/>
      <c r="CA511" s="316"/>
      <c r="CB511" s="316"/>
      <c r="CC511" s="316"/>
      <c r="CD511" s="316"/>
    </row>
    <row r="512" ht="15.75" customHeight="1">
      <c r="A512" s="308"/>
      <c r="B512" s="312"/>
      <c r="C512" s="312"/>
      <c r="D512" s="312"/>
      <c r="E512" s="312"/>
      <c r="F512" s="312"/>
      <c r="G512" s="312"/>
      <c r="H512" s="312"/>
      <c r="I512" s="312"/>
      <c r="J512" s="312"/>
      <c r="K512" s="312"/>
      <c r="L512" s="312"/>
      <c r="M512" s="312"/>
      <c r="N512" s="312"/>
      <c r="O512" s="312"/>
      <c r="P512" s="312"/>
      <c r="Q512" s="312"/>
      <c r="R512" s="312"/>
      <c r="S512" s="312"/>
      <c r="T512" s="312"/>
      <c r="U512" s="312"/>
      <c r="V512" s="312"/>
      <c r="W512" s="312"/>
      <c r="X512" s="312"/>
      <c r="Y512" s="312"/>
      <c r="Z512" s="312"/>
      <c r="AA512" s="312"/>
      <c r="AB512" s="312"/>
      <c r="AC512" s="396"/>
      <c r="AD512" s="312"/>
      <c r="AE512" s="312"/>
      <c r="AF512" s="312"/>
      <c r="AG512" s="312"/>
      <c r="AH512" s="312"/>
      <c r="AI512" s="312"/>
      <c r="AJ512" s="312"/>
      <c r="AK512" s="312"/>
      <c r="AL512" s="312"/>
      <c r="AM512" s="312"/>
      <c r="AN512" s="312"/>
      <c r="AO512" s="312"/>
      <c r="AP512" s="312"/>
      <c r="AQ512" s="312"/>
      <c r="AR512" s="312"/>
      <c r="AS512" s="312"/>
      <c r="AT512" s="312"/>
      <c r="AU512" s="312"/>
      <c r="AV512" s="312"/>
      <c r="AW512" s="312"/>
      <c r="AX512" s="312"/>
      <c r="AY512" s="312"/>
      <c r="AZ512" s="312"/>
      <c r="BA512" s="312"/>
      <c r="BB512" s="312"/>
      <c r="BC512" s="312"/>
      <c r="BD512" s="316"/>
      <c r="BE512" s="316"/>
      <c r="BF512" s="316"/>
      <c r="BG512" s="316"/>
      <c r="BH512" s="316"/>
      <c r="BI512" s="316"/>
      <c r="BJ512" s="316"/>
      <c r="BK512" s="316"/>
      <c r="BL512" s="316"/>
      <c r="BM512" s="316"/>
      <c r="BN512" s="316"/>
      <c r="BO512" s="316"/>
      <c r="BP512" s="316"/>
      <c r="BQ512" s="316"/>
      <c r="BR512" s="316"/>
      <c r="BS512" s="316"/>
      <c r="BT512" s="316"/>
      <c r="BU512" s="316"/>
      <c r="BV512" s="316"/>
      <c r="BW512" s="316"/>
      <c r="BX512" s="316"/>
      <c r="BY512" s="316"/>
      <c r="BZ512" s="316"/>
      <c r="CA512" s="316"/>
      <c r="CB512" s="316"/>
      <c r="CC512" s="316"/>
      <c r="CD512" s="316"/>
    </row>
    <row r="513" ht="15.75" customHeight="1">
      <c r="A513" s="308"/>
      <c r="B513" s="312"/>
      <c r="C513" s="312"/>
      <c r="D513" s="312"/>
      <c r="E513" s="312"/>
      <c r="F513" s="312"/>
      <c r="G513" s="312"/>
      <c r="H513" s="312"/>
      <c r="I513" s="312"/>
      <c r="J513" s="312"/>
      <c r="K513" s="312"/>
      <c r="L513" s="312"/>
      <c r="M513" s="312"/>
      <c r="N513" s="312"/>
      <c r="O513" s="312"/>
      <c r="P513" s="312"/>
      <c r="Q513" s="312"/>
      <c r="R513" s="312"/>
      <c r="S513" s="312"/>
      <c r="T513" s="312"/>
      <c r="U513" s="312"/>
      <c r="V513" s="312"/>
      <c r="W513" s="312"/>
      <c r="X513" s="312"/>
      <c r="Y513" s="312"/>
      <c r="Z513" s="312"/>
      <c r="AA513" s="312"/>
      <c r="AB513" s="312"/>
      <c r="AC513" s="396"/>
      <c r="AD513" s="312"/>
      <c r="AE513" s="312"/>
      <c r="AF513" s="312"/>
      <c r="AG513" s="312"/>
      <c r="AH513" s="312"/>
      <c r="AI513" s="312"/>
      <c r="AJ513" s="312"/>
      <c r="AK513" s="312"/>
      <c r="AL513" s="312"/>
      <c r="AM513" s="312"/>
      <c r="AN513" s="312"/>
      <c r="AO513" s="312"/>
      <c r="AP513" s="312"/>
      <c r="AQ513" s="312"/>
      <c r="AR513" s="312"/>
      <c r="AS513" s="312"/>
      <c r="AT513" s="312"/>
      <c r="AU513" s="312"/>
      <c r="AV513" s="312"/>
      <c r="AW513" s="312"/>
      <c r="AX513" s="312"/>
      <c r="AY513" s="312"/>
      <c r="AZ513" s="312"/>
      <c r="BA513" s="312"/>
      <c r="BB513" s="312"/>
      <c r="BC513" s="312"/>
      <c r="BD513" s="316"/>
      <c r="BE513" s="316"/>
      <c r="BF513" s="316"/>
      <c r="BG513" s="316"/>
      <c r="BH513" s="316"/>
      <c r="BI513" s="316"/>
      <c r="BJ513" s="316"/>
      <c r="BK513" s="316"/>
      <c r="BL513" s="316"/>
      <c r="BM513" s="316"/>
      <c r="BN513" s="316"/>
      <c r="BO513" s="316"/>
      <c r="BP513" s="316"/>
      <c r="BQ513" s="316"/>
      <c r="BR513" s="316"/>
      <c r="BS513" s="316"/>
      <c r="BT513" s="316"/>
      <c r="BU513" s="316"/>
      <c r="BV513" s="316"/>
      <c r="BW513" s="316"/>
      <c r="BX513" s="316"/>
      <c r="BY513" s="316"/>
      <c r="BZ513" s="316"/>
      <c r="CA513" s="316"/>
      <c r="CB513" s="316"/>
      <c r="CC513" s="316"/>
      <c r="CD513" s="316"/>
    </row>
    <row r="514" ht="15.75" customHeight="1">
      <c r="A514" s="308"/>
      <c r="B514" s="312"/>
      <c r="C514" s="312"/>
      <c r="D514" s="312"/>
      <c r="E514" s="312"/>
      <c r="F514" s="312"/>
      <c r="G514" s="312"/>
      <c r="H514" s="312"/>
      <c r="I514" s="312"/>
      <c r="J514" s="312"/>
      <c r="K514" s="312"/>
      <c r="L514" s="312"/>
      <c r="M514" s="312"/>
      <c r="N514" s="312"/>
      <c r="O514" s="312"/>
      <c r="P514" s="312"/>
      <c r="Q514" s="312"/>
      <c r="R514" s="312"/>
      <c r="S514" s="312"/>
      <c r="T514" s="312"/>
      <c r="U514" s="312"/>
      <c r="V514" s="312"/>
      <c r="W514" s="312"/>
      <c r="X514" s="312"/>
      <c r="Y514" s="312"/>
      <c r="Z514" s="312"/>
      <c r="AA514" s="312"/>
      <c r="AB514" s="312"/>
      <c r="AC514" s="396"/>
      <c r="AD514" s="312"/>
      <c r="AE514" s="312"/>
      <c r="AF514" s="312"/>
      <c r="AG514" s="312"/>
      <c r="AH514" s="312"/>
      <c r="AI514" s="312"/>
      <c r="AJ514" s="312"/>
      <c r="AK514" s="312"/>
      <c r="AL514" s="312"/>
      <c r="AM514" s="312"/>
      <c r="AN514" s="312"/>
      <c r="AO514" s="312"/>
      <c r="AP514" s="312"/>
      <c r="AQ514" s="312"/>
      <c r="AR514" s="312"/>
      <c r="AS514" s="312"/>
      <c r="AT514" s="312"/>
      <c r="AU514" s="312"/>
      <c r="AV514" s="312"/>
      <c r="AW514" s="312"/>
      <c r="AX514" s="312"/>
      <c r="AY514" s="312"/>
      <c r="AZ514" s="312"/>
      <c r="BA514" s="312"/>
      <c r="BB514" s="312"/>
      <c r="BC514" s="312"/>
      <c r="BD514" s="316"/>
      <c r="BE514" s="316"/>
      <c r="BF514" s="316"/>
      <c r="BG514" s="316"/>
      <c r="BH514" s="316"/>
      <c r="BI514" s="316"/>
      <c r="BJ514" s="316"/>
      <c r="BK514" s="316"/>
      <c r="BL514" s="316"/>
      <c r="BM514" s="316"/>
      <c r="BN514" s="316"/>
      <c r="BO514" s="316"/>
      <c r="BP514" s="316"/>
      <c r="BQ514" s="316"/>
      <c r="BR514" s="316"/>
      <c r="BS514" s="316"/>
      <c r="BT514" s="316"/>
      <c r="BU514" s="316"/>
      <c r="BV514" s="316"/>
      <c r="BW514" s="316"/>
      <c r="BX514" s="316"/>
      <c r="BY514" s="316"/>
      <c r="BZ514" s="316"/>
      <c r="CA514" s="316"/>
      <c r="CB514" s="316"/>
      <c r="CC514" s="316"/>
      <c r="CD514" s="316"/>
    </row>
    <row r="515" ht="15.75" customHeight="1">
      <c r="A515" s="308"/>
      <c r="B515" s="312"/>
      <c r="C515" s="312"/>
      <c r="D515" s="312"/>
      <c r="E515" s="312"/>
      <c r="F515" s="312"/>
      <c r="G515" s="312"/>
      <c r="H515" s="312"/>
      <c r="I515" s="312"/>
      <c r="J515" s="312"/>
      <c r="K515" s="312"/>
      <c r="L515" s="312"/>
      <c r="M515" s="312"/>
      <c r="N515" s="312"/>
      <c r="O515" s="312"/>
      <c r="P515" s="312"/>
      <c r="Q515" s="312"/>
      <c r="R515" s="312"/>
      <c r="S515" s="312"/>
      <c r="T515" s="312"/>
      <c r="U515" s="312"/>
      <c r="V515" s="312"/>
      <c r="W515" s="312"/>
      <c r="X515" s="312"/>
      <c r="Y515" s="312"/>
      <c r="Z515" s="312"/>
      <c r="AA515" s="312"/>
      <c r="AB515" s="312"/>
      <c r="AC515" s="396"/>
      <c r="AD515" s="312"/>
      <c r="AE515" s="312"/>
      <c r="AF515" s="312"/>
      <c r="AG515" s="312"/>
      <c r="AH515" s="312"/>
      <c r="AI515" s="312"/>
      <c r="AJ515" s="312"/>
      <c r="AK515" s="312"/>
      <c r="AL515" s="312"/>
      <c r="AM515" s="312"/>
      <c r="AN515" s="312"/>
      <c r="AO515" s="312"/>
      <c r="AP515" s="312"/>
      <c r="AQ515" s="312"/>
      <c r="AR515" s="312"/>
      <c r="AS515" s="312"/>
      <c r="AT515" s="312"/>
      <c r="AU515" s="312"/>
      <c r="AV515" s="312"/>
      <c r="AW515" s="312"/>
      <c r="AX515" s="312"/>
      <c r="AY515" s="312"/>
      <c r="AZ515" s="312"/>
      <c r="BA515" s="312"/>
      <c r="BB515" s="312"/>
      <c r="BC515" s="312"/>
      <c r="BD515" s="316"/>
      <c r="BE515" s="316"/>
      <c r="BF515" s="316"/>
      <c r="BG515" s="316"/>
      <c r="BH515" s="316"/>
      <c r="BI515" s="316"/>
      <c r="BJ515" s="316"/>
      <c r="BK515" s="316"/>
      <c r="BL515" s="316"/>
      <c r="BM515" s="316"/>
      <c r="BN515" s="316"/>
      <c r="BO515" s="316"/>
      <c r="BP515" s="316"/>
      <c r="BQ515" s="316"/>
      <c r="BR515" s="316"/>
      <c r="BS515" s="316"/>
      <c r="BT515" s="316"/>
      <c r="BU515" s="316"/>
      <c r="BV515" s="316"/>
      <c r="BW515" s="316"/>
      <c r="BX515" s="316"/>
      <c r="BY515" s="316"/>
      <c r="BZ515" s="316"/>
      <c r="CA515" s="316"/>
      <c r="CB515" s="316"/>
      <c r="CC515" s="316"/>
      <c r="CD515" s="316"/>
    </row>
    <row r="516" ht="15.75" customHeight="1">
      <c r="A516" s="308"/>
      <c r="B516" s="312"/>
      <c r="C516" s="312"/>
      <c r="D516" s="312"/>
      <c r="E516" s="312"/>
      <c r="F516" s="312"/>
      <c r="G516" s="312"/>
      <c r="H516" s="312"/>
      <c r="I516" s="312"/>
      <c r="J516" s="312"/>
      <c r="K516" s="312"/>
      <c r="L516" s="312"/>
      <c r="M516" s="312"/>
      <c r="N516" s="312"/>
      <c r="O516" s="312"/>
      <c r="P516" s="312"/>
      <c r="Q516" s="312"/>
      <c r="R516" s="312"/>
      <c r="S516" s="312"/>
      <c r="T516" s="312"/>
      <c r="U516" s="312"/>
      <c r="V516" s="312"/>
      <c r="W516" s="312"/>
      <c r="X516" s="312"/>
      <c r="Y516" s="312"/>
      <c r="Z516" s="312"/>
      <c r="AA516" s="312"/>
      <c r="AB516" s="312"/>
      <c r="AC516" s="396"/>
      <c r="AD516" s="312"/>
      <c r="AE516" s="312"/>
      <c r="AF516" s="312"/>
      <c r="AG516" s="312"/>
      <c r="AH516" s="312"/>
      <c r="AI516" s="312"/>
      <c r="AJ516" s="312"/>
      <c r="AK516" s="312"/>
      <c r="AL516" s="312"/>
      <c r="AM516" s="312"/>
      <c r="AN516" s="312"/>
      <c r="AO516" s="312"/>
      <c r="AP516" s="312"/>
      <c r="AQ516" s="312"/>
      <c r="AR516" s="312"/>
      <c r="AS516" s="312"/>
      <c r="AT516" s="312"/>
      <c r="AU516" s="312"/>
      <c r="AV516" s="312"/>
      <c r="AW516" s="312"/>
      <c r="AX516" s="312"/>
      <c r="AY516" s="312"/>
      <c r="AZ516" s="312"/>
      <c r="BA516" s="312"/>
      <c r="BB516" s="312"/>
      <c r="BC516" s="312"/>
      <c r="BD516" s="316"/>
      <c r="BE516" s="316"/>
      <c r="BF516" s="316"/>
      <c r="BG516" s="316"/>
      <c r="BH516" s="316"/>
      <c r="BI516" s="316"/>
      <c r="BJ516" s="316"/>
      <c r="BK516" s="316"/>
      <c r="BL516" s="316"/>
      <c r="BM516" s="316"/>
      <c r="BN516" s="316"/>
      <c r="BO516" s="316"/>
      <c r="BP516" s="316"/>
      <c r="BQ516" s="316"/>
      <c r="BR516" s="316"/>
      <c r="BS516" s="316"/>
      <c r="BT516" s="316"/>
      <c r="BU516" s="316"/>
      <c r="BV516" s="316"/>
      <c r="BW516" s="316"/>
      <c r="BX516" s="316"/>
      <c r="BY516" s="316"/>
      <c r="BZ516" s="316"/>
      <c r="CA516" s="316"/>
      <c r="CB516" s="316"/>
      <c r="CC516" s="316"/>
      <c r="CD516" s="316"/>
    </row>
    <row r="517" ht="15.75" customHeight="1">
      <c r="A517" s="308"/>
      <c r="B517" s="312"/>
      <c r="C517" s="312"/>
      <c r="D517" s="312"/>
      <c r="E517" s="312"/>
      <c r="F517" s="312"/>
      <c r="G517" s="312"/>
      <c r="H517" s="312"/>
      <c r="I517" s="312"/>
      <c r="J517" s="312"/>
      <c r="K517" s="312"/>
      <c r="L517" s="312"/>
      <c r="M517" s="312"/>
      <c r="N517" s="312"/>
      <c r="O517" s="312"/>
      <c r="P517" s="312"/>
      <c r="Q517" s="312"/>
      <c r="R517" s="312"/>
      <c r="S517" s="312"/>
      <c r="T517" s="312"/>
      <c r="U517" s="312"/>
      <c r="V517" s="312"/>
      <c r="W517" s="312"/>
      <c r="X517" s="312"/>
      <c r="Y517" s="312"/>
      <c r="Z517" s="312"/>
      <c r="AA517" s="312"/>
      <c r="AB517" s="312"/>
      <c r="AC517" s="396"/>
      <c r="AD517" s="312"/>
      <c r="AE517" s="312"/>
      <c r="AF517" s="312"/>
      <c r="AG517" s="312"/>
      <c r="AH517" s="312"/>
      <c r="AI517" s="312"/>
      <c r="AJ517" s="312"/>
      <c r="AK517" s="312"/>
      <c r="AL517" s="312"/>
      <c r="AM517" s="312"/>
      <c r="AN517" s="312"/>
      <c r="AO517" s="312"/>
      <c r="AP517" s="312"/>
      <c r="AQ517" s="312"/>
      <c r="AR517" s="312"/>
      <c r="AS517" s="312"/>
      <c r="AT517" s="312"/>
      <c r="AU517" s="312"/>
      <c r="AV517" s="312"/>
      <c r="AW517" s="312"/>
      <c r="AX517" s="312"/>
      <c r="AY517" s="312"/>
      <c r="AZ517" s="312"/>
      <c r="BA517" s="312"/>
      <c r="BB517" s="312"/>
      <c r="BC517" s="312"/>
      <c r="BD517" s="316"/>
      <c r="BE517" s="316"/>
      <c r="BF517" s="316"/>
      <c r="BG517" s="316"/>
      <c r="BH517" s="316"/>
      <c r="BI517" s="316"/>
      <c r="BJ517" s="316"/>
      <c r="BK517" s="316"/>
      <c r="BL517" s="316"/>
      <c r="BM517" s="316"/>
      <c r="BN517" s="316"/>
      <c r="BO517" s="316"/>
      <c r="BP517" s="316"/>
      <c r="BQ517" s="316"/>
      <c r="BR517" s="316"/>
      <c r="BS517" s="316"/>
      <c r="BT517" s="316"/>
      <c r="BU517" s="316"/>
      <c r="BV517" s="316"/>
      <c r="BW517" s="316"/>
      <c r="BX517" s="316"/>
      <c r="BY517" s="316"/>
      <c r="BZ517" s="316"/>
      <c r="CA517" s="316"/>
      <c r="CB517" s="316"/>
      <c r="CC517" s="316"/>
      <c r="CD517" s="316"/>
    </row>
    <row r="518" ht="15.75" customHeight="1">
      <c r="A518" s="308"/>
      <c r="B518" s="312"/>
      <c r="C518" s="312"/>
      <c r="D518" s="312"/>
      <c r="E518" s="312"/>
      <c r="F518" s="312"/>
      <c r="G518" s="312"/>
      <c r="H518" s="312"/>
      <c r="I518" s="312"/>
      <c r="J518" s="312"/>
      <c r="K518" s="312"/>
      <c r="L518" s="312"/>
      <c r="M518" s="312"/>
      <c r="N518" s="312"/>
      <c r="O518" s="312"/>
      <c r="P518" s="312"/>
      <c r="Q518" s="312"/>
      <c r="R518" s="312"/>
      <c r="S518" s="312"/>
      <c r="T518" s="312"/>
      <c r="U518" s="312"/>
      <c r="V518" s="312"/>
      <c r="W518" s="312"/>
      <c r="X518" s="312"/>
      <c r="Y518" s="312"/>
      <c r="Z518" s="312"/>
      <c r="AA518" s="312"/>
      <c r="AB518" s="312"/>
      <c r="AC518" s="396"/>
      <c r="AD518" s="312"/>
      <c r="AE518" s="312"/>
      <c r="AF518" s="312"/>
      <c r="AG518" s="312"/>
      <c r="AH518" s="312"/>
      <c r="AI518" s="312"/>
      <c r="AJ518" s="312"/>
      <c r="AK518" s="312"/>
      <c r="AL518" s="312"/>
      <c r="AM518" s="312"/>
      <c r="AN518" s="312"/>
      <c r="AO518" s="312"/>
      <c r="AP518" s="312"/>
      <c r="AQ518" s="312"/>
      <c r="AR518" s="312"/>
      <c r="AS518" s="312"/>
      <c r="AT518" s="312"/>
      <c r="AU518" s="312"/>
      <c r="AV518" s="312"/>
      <c r="AW518" s="312"/>
      <c r="AX518" s="312"/>
      <c r="AY518" s="312"/>
      <c r="AZ518" s="312"/>
      <c r="BA518" s="312"/>
      <c r="BB518" s="312"/>
      <c r="BC518" s="312"/>
      <c r="BD518" s="316"/>
      <c r="BE518" s="316"/>
      <c r="BF518" s="316"/>
      <c r="BG518" s="316"/>
      <c r="BH518" s="316"/>
      <c r="BI518" s="316"/>
      <c r="BJ518" s="316"/>
      <c r="BK518" s="316"/>
      <c r="BL518" s="316"/>
      <c r="BM518" s="316"/>
      <c r="BN518" s="316"/>
      <c r="BO518" s="316"/>
      <c r="BP518" s="316"/>
      <c r="BQ518" s="316"/>
      <c r="BR518" s="316"/>
      <c r="BS518" s="316"/>
      <c r="BT518" s="316"/>
      <c r="BU518" s="316"/>
      <c r="BV518" s="316"/>
      <c r="BW518" s="316"/>
      <c r="BX518" s="316"/>
      <c r="BY518" s="316"/>
      <c r="BZ518" s="316"/>
      <c r="CA518" s="316"/>
      <c r="CB518" s="316"/>
      <c r="CC518" s="316"/>
      <c r="CD518" s="316"/>
    </row>
    <row r="519" ht="15.75" customHeight="1">
      <c r="A519" s="308"/>
      <c r="B519" s="312"/>
      <c r="C519" s="312"/>
      <c r="D519" s="312"/>
      <c r="E519" s="312"/>
      <c r="F519" s="312"/>
      <c r="G519" s="312"/>
      <c r="H519" s="312"/>
      <c r="I519" s="312"/>
      <c r="J519" s="312"/>
      <c r="K519" s="312"/>
      <c r="L519" s="312"/>
      <c r="M519" s="312"/>
      <c r="N519" s="312"/>
      <c r="O519" s="312"/>
      <c r="P519" s="312"/>
      <c r="Q519" s="312"/>
      <c r="R519" s="312"/>
      <c r="S519" s="312"/>
      <c r="T519" s="312"/>
      <c r="U519" s="312"/>
      <c r="V519" s="312"/>
      <c r="W519" s="312"/>
      <c r="X519" s="312"/>
      <c r="Y519" s="312"/>
      <c r="Z519" s="312"/>
      <c r="AA519" s="312"/>
      <c r="AB519" s="312"/>
      <c r="AC519" s="396"/>
      <c r="AD519" s="312"/>
      <c r="AE519" s="312"/>
      <c r="AF519" s="312"/>
      <c r="AG519" s="312"/>
      <c r="AH519" s="312"/>
      <c r="AI519" s="312"/>
      <c r="AJ519" s="312"/>
      <c r="AK519" s="312"/>
      <c r="AL519" s="312"/>
      <c r="AM519" s="312"/>
      <c r="AN519" s="312"/>
      <c r="AO519" s="312"/>
      <c r="AP519" s="312"/>
      <c r="AQ519" s="312"/>
      <c r="AR519" s="312"/>
      <c r="AS519" s="312"/>
      <c r="AT519" s="312"/>
      <c r="AU519" s="312"/>
      <c r="AV519" s="312"/>
      <c r="AW519" s="312"/>
      <c r="AX519" s="312"/>
      <c r="AY519" s="312"/>
      <c r="AZ519" s="312"/>
      <c r="BA519" s="312"/>
      <c r="BB519" s="312"/>
      <c r="BC519" s="312"/>
      <c r="BD519" s="316"/>
      <c r="BE519" s="316"/>
      <c r="BF519" s="316"/>
      <c r="BG519" s="316"/>
      <c r="BH519" s="316"/>
      <c r="BI519" s="316"/>
      <c r="BJ519" s="316"/>
      <c r="BK519" s="316"/>
      <c r="BL519" s="316"/>
      <c r="BM519" s="316"/>
      <c r="BN519" s="316"/>
      <c r="BO519" s="316"/>
      <c r="BP519" s="316"/>
      <c r="BQ519" s="316"/>
      <c r="BR519" s="316"/>
      <c r="BS519" s="316"/>
      <c r="BT519" s="316"/>
      <c r="BU519" s="316"/>
      <c r="BV519" s="316"/>
      <c r="BW519" s="316"/>
      <c r="BX519" s="316"/>
      <c r="BY519" s="316"/>
      <c r="BZ519" s="316"/>
      <c r="CA519" s="316"/>
      <c r="CB519" s="316"/>
      <c r="CC519" s="316"/>
      <c r="CD519" s="316"/>
    </row>
    <row r="520" ht="15.75" customHeight="1">
      <c r="A520" s="308"/>
      <c r="B520" s="312"/>
      <c r="C520" s="312"/>
      <c r="D520" s="312"/>
      <c r="E520" s="312"/>
      <c r="F520" s="312"/>
      <c r="G520" s="312"/>
      <c r="H520" s="312"/>
      <c r="I520" s="312"/>
      <c r="J520" s="312"/>
      <c r="K520" s="312"/>
      <c r="L520" s="312"/>
      <c r="M520" s="312"/>
      <c r="N520" s="312"/>
      <c r="O520" s="312"/>
      <c r="P520" s="312"/>
      <c r="Q520" s="312"/>
      <c r="R520" s="312"/>
      <c r="S520" s="312"/>
      <c r="T520" s="312"/>
      <c r="U520" s="312"/>
      <c r="V520" s="312"/>
      <c r="W520" s="312"/>
      <c r="X520" s="312"/>
      <c r="Y520" s="312"/>
      <c r="Z520" s="312"/>
      <c r="AA520" s="312"/>
      <c r="AB520" s="312"/>
      <c r="AC520" s="396"/>
      <c r="AD520" s="312"/>
      <c r="AE520" s="312"/>
      <c r="AF520" s="312"/>
      <c r="AG520" s="312"/>
      <c r="AH520" s="312"/>
      <c r="AI520" s="312"/>
      <c r="AJ520" s="312"/>
      <c r="AK520" s="312"/>
      <c r="AL520" s="312"/>
      <c r="AM520" s="312"/>
      <c r="AN520" s="312"/>
      <c r="AO520" s="312"/>
      <c r="AP520" s="312"/>
      <c r="AQ520" s="312"/>
      <c r="AR520" s="312"/>
      <c r="AS520" s="312"/>
      <c r="AT520" s="312"/>
      <c r="AU520" s="312"/>
      <c r="AV520" s="312"/>
      <c r="AW520" s="312"/>
      <c r="AX520" s="312"/>
      <c r="AY520" s="312"/>
      <c r="AZ520" s="312"/>
      <c r="BA520" s="312"/>
      <c r="BB520" s="312"/>
      <c r="BC520" s="312"/>
      <c r="BD520" s="316"/>
      <c r="BE520" s="316"/>
      <c r="BF520" s="316"/>
      <c r="BG520" s="316"/>
      <c r="BH520" s="316"/>
      <c r="BI520" s="316"/>
      <c r="BJ520" s="316"/>
      <c r="BK520" s="316"/>
      <c r="BL520" s="316"/>
      <c r="BM520" s="316"/>
      <c r="BN520" s="316"/>
      <c r="BO520" s="316"/>
      <c r="BP520" s="316"/>
      <c r="BQ520" s="316"/>
      <c r="BR520" s="316"/>
      <c r="BS520" s="316"/>
      <c r="BT520" s="316"/>
      <c r="BU520" s="316"/>
      <c r="BV520" s="316"/>
      <c r="BW520" s="316"/>
      <c r="BX520" s="316"/>
      <c r="BY520" s="316"/>
      <c r="BZ520" s="316"/>
      <c r="CA520" s="316"/>
      <c r="CB520" s="316"/>
      <c r="CC520" s="316"/>
      <c r="CD520" s="316"/>
    </row>
    <row r="521" ht="15.75" customHeight="1">
      <c r="A521" s="308"/>
      <c r="B521" s="312"/>
      <c r="C521" s="312"/>
      <c r="D521" s="312"/>
      <c r="E521" s="312"/>
      <c r="F521" s="312"/>
      <c r="G521" s="312"/>
      <c r="H521" s="312"/>
      <c r="I521" s="312"/>
      <c r="J521" s="312"/>
      <c r="K521" s="312"/>
      <c r="L521" s="312"/>
      <c r="M521" s="312"/>
      <c r="N521" s="312"/>
      <c r="O521" s="312"/>
      <c r="P521" s="312"/>
      <c r="Q521" s="312"/>
      <c r="R521" s="312"/>
      <c r="S521" s="312"/>
      <c r="T521" s="312"/>
      <c r="U521" s="312"/>
      <c r="V521" s="312"/>
      <c r="W521" s="312"/>
      <c r="X521" s="312"/>
      <c r="Y521" s="312"/>
      <c r="Z521" s="312"/>
      <c r="AA521" s="312"/>
      <c r="AB521" s="312"/>
      <c r="AC521" s="396"/>
      <c r="AD521" s="312"/>
      <c r="AE521" s="312"/>
      <c r="AF521" s="312"/>
      <c r="AG521" s="312"/>
      <c r="AH521" s="312"/>
      <c r="AI521" s="312"/>
      <c r="AJ521" s="312"/>
      <c r="AK521" s="312"/>
      <c r="AL521" s="312"/>
      <c r="AM521" s="312"/>
      <c r="AN521" s="312"/>
      <c r="AO521" s="312"/>
      <c r="AP521" s="312"/>
      <c r="AQ521" s="312"/>
      <c r="AR521" s="312"/>
      <c r="AS521" s="312"/>
      <c r="AT521" s="312"/>
      <c r="AU521" s="312"/>
      <c r="AV521" s="312"/>
      <c r="AW521" s="312"/>
      <c r="AX521" s="312"/>
      <c r="AY521" s="312"/>
      <c r="AZ521" s="312"/>
      <c r="BA521" s="312"/>
      <c r="BB521" s="312"/>
      <c r="BC521" s="312"/>
      <c r="BD521" s="316"/>
      <c r="BE521" s="316"/>
      <c r="BF521" s="316"/>
      <c r="BG521" s="316"/>
      <c r="BH521" s="316"/>
      <c r="BI521" s="316"/>
      <c r="BJ521" s="316"/>
      <c r="BK521" s="316"/>
      <c r="BL521" s="316"/>
      <c r="BM521" s="316"/>
      <c r="BN521" s="316"/>
      <c r="BO521" s="316"/>
      <c r="BP521" s="316"/>
      <c r="BQ521" s="316"/>
      <c r="BR521" s="316"/>
      <c r="BS521" s="316"/>
      <c r="BT521" s="316"/>
      <c r="BU521" s="316"/>
      <c r="BV521" s="316"/>
      <c r="BW521" s="316"/>
      <c r="BX521" s="316"/>
      <c r="BY521" s="316"/>
      <c r="BZ521" s="316"/>
      <c r="CA521" s="316"/>
      <c r="CB521" s="316"/>
      <c r="CC521" s="316"/>
      <c r="CD521" s="316"/>
    </row>
    <row r="522" ht="15.75" customHeight="1">
      <c r="A522" s="308"/>
      <c r="B522" s="312"/>
      <c r="C522" s="312"/>
      <c r="D522" s="312"/>
      <c r="E522" s="312"/>
      <c r="F522" s="312"/>
      <c r="G522" s="312"/>
      <c r="H522" s="312"/>
      <c r="I522" s="312"/>
      <c r="J522" s="312"/>
      <c r="K522" s="312"/>
      <c r="L522" s="312"/>
      <c r="M522" s="312"/>
      <c r="N522" s="312"/>
      <c r="O522" s="312"/>
      <c r="P522" s="312"/>
      <c r="Q522" s="312"/>
      <c r="R522" s="312"/>
      <c r="S522" s="312"/>
      <c r="T522" s="312"/>
      <c r="U522" s="312"/>
      <c r="V522" s="312"/>
      <c r="W522" s="312"/>
      <c r="X522" s="312"/>
      <c r="Y522" s="312"/>
      <c r="Z522" s="312"/>
      <c r="AA522" s="312"/>
      <c r="AB522" s="312"/>
      <c r="AC522" s="396"/>
      <c r="AD522" s="312"/>
      <c r="AE522" s="312"/>
      <c r="AF522" s="312"/>
      <c r="AG522" s="312"/>
      <c r="AH522" s="312"/>
      <c r="AI522" s="312"/>
      <c r="AJ522" s="312"/>
      <c r="AK522" s="312"/>
      <c r="AL522" s="312"/>
      <c r="AM522" s="312"/>
      <c r="AN522" s="312"/>
      <c r="AO522" s="312"/>
      <c r="AP522" s="312"/>
      <c r="AQ522" s="312"/>
      <c r="AR522" s="312"/>
      <c r="AS522" s="312"/>
      <c r="AT522" s="312"/>
      <c r="AU522" s="312"/>
      <c r="AV522" s="312"/>
      <c r="AW522" s="312"/>
      <c r="AX522" s="312"/>
      <c r="AY522" s="312"/>
      <c r="AZ522" s="312"/>
      <c r="BA522" s="312"/>
      <c r="BB522" s="312"/>
      <c r="BC522" s="312"/>
      <c r="BD522" s="316"/>
      <c r="BE522" s="316"/>
      <c r="BF522" s="316"/>
      <c r="BG522" s="316"/>
      <c r="BH522" s="316"/>
      <c r="BI522" s="316"/>
      <c r="BJ522" s="316"/>
      <c r="BK522" s="316"/>
      <c r="BL522" s="316"/>
      <c r="BM522" s="316"/>
      <c r="BN522" s="316"/>
      <c r="BO522" s="316"/>
      <c r="BP522" s="316"/>
      <c r="BQ522" s="316"/>
      <c r="BR522" s="316"/>
      <c r="BS522" s="316"/>
      <c r="BT522" s="316"/>
      <c r="BU522" s="316"/>
      <c r="BV522" s="316"/>
      <c r="BW522" s="316"/>
      <c r="BX522" s="316"/>
      <c r="BY522" s="316"/>
      <c r="BZ522" s="316"/>
      <c r="CA522" s="316"/>
      <c r="CB522" s="316"/>
      <c r="CC522" s="316"/>
      <c r="CD522" s="316"/>
    </row>
    <row r="523" ht="15.75" customHeight="1">
      <c r="A523" s="308"/>
      <c r="B523" s="312"/>
      <c r="C523" s="312"/>
      <c r="D523" s="312"/>
      <c r="E523" s="312"/>
      <c r="F523" s="312"/>
      <c r="G523" s="312"/>
      <c r="H523" s="312"/>
      <c r="I523" s="312"/>
      <c r="J523" s="312"/>
      <c r="K523" s="312"/>
      <c r="L523" s="312"/>
      <c r="M523" s="312"/>
      <c r="N523" s="312"/>
      <c r="O523" s="312"/>
      <c r="P523" s="312"/>
      <c r="Q523" s="312"/>
      <c r="R523" s="312"/>
      <c r="S523" s="312"/>
      <c r="T523" s="312"/>
      <c r="U523" s="312"/>
      <c r="V523" s="312"/>
      <c r="W523" s="312"/>
      <c r="X523" s="312"/>
      <c r="Y523" s="312"/>
      <c r="Z523" s="312"/>
      <c r="AA523" s="312"/>
      <c r="AB523" s="312"/>
      <c r="AC523" s="396"/>
      <c r="AD523" s="312"/>
      <c r="AE523" s="312"/>
      <c r="AF523" s="312"/>
      <c r="AG523" s="312"/>
      <c r="AH523" s="312"/>
      <c r="AI523" s="312"/>
      <c r="AJ523" s="312"/>
      <c r="AK523" s="312"/>
      <c r="AL523" s="312"/>
      <c r="AM523" s="312"/>
      <c r="AN523" s="312"/>
      <c r="AO523" s="312"/>
      <c r="AP523" s="312"/>
      <c r="AQ523" s="312"/>
      <c r="AR523" s="312"/>
      <c r="AS523" s="312"/>
      <c r="AT523" s="312"/>
      <c r="AU523" s="312"/>
      <c r="AV523" s="312"/>
      <c r="AW523" s="312"/>
      <c r="AX523" s="312"/>
      <c r="AY523" s="312"/>
      <c r="AZ523" s="312"/>
      <c r="BA523" s="312"/>
      <c r="BB523" s="312"/>
      <c r="BC523" s="312"/>
      <c r="BD523" s="316"/>
      <c r="BE523" s="316"/>
      <c r="BF523" s="316"/>
      <c r="BG523" s="316"/>
      <c r="BH523" s="316"/>
      <c r="BI523" s="316"/>
      <c r="BJ523" s="316"/>
      <c r="BK523" s="316"/>
      <c r="BL523" s="316"/>
      <c r="BM523" s="316"/>
      <c r="BN523" s="316"/>
      <c r="BO523" s="316"/>
      <c r="BP523" s="316"/>
      <c r="BQ523" s="316"/>
      <c r="BR523" s="316"/>
      <c r="BS523" s="316"/>
      <c r="BT523" s="316"/>
      <c r="BU523" s="316"/>
      <c r="BV523" s="316"/>
      <c r="BW523" s="316"/>
      <c r="BX523" s="316"/>
      <c r="BY523" s="316"/>
      <c r="BZ523" s="316"/>
      <c r="CA523" s="316"/>
      <c r="CB523" s="316"/>
      <c r="CC523" s="316"/>
      <c r="CD523" s="316"/>
    </row>
    <row r="524" ht="15.75" customHeight="1">
      <c r="A524" s="308"/>
      <c r="B524" s="312"/>
      <c r="C524" s="312"/>
      <c r="D524" s="312"/>
      <c r="E524" s="312"/>
      <c r="F524" s="312"/>
      <c r="G524" s="312"/>
      <c r="H524" s="312"/>
      <c r="I524" s="312"/>
      <c r="J524" s="312"/>
      <c r="K524" s="312"/>
      <c r="L524" s="312"/>
      <c r="M524" s="312"/>
      <c r="N524" s="312"/>
      <c r="O524" s="312"/>
      <c r="P524" s="312"/>
      <c r="Q524" s="312"/>
      <c r="R524" s="312"/>
      <c r="S524" s="312"/>
      <c r="T524" s="312"/>
      <c r="U524" s="312"/>
      <c r="V524" s="312"/>
      <c r="W524" s="312"/>
      <c r="X524" s="312"/>
      <c r="Y524" s="312"/>
      <c r="Z524" s="312"/>
      <c r="AA524" s="312"/>
      <c r="AB524" s="312"/>
      <c r="AC524" s="396"/>
      <c r="AD524" s="312"/>
      <c r="AE524" s="312"/>
      <c r="AF524" s="312"/>
      <c r="AG524" s="312"/>
      <c r="AH524" s="312"/>
      <c r="AI524" s="312"/>
      <c r="AJ524" s="312"/>
      <c r="AK524" s="312"/>
      <c r="AL524" s="312"/>
      <c r="AM524" s="312"/>
      <c r="AN524" s="312"/>
      <c r="AO524" s="312"/>
      <c r="AP524" s="312"/>
      <c r="AQ524" s="312"/>
      <c r="AR524" s="312"/>
      <c r="AS524" s="312"/>
      <c r="AT524" s="312"/>
      <c r="AU524" s="312"/>
      <c r="AV524" s="312"/>
      <c r="AW524" s="312"/>
      <c r="AX524" s="312"/>
      <c r="AY524" s="312"/>
      <c r="AZ524" s="312"/>
      <c r="BA524" s="312"/>
      <c r="BB524" s="312"/>
      <c r="BC524" s="312"/>
      <c r="BD524" s="316"/>
      <c r="BE524" s="316"/>
      <c r="BF524" s="316"/>
      <c r="BG524" s="316"/>
      <c r="BH524" s="316"/>
      <c r="BI524" s="316"/>
      <c r="BJ524" s="316"/>
      <c r="BK524" s="316"/>
      <c r="BL524" s="316"/>
      <c r="BM524" s="316"/>
      <c r="BN524" s="316"/>
      <c r="BO524" s="316"/>
      <c r="BP524" s="316"/>
      <c r="BQ524" s="316"/>
      <c r="BR524" s="316"/>
      <c r="BS524" s="316"/>
      <c r="BT524" s="316"/>
      <c r="BU524" s="316"/>
      <c r="BV524" s="316"/>
      <c r="BW524" s="316"/>
      <c r="BX524" s="316"/>
      <c r="BY524" s="316"/>
      <c r="BZ524" s="316"/>
      <c r="CA524" s="316"/>
      <c r="CB524" s="316"/>
      <c r="CC524" s="316"/>
      <c r="CD524" s="316"/>
    </row>
    <row r="525" ht="15.75" customHeight="1">
      <c r="A525" s="308"/>
      <c r="B525" s="312"/>
      <c r="C525" s="312"/>
      <c r="D525" s="312"/>
      <c r="E525" s="312"/>
      <c r="F525" s="312"/>
      <c r="G525" s="312"/>
      <c r="H525" s="312"/>
      <c r="I525" s="312"/>
      <c r="J525" s="312"/>
      <c r="K525" s="312"/>
      <c r="L525" s="312"/>
      <c r="M525" s="312"/>
      <c r="N525" s="312"/>
      <c r="O525" s="312"/>
      <c r="P525" s="312"/>
      <c r="Q525" s="312"/>
      <c r="R525" s="312"/>
      <c r="S525" s="312"/>
      <c r="T525" s="312"/>
      <c r="U525" s="312"/>
      <c r="V525" s="312"/>
      <c r="W525" s="312"/>
      <c r="X525" s="312"/>
      <c r="Y525" s="312"/>
      <c r="Z525" s="312"/>
      <c r="AA525" s="312"/>
      <c r="AB525" s="312"/>
      <c r="AC525" s="396"/>
      <c r="AD525" s="312"/>
      <c r="AE525" s="312"/>
      <c r="AF525" s="312"/>
      <c r="AG525" s="312"/>
      <c r="AH525" s="312"/>
      <c r="AI525" s="312"/>
      <c r="AJ525" s="312"/>
      <c r="AK525" s="312"/>
      <c r="AL525" s="312"/>
      <c r="AM525" s="312"/>
      <c r="AN525" s="312"/>
      <c r="AO525" s="312"/>
      <c r="AP525" s="312"/>
      <c r="AQ525" s="312"/>
      <c r="AR525" s="312"/>
      <c r="AS525" s="312"/>
      <c r="AT525" s="312"/>
      <c r="AU525" s="312"/>
      <c r="AV525" s="312"/>
      <c r="AW525" s="312"/>
      <c r="AX525" s="312"/>
      <c r="AY525" s="312"/>
      <c r="AZ525" s="312"/>
      <c r="BA525" s="312"/>
      <c r="BB525" s="312"/>
      <c r="BC525" s="312"/>
      <c r="BD525" s="316"/>
      <c r="BE525" s="316"/>
      <c r="BF525" s="316"/>
      <c r="BG525" s="316"/>
      <c r="BH525" s="316"/>
      <c r="BI525" s="316"/>
      <c r="BJ525" s="316"/>
      <c r="BK525" s="316"/>
      <c r="BL525" s="316"/>
      <c r="BM525" s="316"/>
      <c r="BN525" s="316"/>
      <c r="BO525" s="316"/>
      <c r="BP525" s="316"/>
      <c r="BQ525" s="316"/>
      <c r="BR525" s="316"/>
      <c r="BS525" s="316"/>
      <c r="BT525" s="316"/>
      <c r="BU525" s="316"/>
      <c r="BV525" s="316"/>
      <c r="BW525" s="316"/>
      <c r="BX525" s="316"/>
      <c r="BY525" s="316"/>
      <c r="BZ525" s="316"/>
      <c r="CA525" s="316"/>
      <c r="CB525" s="316"/>
      <c r="CC525" s="316"/>
      <c r="CD525" s="316"/>
    </row>
    <row r="526" ht="15.75" customHeight="1">
      <c r="A526" s="308"/>
      <c r="B526" s="312"/>
      <c r="C526" s="312"/>
      <c r="D526" s="312"/>
      <c r="E526" s="312"/>
      <c r="F526" s="312"/>
      <c r="G526" s="312"/>
      <c r="H526" s="312"/>
      <c r="I526" s="312"/>
      <c r="J526" s="312"/>
      <c r="K526" s="312"/>
      <c r="L526" s="312"/>
      <c r="M526" s="312"/>
      <c r="N526" s="312"/>
      <c r="O526" s="312"/>
      <c r="P526" s="312"/>
      <c r="Q526" s="312"/>
      <c r="R526" s="312"/>
      <c r="S526" s="312"/>
      <c r="T526" s="312"/>
      <c r="U526" s="312"/>
      <c r="V526" s="312"/>
      <c r="W526" s="312"/>
      <c r="X526" s="312"/>
      <c r="Y526" s="312"/>
      <c r="Z526" s="312"/>
      <c r="AA526" s="312"/>
      <c r="AB526" s="312"/>
      <c r="AC526" s="396"/>
      <c r="AD526" s="312"/>
      <c r="AE526" s="312"/>
      <c r="AF526" s="312"/>
      <c r="AG526" s="312"/>
      <c r="AH526" s="312"/>
      <c r="AI526" s="312"/>
      <c r="AJ526" s="312"/>
      <c r="AK526" s="312"/>
      <c r="AL526" s="312"/>
      <c r="AM526" s="312"/>
      <c r="AN526" s="312"/>
      <c r="AO526" s="312"/>
      <c r="AP526" s="312"/>
      <c r="AQ526" s="312"/>
      <c r="AR526" s="312"/>
      <c r="AS526" s="312"/>
      <c r="AT526" s="312"/>
      <c r="AU526" s="312"/>
      <c r="AV526" s="312"/>
      <c r="AW526" s="312"/>
      <c r="AX526" s="312"/>
      <c r="AY526" s="312"/>
      <c r="AZ526" s="312"/>
      <c r="BA526" s="312"/>
      <c r="BB526" s="312"/>
      <c r="BC526" s="312"/>
      <c r="BD526" s="316"/>
      <c r="BE526" s="316"/>
      <c r="BF526" s="316"/>
      <c r="BG526" s="316"/>
      <c r="BH526" s="316"/>
      <c r="BI526" s="316"/>
      <c r="BJ526" s="316"/>
      <c r="BK526" s="316"/>
      <c r="BL526" s="316"/>
      <c r="BM526" s="316"/>
      <c r="BN526" s="316"/>
      <c r="BO526" s="316"/>
      <c r="BP526" s="316"/>
      <c r="BQ526" s="316"/>
      <c r="BR526" s="316"/>
      <c r="BS526" s="316"/>
      <c r="BT526" s="316"/>
      <c r="BU526" s="316"/>
      <c r="BV526" s="316"/>
      <c r="BW526" s="316"/>
      <c r="BX526" s="316"/>
      <c r="BY526" s="316"/>
      <c r="BZ526" s="316"/>
      <c r="CA526" s="316"/>
      <c r="CB526" s="316"/>
      <c r="CC526" s="316"/>
      <c r="CD526" s="316"/>
    </row>
    <row r="527" ht="15.75" customHeight="1">
      <c r="A527" s="308"/>
      <c r="B527" s="312"/>
      <c r="C527" s="312"/>
      <c r="D527" s="312"/>
      <c r="E527" s="312"/>
      <c r="F527" s="312"/>
      <c r="G527" s="312"/>
      <c r="H527" s="312"/>
      <c r="I527" s="312"/>
      <c r="J527" s="312"/>
      <c r="K527" s="312"/>
      <c r="L527" s="312"/>
      <c r="M527" s="312"/>
      <c r="N527" s="312"/>
      <c r="O527" s="312"/>
      <c r="P527" s="312"/>
      <c r="Q527" s="312"/>
      <c r="R527" s="312"/>
      <c r="S527" s="312"/>
      <c r="T527" s="312"/>
      <c r="U527" s="312"/>
      <c r="V527" s="312"/>
      <c r="W527" s="312"/>
      <c r="X527" s="312"/>
      <c r="Y527" s="312"/>
      <c r="Z527" s="312"/>
      <c r="AA527" s="312"/>
      <c r="AB527" s="312"/>
      <c r="AC527" s="396"/>
      <c r="AD527" s="312"/>
      <c r="AE527" s="312"/>
      <c r="AF527" s="312"/>
      <c r="AG527" s="312"/>
      <c r="AH527" s="312"/>
      <c r="AI527" s="312"/>
      <c r="AJ527" s="312"/>
      <c r="AK527" s="312"/>
      <c r="AL527" s="312"/>
      <c r="AM527" s="312"/>
      <c r="AN527" s="312"/>
      <c r="AO527" s="312"/>
      <c r="AP527" s="312"/>
      <c r="AQ527" s="312"/>
      <c r="AR527" s="312"/>
      <c r="AS527" s="312"/>
      <c r="AT527" s="312"/>
      <c r="AU527" s="312"/>
      <c r="AV527" s="312"/>
      <c r="AW527" s="312"/>
      <c r="AX527" s="312"/>
      <c r="AY527" s="312"/>
      <c r="AZ527" s="312"/>
      <c r="BA527" s="312"/>
      <c r="BB527" s="312"/>
      <c r="BC527" s="312"/>
      <c r="BD527" s="316"/>
      <c r="BE527" s="316"/>
      <c r="BF527" s="316"/>
      <c r="BG527" s="316"/>
      <c r="BH527" s="316"/>
      <c r="BI527" s="316"/>
      <c r="BJ527" s="316"/>
      <c r="BK527" s="316"/>
      <c r="BL527" s="316"/>
      <c r="BM527" s="316"/>
      <c r="BN527" s="316"/>
      <c r="BO527" s="316"/>
      <c r="BP527" s="316"/>
      <c r="BQ527" s="316"/>
      <c r="BR527" s="316"/>
      <c r="BS527" s="316"/>
      <c r="BT527" s="316"/>
      <c r="BU527" s="316"/>
      <c r="BV527" s="316"/>
      <c r="BW527" s="316"/>
      <c r="BX527" s="316"/>
      <c r="BY527" s="316"/>
      <c r="BZ527" s="316"/>
      <c r="CA527" s="316"/>
      <c r="CB527" s="316"/>
      <c r="CC527" s="316"/>
      <c r="CD527" s="316"/>
    </row>
    <row r="528" ht="15.75" customHeight="1">
      <c r="A528" s="308"/>
      <c r="B528" s="312"/>
      <c r="C528" s="312"/>
      <c r="D528" s="312"/>
      <c r="E528" s="312"/>
      <c r="F528" s="312"/>
      <c r="G528" s="312"/>
      <c r="H528" s="312"/>
      <c r="I528" s="312"/>
      <c r="J528" s="312"/>
      <c r="K528" s="312"/>
      <c r="L528" s="312"/>
      <c r="M528" s="312"/>
      <c r="N528" s="312"/>
      <c r="O528" s="312"/>
      <c r="P528" s="312"/>
      <c r="Q528" s="312"/>
      <c r="R528" s="312"/>
      <c r="S528" s="312"/>
      <c r="T528" s="312"/>
      <c r="U528" s="312"/>
      <c r="V528" s="312"/>
      <c r="W528" s="312"/>
      <c r="X528" s="312"/>
      <c r="Y528" s="312"/>
      <c r="Z528" s="312"/>
      <c r="AA528" s="312"/>
      <c r="AB528" s="312"/>
      <c r="AC528" s="396"/>
      <c r="AD528" s="312"/>
      <c r="AE528" s="312"/>
      <c r="AF528" s="312"/>
      <c r="AG528" s="312"/>
      <c r="AH528" s="312"/>
      <c r="AI528" s="312"/>
      <c r="AJ528" s="312"/>
      <c r="AK528" s="312"/>
      <c r="AL528" s="312"/>
      <c r="AM528" s="312"/>
      <c r="AN528" s="312"/>
      <c r="AO528" s="312"/>
      <c r="AP528" s="312"/>
      <c r="AQ528" s="312"/>
      <c r="AR528" s="312"/>
      <c r="AS528" s="312"/>
      <c r="AT528" s="312"/>
      <c r="AU528" s="312"/>
      <c r="AV528" s="312"/>
      <c r="AW528" s="312"/>
      <c r="AX528" s="312"/>
      <c r="AY528" s="312"/>
      <c r="AZ528" s="312"/>
      <c r="BA528" s="312"/>
      <c r="BB528" s="312"/>
      <c r="BC528" s="312"/>
      <c r="BD528" s="316"/>
      <c r="BE528" s="316"/>
      <c r="BF528" s="316"/>
      <c r="BG528" s="316"/>
      <c r="BH528" s="316"/>
      <c r="BI528" s="316"/>
      <c r="BJ528" s="316"/>
      <c r="BK528" s="316"/>
      <c r="BL528" s="316"/>
      <c r="BM528" s="316"/>
      <c r="BN528" s="316"/>
      <c r="BO528" s="316"/>
      <c r="BP528" s="316"/>
      <c r="BQ528" s="316"/>
      <c r="BR528" s="316"/>
      <c r="BS528" s="316"/>
      <c r="BT528" s="316"/>
      <c r="BU528" s="316"/>
      <c r="BV528" s="316"/>
      <c r="BW528" s="316"/>
      <c r="BX528" s="316"/>
      <c r="BY528" s="316"/>
      <c r="BZ528" s="316"/>
      <c r="CA528" s="316"/>
      <c r="CB528" s="316"/>
      <c r="CC528" s="316"/>
      <c r="CD528" s="316"/>
    </row>
    <row r="529" ht="15.75" customHeight="1">
      <c r="A529" s="308"/>
      <c r="B529" s="312"/>
      <c r="C529" s="312"/>
      <c r="D529" s="312"/>
      <c r="E529" s="312"/>
      <c r="F529" s="312"/>
      <c r="G529" s="312"/>
      <c r="H529" s="312"/>
      <c r="I529" s="312"/>
      <c r="J529" s="312"/>
      <c r="K529" s="312"/>
      <c r="L529" s="312"/>
      <c r="M529" s="312"/>
      <c r="N529" s="312"/>
      <c r="O529" s="312"/>
      <c r="P529" s="312"/>
      <c r="Q529" s="312"/>
      <c r="R529" s="312"/>
      <c r="S529" s="312"/>
      <c r="T529" s="312"/>
      <c r="U529" s="312"/>
      <c r="V529" s="312"/>
      <c r="W529" s="312"/>
      <c r="X529" s="312"/>
      <c r="Y529" s="312"/>
      <c r="Z529" s="312"/>
      <c r="AA529" s="312"/>
      <c r="AB529" s="312"/>
      <c r="AC529" s="396"/>
      <c r="AD529" s="312"/>
      <c r="AE529" s="312"/>
      <c r="AF529" s="312"/>
      <c r="AG529" s="312"/>
      <c r="AH529" s="312"/>
      <c r="AI529" s="312"/>
      <c r="AJ529" s="312"/>
      <c r="AK529" s="312"/>
      <c r="AL529" s="312"/>
      <c r="AM529" s="312"/>
      <c r="AN529" s="312"/>
      <c r="AO529" s="312"/>
      <c r="AP529" s="312"/>
      <c r="AQ529" s="312"/>
      <c r="AR529" s="312"/>
      <c r="AS529" s="312"/>
      <c r="AT529" s="312"/>
      <c r="AU529" s="312"/>
      <c r="AV529" s="312"/>
      <c r="AW529" s="312"/>
      <c r="AX529" s="312"/>
      <c r="AY529" s="312"/>
      <c r="AZ529" s="312"/>
      <c r="BA529" s="312"/>
      <c r="BB529" s="312"/>
      <c r="BC529" s="312"/>
      <c r="BD529" s="316"/>
      <c r="BE529" s="316"/>
      <c r="BF529" s="316"/>
      <c r="BG529" s="316"/>
      <c r="BH529" s="316"/>
      <c r="BI529" s="316"/>
      <c r="BJ529" s="316"/>
      <c r="BK529" s="316"/>
      <c r="BL529" s="316"/>
      <c r="BM529" s="316"/>
      <c r="BN529" s="316"/>
      <c r="BO529" s="316"/>
      <c r="BP529" s="316"/>
      <c r="BQ529" s="316"/>
      <c r="BR529" s="316"/>
      <c r="BS529" s="316"/>
      <c r="BT529" s="316"/>
      <c r="BU529" s="316"/>
      <c r="BV529" s="316"/>
      <c r="BW529" s="316"/>
      <c r="BX529" s="316"/>
      <c r="BY529" s="316"/>
      <c r="BZ529" s="316"/>
      <c r="CA529" s="316"/>
      <c r="CB529" s="316"/>
      <c r="CC529" s="316"/>
      <c r="CD529" s="316"/>
    </row>
    <row r="530" ht="15.75" customHeight="1">
      <c r="A530" s="308"/>
      <c r="B530" s="312"/>
      <c r="C530" s="312"/>
      <c r="D530" s="312"/>
      <c r="E530" s="312"/>
      <c r="F530" s="312"/>
      <c r="G530" s="312"/>
      <c r="H530" s="312"/>
      <c r="I530" s="312"/>
      <c r="J530" s="312"/>
      <c r="K530" s="312"/>
      <c r="L530" s="312"/>
      <c r="M530" s="312"/>
      <c r="N530" s="312"/>
      <c r="O530" s="312"/>
      <c r="P530" s="312"/>
      <c r="Q530" s="312"/>
      <c r="R530" s="312"/>
      <c r="S530" s="312"/>
      <c r="T530" s="312"/>
      <c r="U530" s="312"/>
      <c r="V530" s="312"/>
      <c r="W530" s="312"/>
      <c r="X530" s="312"/>
      <c r="Y530" s="312"/>
      <c r="Z530" s="312"/>
      <c r="AA530" s="312"/>
      <c r="AB530" s="312"/>
      <c r="AC530" s="396"/>
      <c r="AD530" s="312"/>
      <c r="AE530" s="312"/>
      <c r="AF530" s="312"/>
      <c r="AG530" s="312"/>
      <c r="AH530" s="312"/>
      <c r="AI530" s="312"/>
      <c r="AJ530" s="312"/>
      <c r="AK530" s="312"/>
      <c r="AL530" s="312"/>
      <c r="AM530" s="312"/>
      <c r="AN530" s="312"/>
      <c r="AO530" s="312"/>
      <c r="AP530" s="312"/>
      <c r="AQ530" s="312"/>
      <c r="AR530" s="312"/>
      <c r="AS530" s="312"/>
      <c r="AT530" s="312"/>
      <c r="AU530" s="312"/>
      <c r="AV530" s="312"/>
      <c r="AW530" s="312"/>
      <c r="AX530" s="312"/>
      <c r="AY530" s="312"/>
      <c r="AZ530" s="312"/>
      <c r="BA530" s="312"/>
      <c r="BB530" s="312"/>
      <c r="BC530" s="312"/>
      <c r="BD530" s="316"/>
      <c r="BE530" s="316"/>
      <c r="BF530" s="316"/>
      <c r="BG530" s="316"/>
      <c r="BH530" s="316"/>
      <c r="BI530" s="316"/>
      <c r="BJ530" s="316"/>
      <c r="BK530" s="316"/>
      <c r="BL530" s="316"/>
      <c r="BM530" s="316"/>
      <c r="BN530" s="316"/>
      <c r="BO530" s="316"/>
      <c r="BP530" s="316"/>
      <c r="BQ530" s="316"/>
      <c r="BR530" s="316"/>
      <c r="BS530" s="316"/>
      <c r="BT530" s="316"/>
      <c r="BU530" s="316"/>
      <c r="BV530" s="316"/>
      <c r="BW530" s="316"/>
      <c r="BX530" s="316"/>
      <c r="BY530" s="316"/>
      <c r="BZ530" s="316"/>
      <c r="CA530" s="316"/>
      <c r="CB530" s="316"/>
      <c r="CC530" s="316"/>
      <c r="CD530" s="316"/>
    </row>
    <row r="531" ht="15.75" customHeight="1">
      <c r="A531" s="308"/>
      <c r="B531" s="312"/>
      <c r="C531" s="312"/>
      <c r="D531" s="312"/>
      <c r="E531" s="312"/>
      <c r="F531" s="312"/>
      <c r="G531" s="312"/>
      <c r="H531" s="312"/>
      <c r="I531" s="312"/>
      <c r="J531" s="312"/>
      <c r="K531" s="312"/>
      <c r="L531" s="312"/>
      <c r="M531" s="312"/>
      <c r="N531" s="312"/>
      <c r="O531" s="312"/>
      <c r="P531" s="312"/>
      <c r="Q531" s="312"/>
      <c r="R531" s="312"/>
      <c r="S531" s="312"/>
      <c r="T531" s="312"/>
      <c r="U531" s="312"/>
      <c r="V531" s="312"/>
      <c r="W531" s="312"/>
      <c r="X531" s="312"/>
      <c r="Y531" s="312"/>
      <c r="Z531" s="312"/>
      <c r="AA531" s="312"/>
      <c r="AB531" s="312"/>
      <c r="AC531" s="396"/>
      <c r="AD531" s="312"/>
      <c r="AE531" s="312"/>
      <c r="AF531" s="312"/>
      <c r="AG531" s="312"/>
      <c r="AH531" s="312"/>
      <c r="AI531" s="312"/>
      <c r="AJ531" s="312"/>
      <c r="AK531" s="312"/>
      <c r="AL531" s="312"/>
      <c r="AM531" s="312"/>
      <c r="AN531" s="312"/>
      <c r="AO531" s="312"/>
      <c r="AP531" s="312"/>
      <c r="AQ531" s="312"/>
      <c r="AR531" s="312"/>
      <c r="AS531" s="312"/>
      <c r="AT531" s="312"/>
      <c r="AU531" s="312"/>
      <c r="AV531" s="312"/>
      <c r="AW531" s="312"/>
      <c r="AX531" s="312"/>
      <c r="AY531" s="312"/>
      <c r="AZ531" s="312"/>
      <c r="BA531" s="312"/>
      <c r="BB531" s="312"/>
      <c r="BC531" s="312"/>
      <c r="BD531" s="316"/>
      <c r="BE531" s="316"/>
      <c r="BF531" s="316"/>
      <c r="BG531" s="316"/>
      <c r="BH531" s="316"/>
      <c r="BI531" s="316"/>
      <c r="BJ531" s="316"/>
      <c r="BK531" s="316"/>
      <c r="BL531" s="316"/>
      <c r="BM531" s="316"/>
      <c r="BN531" s="316"/>
      <c r="BO531" s="316"/>
      <c r="BP531" s="316"/>
      <c r="BQ531" s="316"/>
      <c r="BR531" s="316"/>
      <c r="BS531" s="316"/>
      <c r="BT531" s="316"/>
      <c r="BU531" s="316"/>
      <c r="BV531" s="316"/>
      <c r="BW531" s="316"/>
      <c r="BX531" s="316"/>
      <c r="BY531" s="316"/>
      <c r="BZ531" s="316"/>
      <c r="CA531" s="316"/>
      <c r="CB531" s="316"/>
      <c r="CC531" s="316"/>
      <c r="CD531" s="316"/>
    </row>
    <row r="532" ht="15.75" customHeight="1">
      <c r="A532" s="308"/>
      <c r="B532" s="312"/>
      <c r="C532" s="312"/>
      <c r="D532" s="312"/>
      <c r="E532" s="312"/>
      <c r="F532" s="312"/>
      <c r="G532" s="312"/>
      <c r="H532" s="312"/>
      <c r="I532" s="312"/>
      <c r="J532" s="312"/>
      <c r="K532" s="312"/>
      <c r="L532" s="312"/>
      <c r="M532" s="312"/>
      <c r="N532" s="312"/>
      <c r="O532" s="312"/>
      <c r="P532" s="312"/>
      <c r="Q532" s="312"/>
      <c r="R532" s="312"/>
      <c r="S532" s="312"/>
      <c r="T532" s="312"/>
      <c r="U532" s="312"/>
      <c r="V532" s="312"/>
      <c r="W532" s="312"/>
      <c r="X532" s="312"/>
      <c r="Y532" s="312"/>
      <c r="Z532" s="312"/>
      <c r="AA532" s="312"/>
      <c r="AB532" s="312"/>
      <c r="AC532" s="396"/>
      <c r="AD532" s="312"/>
      <c r="AE532" s="312"/>
      <c r="AF532" s="312"/>
      <c r="AG532" s="312"/>
      <c r="AH532" s="312"/>
      <c r="AI532" s="312"/>
      <c r="AJ532" s="312"/>
      <c r="AK532" s="312"/>
      <c r="AL532" s="312"/>
      <c r="AM532" s="312"/>
      <c r="AN532" s="312"/>
      <c r="AO532" s="312"/>
      <c r="AP532" s="312"/>
      <c r="AQ532" s="312"/>
      <c r="AR532" s="312"/>
      <c r="AS532" s="312"/>
      <c r="AT532" s="312"/>
      <c r="AU532" s="312"/>
      <c r="AV532" s="312"/>
      <c r="AW532" s="312"/>
      <c r="AX532" s="312"/>
      <c r="AY532" s="312"/>
      <c r="AZ532" s="312"/>
      <c r="BA532" s="312"/>
      <c r="BB532" s="312"/>
      <c r="BC532" s="312"/>
      <c r="BD532" s="316"/>
      <c r="BE532" s="316"/>
      <c r="BF532" s="316"/>
      <c r="BG532" s="316"/>
      <c r="BH532" s="316"/>
      <c r="BI532" s="316"/>
      <c r="BJ532" s="316"/>
      <c r="BK532" s="316"/>
      <c r="BL532" s="316"/>
      <c r="BM532" s="316"/>
      <c r="BN532" s="316"/>
      <c r="BO532" s="316"/>
      <c r="BP532" s="316"/>
      <c r="BQ532" s="316"/>
      <c r="BR532" s="316"/>
      <c r="BS532" s="316"/>
      <c r="BT532" s="316"/>
      <c r="BU532" s="316"/>
      <c r="BV532" s="316"/>
      <c r="BW532" s="316"/>
      <c r="BX532" s="316"/>
      <c r="BY532" s="316"/>
      <c r="BZ532" s="316"/>
      <c r="CA532" s="316"/>
      <c r="CB532" s="316"/>
      <c r="CC532" s="316"/>
      <c r="CD532" s="316"/>
    </row>
    <row r="533" ht="15.75" customHeight="1">
      <c r="A533" s="308"/>
      <c r="B533" s="312"/>
      <c r="C533" s="312"/>
      <c r="D533" s="312"/>
      <c r="E533" s="312"/>
      <c r="F533" s="312"/>
      <c r="G533" s="312"/>
      <c r="H533" s="312"/>
      <c r="I533" s="312"/>
      <c r="J533" s="312"/>
      <c r="K533" s="312"/>
      <c r="L533" s="312"/>
      <c r="M533" s="312"/>
      <c r="N533" s="312"/>
      <c r="O533" s="312"/>
      <c r="P533" s="312"/>
      <c r="Q533" s="312"/>
      <c r="R533" s="312"/>
      <c r="S533" s="312"/>
      <c r="T533" s="312"/>
      <c r="U533" s="312"/>
      <c r="V533" s="312"/>
      <c r="W533" s="312"/>
      <c r="X533" s="312"/>
      <c r="Y533" s="312"/>
      <c r="Z533" s="312"/>
      <c r="AA533" s="312"/>
      <c r="AB533" s="312"/>
      <c r="AC533" s="396"/>
      <c r="AD533" s="312"/>
      <c r="AE533" s="312"/>
      <c r="AF533" s="312"/>
      <c r="AG533" s="312"/>
      <c r="AH533" s="312"/>
      <c r="AI533" s="312"/>
      <c r="AJ533" s="312"/>
      <c r="AK533" s="312"/>
      <c r="AL533" s="312"/>
      <c r="AM533" s="312"/>
      <c r="AN533" s="312"/>
      <c r="AO533" s="312"/>
      <c r="AP533" s="312"/>
      <c r="AQ533" s="312"/>
      <c r="AR533" s="312"/>
      <c r="AS533" s="312"/>
      <c r="AT533" s="312"/>
      <c r="AU533" s="312"/>
      <c r="AV533" s="312"/>
      <c r="AW533" s="312"/>
      <c r="AX533" s="312"/>
      <c r="AY533" s="312"/>
      <c r="AZ533" s="312"/>
      <c r="BA533" s="312"/>
      <c r="BB533" s="312"/>
      <c r="BC533" s="312"/>
      <c r="BD533" s="316"/>
      <c r="BE533" s="316"/>
      <c r="BF533" s="316"/>
      <c r="BG533" s="316"/>
      <c r="BH533" s="316"/>
      <c r="BI533" s="316"/>
      <c r="BJ533" s="316"/>
      <c r="BK533" s="316"/>
      <c r="BL533" s="316"/>
      <c r="BM533" s="316"/>
      <c r="BN533" s="316"/>
      <c r="BO533" s="316"/>
      <c r="BP533" s="316"/>
      <c r="BQ533" s="316"/>
      <c r="BR533" s="316"/>
      <c r="BS533" s="316"/>
      <c r="BT533" s="316"/>
      <c r="BU533" s="316"/>
      <c r="BV533" s="316"/>
      <c r="BW533" s="316"/>
      <c r="BX533" s="316"/>
      <c r="BY533" s="316"/>
      <c r="BZ533" s="316"/>
      <c r="CA533" s="316"/>
      <c r="CB533" s="316"/>
      <c r="CC533" s="316"/>
      <c r="CD533" s="316"/>
    </row>
    <row r="534" ht="15.75" customHeight="1">
      <c r="A534" s="308"/>
      <c r="B534" s="312"/>
      <c r="C534" s="312"/>
      <c r="D534" s="312"/>
      <c r="E534" s="312"/>
      <c r="F534" s="312"/>
      <c r="G534" s="312"/>
      <c r="H534" s="312"/>
      <c r="I534" s="312"/>
      <c r="J534" s="312"/>
      <c r="K534" s="312"/>
      <c r="L534" s="312"/>
      <c r="M534" s="312"/>
      <c r="N534" s="312"/>
      <c r="O534" s="312"/>
      <c r="P534" s="312"/>
      <c r="Q534" s="312"/>
      <c r="R534" s="312"/>
      <c r="S534" s="312"/>
      <c r="T534" s="312"/>
      <c r="U534" s="312"/>
      <c r="V534" s="312"/>
      <c r="W534" s="312"/>
      <c r="X534" s="312"/>
      <c r="Y534" s="312"/>
      <c r="Z534" s="312"/>
      <c r="AA534" s="312"/>
      <c r="AB534" s="312"/>
      <c r="AC534" s="396"/>
      <c r="AD534" s="312"/>
      <c r="AE534" s="312"/>
      <c r="AF534" s="312"/>
      <c r="AG534" s="312"/>
      <c r="AH534" s="312"/>
      <c r="AI534" s="312"/>
      <c r="AJ534" s="312"/>
      <c r="AK534" s="312"/>
      <c r="AL534" s="312"/>
      <c r="AM534" s="312"/>
      <c r="AN534" s="312"/>
      <c r="AO534" s="312"/>
      <c r="AP534" s="312"/>
      <c r="AQ534" s="312"/>
      <c r="AR534" s="312"/>
      <c r="AS534" s="312"/>
      <c r="AT534" s="312"/>
      <c r="AU534" s="312"/>
      <c r="AV534" s="312"/>
      <c r="AW534" s="312"/>
      <c r="AX534" s="312"/>
      <c r="AY534" s="312"/>
      <c r="AZ534" s="312"/>
      <c r="BA534" s="312"/>
      <c r="BB534" s="312"/>
      <c r="BC534" s="312"/>
      <c r="BD534" s="316"/>
      <c r="BE534" s="316"/>
      <c r="BF534" s="316"/>
      <c r="BG534" s="316"/>
      <c r="BH534" s="316"/>
      <c r="BI534" s="316"/>
      <c r="BJ534" s="316"/>
      <c r="BK534" s="316"/>
      <c r="BL534" s="316"/>
      <c r="BM534" s="316"/>
      <c r="BN534" s="316"/>
      <c r="BO534" s="316"/>
      <c r="BP534" s="316"/>
      <c r="BQ534" s="316"/>
      <c r="BR534" s="316"/>
      <c r="BS534" s="316"/>
      <c r="BT534" s="316"/>
      <c r="BU534" s="316"/>
      <c r="BV534" s="316"/>
      <c r="BW534" s="316"/>
      <c r="BX534" s="316"/>
      <c r="BY534" s="316"/>
      <c r="BZ534" s="316"/>
      <c r="CA534" s="316"/>
      <c r="CB534" s="316"/>
      <c r="CC534" s="316"/>
      <c r="CD534" s="316"/>
    </row>
    <row r="535" ht="15.75" customHeight="1">
      <c r="A535" s="308"/>
      <c r="B535" s="312"/>
      <c r="C535" s="312"/>
      <c r="D535" s="312"/>
      <c r="E535" s="312"/>
      <c r="F535" s="312"/>
      <c r="G535" s="312"/>
      <c r="H535" s="312"/>
      <c r="I535" s="312"/>
      <c r="J535" s="312"/>
      <c r="K535" s="312"/>
      <c r="L535" s="312"/>
      <c r="M535" s="312"/>
      <c r="N535" s="312"/>
      <c r="O535" s="312"/>
      <c r="P535" s="312"/>
      <c r="Q535" s="312"/>
      <c r="R535" s="312"/>
      <c r="S535" s="312"/>
      <c r="T535" s="312"/>
      <c r="U535" s="312"/>
      <c r="V535" s="312"/>
      <c r="W535" s="312"/>
      <c r="X535" s="312"/>
      <c r="Y535" s="312"/>
      <c r="Z535" s="312"/>
      <c r="AA535" s="312"/>
      <c r="AB535" s="312"/>
      <c r="AC535" s="396"/>
      <c r="AD535" s="312"/>
      <c r="AE535" s="312"/>
      <c r="AF535" s="312"/>
      <c r="AG535" s="312"/>
      <c r="AH535" s="312"/>
      <c r="AI535" s="312"/>
      <c r="AJ535" s="312"/>
      <c r="AK535" s="312"/>
      <c r="AL535" s="312"/>
      <c r="AM535" s="312"/>
      <c r="AN535" s="312"/>
      <c r="AO535" s="312"/>
      <c r="AP535" s="312"/>
      <c r="AQ535" s="312"/>
      <c r="AR535" s="312"/>
      <c r="AS535" s="312"/>
      <c r="AT535" s="312"/>
      <c r="AU535" s="312"/>
      <c r="AV535" s="312"/>
      <c r="AW535" s="312"/>
      <c r="AX535" s="312"/>
      <c r="AY535" s="312"/>
      <c r="AZ535" s="312"/>
      <c r="BA535" s="312"/>
      <c r="BB535" s="312"/>
      <c r="BC535" s="312"/>
      <c r="BD535" s="316"/>
      <c r="BE535" s="316"/>
      <c r="BF535" s="316"/>
      <c r="BG535" s="316"/>
      <c r="BH535" s="316"/>
      <c r="BI535" s="316"/>
      <c r="BJ535" s="316"/>
      <c r="BK535" s="316"/>
      <c r="BL535" s="316"/>
      <c r="BM535" s="316"/>
      <c r="BN535" s="316"/>
      <c r="BO535" s="316"/>
      <c r="BP535" s="316"/>
      <c r="BQ535" s="316"/>
      <c r="BR535" s="316"/>
      <c r="BS535" s="316"/>
      <c r="BT535" s="316"/>
      <c r="BU535" s="316"/>
      <c r="BV535" s="316"/>
      <c r="BW535" s="316"/>
      <c r="BX535" s="316"/>
      <c r="BY535" s="316"/>
      <c r="BZ535" s="316"/>
      <c r="CA535" s="316"/>
      <c r="CB535" s="316"/>
      <c r="CC535" s="316"/>
      <c r="CD535" s="316"/>
    </row>
    <row r="536" ht="15.75" customHeight="1">
      <c r="A536" s="308"/>
      <c r="B536" s="312"/>
      <c r="C536" s="312"/>
      <c r="D536" s="312"/>
      <c r="E536" s="312"/>
      <c r="F536" s="312"/>
      <c r="G536" s="312"/>
      <c r="H536" s="312"/>
      <c r="I536" s="312"/>
      <c r="J536" s="312"/>
      <c r="K536" s="312"/>
      <c r="L536" s="312"/>
      <c r="M536" s="312"/>
      <c r="N536" s="312"/>
      <c r="O536" s="312"/>
      <c r="P536" s="312"/>
      <c r="Q536" s="312"/>
      <c r="R536" s="312"/>
      <c r="S536" s="312"/>
      <c r="T536" s="312"/>
      <c r="U536" s="312"/>
      <c r="V536" s="312"/>
      <c r="W536" s="312"/>
      <c r="X536" s="312"/>
      <c r="Y536" s="312"/>
      <c r="Z536" s="312"/>
      <c r="AA536" s="312"/>
      <c r="AB536" s="312"/>
      <c r="AC536" s="396"/>
      <c r="AD536" s="312"/>
      <c r="AE536" s="312"/>
      <c r="AF536" s="312"/>
      <c r="AG536" s="312"/>
      <c r="AH536" s="312"/>
      <c r="AI536" s="312"/>
      <c r="AJ536" s="312"/>
      <c r="AK536" s="312"/>
      <c r="AL536" s="312"/>
      <c r="AM536" s="312"/>
      <c r="AN536" s="312"/>
      <c r="AO536" s="312"/>
      <c r="AP536" s="312"/>
      <c r="AQ536" s="312"/>
      <c r="AR536" s="312"/>
      <c r="AS536" s="312"/>
      <c r="AT536" s="312"/>
      <c r="AU536" s="312"/>
      <c r="AV536" s="312"/>
      <c r="AW536" s="312"/>
      <c r="AX536" s="312"/>
      <c r="AY536" s="312"/>
      <c r="AZ536" s="312"/>
      <c r="BA536" s="312"/>
      <c r="BB536" s="312"/>
      <c r="BC536" s="312"/>
      <c r="BD536" s="316"/>
      <c r="BE536" s="316"/>
      <c r="BF536" s="316"/>
      <c r="BG536" s="316"/>
      <c r="BH536" s="316"/>
      <c r="BI536" s="316"/>
      <c r="BJ536" s="316"/>
      <c r="BK536" s="316"/>
      <c r="BL536" s="316"/>
      <c r="BM536" s="316"/>
      <c r="BN536" s="316"/>
      <c r="BO536" s="316"/>
      <c r="BP536" s="316"/>
      <c r="BQ536" s="316"/>
      <c r="BR536" s="316"/>
      <c r="BS536" s="316"/>
      <c r="BT536" s="316"/>
      <c r="BU536" s="316"/>
      <c r="BV536" s="316"/>
      <c r="BW536" s="316"/>
      <c r="BX536" s="316"/>
      <c r="BY536" s="316"/>
      <c r="BZ536" s="316"/>
      <c r="CA536" s="316"/>
      <c r="CB536" s="316"/>
      <c r="CC536" s="316"/>
      <c r="CD536" s="316"/>
    </row>
    <row r="537" ht="15.75" customHeight="1">
      <c r="A537" s="308"/>
      <c r="B537" s="312"/>
      <c r="C537" s="312"/>
      <c r="D537" s="312"/>
      <c r="E537" s="312"/>
      <c r="F537" s="312"/>
      <c r="G537" s="312"/>
      <c r="H537" s="312"/>
      <c r="I537" s="312"/>
      <c r="J537" s="312"/>
      <c r="K537" s="312"/>
      <c r="L537" s="312"/>
      <c r="M537" s="312"/>
      <c r="N537" s="312"/>
      <c r="O537" s="312"/>
      <c r="P537" s="312"/>
      <c r="Q537" s="312"/>
      <c r="R537" s="312"/>
      <c r="S537" s="312"/>
      <c r="T537" s="312"/>
      <c r="U537" s="312"/>
      <c r="V537" s="312"/>
      <c r="W537" s="312"/>
      <c r="X537" s="312"/>
      <c r="Y537" s="312"/>
      <c r="Z537" s="312"/>
      <c r="AA537" s="312"/>
      <c r="AB537" s="312"/>
      <c r="AC537" s="396"/>
      <c r="AD537" s="312"/>
      <c r="AE537" s="312"/>
      <c r="AF537" s="312"/>
      <c r="AG537" s="312"/>
      <c r="AH537" s="312"/>
      <c r="AI537" s="312"/>
      <c r="AJ537" s="312"/>
      <c r="AK537" s="312"/>
      <c r="AL537" s="312"/>
      <c r="AM537" s="312"/>
      <c r="AN537" s="312"/>
      <c r="AO537" s="312"/>
      <c r="AP537" s="312"/>
      <c r="AQ537" s="312"/>
      <c r="AR537" s="312"/>
      <c r="AS537" s="312"/>
      <c r="AT537" s="312"/>
      <c r="AU537" s="312"/>
      <c r="AV537" s="312"/>
      <c r="AW537" s="312"/>
      <c r="AX537" s="312"/>
      <c r="AY537" s="312"/>
      <c r="AZ537" s="312"/>
      <c r="BA537" s="312"/>
      <c r="BB537" s="312"/>
      <c r="BC537" s="312"/>
      <c r="BD537" s="316"/>
      <c r="BE537" s="316"/>
      <c r="BF537" s="316"/>
      <c r="BG537" s="316"/>
      <c r="BH537" s="316"/>
      <c r="BI537" s="316"/>
      <c r="BJ537" s="316"/>
      <c r="BK537" s="316"/>
      <c r="BL537" s="316"/>
      <c r="BM537" s="316"/>
      <c r="BN537" s="316"/>
      <c r="BO537" s="316"/>
      <c r="BP537" s="316"/>
      <c r="BQ537" s="316"/>
      <c r="BR537" s="316"/>
      <c r="BS537" s="316"/>
      <c r="BT537" s="316"/>
      <c r="BU537" s="316"/>
      <c r="BV537" s="316"/>
      <c r="BW537" s="316"/>
      <c r="BX537" s="316"/>
      <c r="BY537" s="316"/>
      <c r="BZ537" s="316"/>
      <c r="CA537" s="316"/>
      <c r="CB537" s="316"/>
      <c r="CC537" s="316"/>
      <c r="CD537" s="316"/>
    </row>
    <row r="538" ht="15.75" customHeight="1">
      <c r="A538" s="308"/>
      <c r="B538" s="312"/>
      <c r="C538" s="312"/>
      <c r="D538" s="312"/>
      <c r="E538" s="312"/>
      <c r="F538" s="312"/>
      <c r="G538" s="312"/>
      <c r="H538" s="312"/>
      <c r="I538" s="312"/>
      <c r="J538" s="312"/>
      <c r="K538" s="312"/>
      <c r="L538" s="312"/>
      <c r="M538" s="312"/>
      <c r="N538" s="312"/>
      <c r="O538" s="312"/>
      <c r="P538" s="312"/>
      <c r="Q538" s="312"/>
      <c r="R538" s="312"/>
      <c r="S538" s="312"/>
      <c r="T538" s="312"/>
      <c r="U538" s="312"/>
      <c r="V538" s="312"/>
      <c r="W538" s="312"/>
      <c r="X538" s="312"/>
      <c r="Y538" s="312"/>
      <c r="Z538" s="312"/>
      <c r="AA538" s="312"/>
      <c r="AB538" s="312"/>
      <c r="AC538" s="396"/>
      <c r="AD538" s="312"/>
      <c r="AE538" s="312"/>
      <c r="AF538" s="312"/>
      <c r="AG538" s="312"/>
      <c r="AH538" s="312"/>
      <c r="AI538" s="312"/>
      <c r="AJ538" s="312"/>
      <c r="AK538" s="312"/>
      <c r="AL538" s="312"/>
      <c r="AM538" s="312"/>
      <c r="AN538" s="312"/>
      <c r="AO538" s="312"/>
      <c r="AP538" s="312"/>
      <c r="AQ538" s="312"/>
      <c r="AR538" s="312"/>
      <c r="AS538" s="312"/>
      <c r="AT538" s="312"/>
      <c r="AU538" s="312"/>
      <c r="AV538" s="312"/>
      <c r="AW538" s="312"/>
      <c r="AX538" s="312"/>
      <c r="AY538" s="312"/>
      <c r="AZ538" s="312"/>
      <c r="BA538" s="312"/>
      <c r="BB538" s="312"/>
      <c r="BC538" s="312"/>
      <c r="BD538" s="316"/>
      <c r="BE538" s="316"/>
      <c r="BF538" s="316"/>
      <c r="BG538" s="316"/>
      <c r="BH538" s="316"/>
      <c r="BI538" s="316"/>
      <c r="BJ538" s="316"/>
      <c r="BK538" s="316"/>
      <c r="BL538" s="316"/>
      <c r="BM538" s="316"/>
      <c r="BN538" s="316"/>
      <c r="BO538" s="316"/>
      <c r="BP538" s="316"/>
      <c r="BQ538" s="316"/>
      <c r="BR538" s="316"/>
      <c r="BS538" s="316"/>
      <c r="BT538" s="316"/>
      <c r="BU538" s="316"/>
      <c r="BV538" s="316"/>
      <c r="BW538" s="316"/>
      <c r="BX538" s="316"/>
      <c r="BY538" s="316"/>
      <c r="BZ538" s="316"/>
      <c r="CA538" s="316"/>
      <c r="CB538" s="316"/>
      <c r="CC538" s="316"/>
      <c r="CD538" s="316"/>
    </row>
    <row r="539" ht="15.75" customHeight="1">
      <c r="A539" s="308"/>
      <c r="B539" s="312"/>
      <c r="C539" s="312"/>
      <c r="D539" s="312"/>
      <c r="E539" s="312"/>
      <c r="F539" s="312"/>
      <c r="G539" s="312"/>
      <c r="H539" s="312"/>
      <c r="I539" s="312"/>
      <c r="J539" s="312"/>
      <c r="K539" s="312"/>
      <c r="L539" s="312"/>
      <c r="M539" s="312"/>
      <c r="N539" s="312"/>
      <c r="O539" s="312"/>
      <c r="P539" s="312"/>
      <c r="Q539" s="312"/>
      <c r="R539" s="312"/>
      <c r="S539" s="312"/>
      <c r="T539" s="312"/>
      <c r="U539" s="312"/>
      <c r="V539" s="312"/>
      <c r="W539" s="312"/>
      <c r="X539" s="312"/>
      <c r="Y539" s="312"/>
      <c r="Z539" s="312"/>
      <c r="AA539" s="312"/>
      <c r="AB539" s="312"/>
      <c r="AC539" s="396"/>
      <c r="AD539" s="312"/>
      <c r="AE539" s="312"/>
      <c r="AF539" s="312"/>
      <c r="AG539" s="312"/>
      <c r="AH539" s="312"/>
      <c r="AI539" s="312"/>
      <c r="AJ539" s="312"/>
      <c r="AK539" s="312"/>
      <c r="AL539" s="312"/>
      <c r="AM539" s="312"/>
      <c r="AN539" s="312"/>
      <c r="AO539" s="312"/>
      <c r="AP539" s="312"/>
      <c r="AQ539" s="312"/>
      <c r="AR539" s="312"/>
      <c r="AS539" s="312"/>
      <c r="AT539" s="312"/>
      <c r="AU539" s="312"/>
      <c r="AV539" s="312"/>
      <c r="AW539" s="312"/>
      <c r="AX539" s="312"/>
      <c r="AY539" s="312"/>
      <c r="AZ539" s="312"/>
      <c r="BA539" s="312"/>
      <c r="BB539" s="312"/>
      <c r="BC539" s="312"/>
      <c r="BD539" s="316"/>
      <c r="BE539" s="316"/>
      <c r="BF539" s="316"/>
      <c r="BG539" s="316"/>
      <c r="BH539" s="316"/>
      <c r="BI539" s="316"/>
      <c r="BJ539" s="316"/>
      <c r="BK539" s="316"/>
      <c r="BL539" s="316"/>
      <c r="BM539" s="316"/>
      <c r="BN539" s="316"/>
      <c r="BO539" s="316"/>
      <c r="BP539" s="316"/>
      <c r="BQ539" s="316"/>
      <c r="BR539" s="316"/>
      <c r="BS539" s="316"/>
      <c r="BT539" s="316"/>
      <c r="BU539" s="316"/>
      <c r="BV539" s="316"/>
      <c r="BW539" s="316"/>
      <c r="BX539" s="316"/>
      <c r="BY539" s="316"/>
      <c r="BZ539" s="316"/>
      <c r="CA539" s="316"/>
      <c r="CB539" s="316"/>
      <c r="CC539" s="316"/>
      <c r="CD539" s="316"/>
    </row>
    <row r="540" ht="15.75" customHeight="1">
      <c r="A540" s="308"/>
      <c r="B540" s="312"/>
      <c r="C540" s="312"/>
      <c r="D540" s="312"/>
      <c r="E540" s="312"/>
      <c r="F540" s="312"/>
      <c r="G540" s="312"/>
      <c r="H540" s="312"/>
      <c r="I540" s="312"/>
      <c r="J540" s="312"/>
      <c r="K540" s="312"/>
      <c r="L540" s="312"/>
      <c r="M540" s="312"/>
      <c r="N540" s="312"/>
      <c r="O540" s="312"/>
      <c r="P540" s="312"/>
      <c r="Q540" s="312"/>
      <c r="R540" s="312"/>
      <c r="S540" s="312"/>
      <c r="T540" s="312"/>
      <c r="U540" s="312"/>
      <c r="V540" s="312"/>
      <c r="W540" s="312"/>
      <c r="X540" s="312"/>
      <c r="Y540" s="312"/>
      <c r="Z540" s="312"/>
      <c r="AA540" s="312"/>
      <c r="AB540" s="312"/>
      <c r="AC540" s="396"/>
      <c r="AD540" s="312"/>
      <c r="AE540" s="312"/>
      <c r="AF540" s="312"/>
      <c r="AG540" s="312"/>
      <c r="AH540" s="312"/>
      <c r="AI540" s="312"/>
      <c r="AJ540" s="312"/>
      <c r="AK540" s="312"/>
      <c r="AL540" s="312"/>
      <c r="AM540" s="312"/>
      <c r="AN540" s="312"/>
      <c r="AO540" s="312"/>
      <c r="AP540" s="312"/>
      <c r="AQ540" s="312"/>
      <c r="AR540" s="312"/>
      <c r="AS540" s="312"/>
      <c r="AT540" s="312"/>
      <c r="AU540" s="312"/>
      <c r="AV540" s="312"/>
      <c r="AW540" s="312"/>
      <c r="AX540" s="312"/>
      <c r="AY540" s="312"/>
      <c r="AZ540" s="312"/>
      <c r="BA540" s="312"/>
      <c r="BB540" s="312"/>
      <c r="BC540" s="312"/>
      <c r="BD540" s="316"/>
      <c r="BE540" s="316"/>
      <c r="BF540" s="316"/>
      <c r="BG540" s="316"/>
      <c r="BH540" s="316"/>
      <c r="BI540" s="316"/>
      <c r="BJ540" s="316"/>
      <c r="BK540" s="316"/>
      <c r="BL540" s="316"/>
      <c r="BM540" s="316"/>
      <c r="BN540" s="316"/>
      <c r="BO540" s="316"/>
      <c r="BP540" s="316"/>
      <c r="BQ540" s="316"/>
      <c r="BR540" s="316"/>
      <c r="BS540" s="316"/>
      <c r="BT540" s="316"/>
      <c r="BU540" s="316"/>
      <c r="BV540" s="316"/>
      <c r="BW540" s="316"/>
      <c r="BX540" s="316"/>
      <c r="BY540" s="316"/>
      <c r="BZ540" s="316"/>
      <c r="CA540" s="316"/>
      <c r="CB540" s="316"/>
      <c r="CC540" s="316"/>
      <c r="CD540" s="316"/>
    </row>
    <row r="541" ht="15.75" customHeight="1">
      <c r="A541" s="308"/>
      <c r="B541" s="312"/>
      <c r="C541" s="312"/>
      <c r="D541" s="312"/>
      <c r="E541" s="312"/>
      <c r="F541" s="312"/>
      <c r="G541" s="312"/>
      <c r="H541" s="312"/>
      <c r="I541" s="312"/>
      <c r="J541" s="312"/>
      <c r="K541" s="312"/>
      <c r="L541" s="312"/>
      <c r="M541" s="312"/>
      <c r="N541" s="312"/>
      <c r="O541" s="312"/>
      <c r="P541" s="312"/>
      <c r="Q541" s="312"/>
      <c r="R541" s="312"/>
      <c r="S541" s="312"/>
      <c r="T541" s="312"/>
      <c r="U541" s="312"/>
      <c r="V541" s="312"/>
      <c r="W541" s="312"/>
      <c r="X541" s="312"/>
      <c r="Y541" s="312"/>
      <c r="Z541" s="312"/>
      <c r="AA541" s="312"/>
      <c r="AB541" s="312"/>
      <c r="AC541" s="396"/>
      <c r="AD541" s="312"/>
      <c r="AE541" s="312"/>
      <c r="AF541" s="312"/>
      <c r="AG541" s="312"/>
      <c r="AH541" s="312"/>
      <c r="AI541" s="312"/>
      <c r="AJ541" s="312"/>
      <c r="AK541" s="312"/>
      <c r="AL541" s="312"/>
      <c r="AM541" s="312"/>
      <c r="AN541" s="312"/>
      <c r="AO541" s="312"/>
      <c r="AP541" s="312"/>
      <c r="AQ541" s="312"/>
      <c r="AR541" s="312"/>
      <c r="AS541" s="312"/>
      <c r="AT541" s="312"/>
      <c r="AU541" s="312"/>
      <c r="AV541" s="312"/>
      <c r="AW541" s="312"/>
      <c r="AX541" s="312"/>
      <c r="AY541" s="312"/>
      <c r="AZ541" s="312"/>
      <c r="BA541" s="312"/>
      <c r="BB541" s="312"/>
      <c r="BC541" s="312"/>
      <c r="BD541" s="316"/>
      <c r="BE541" s="316"/>
      <c r="BF541" s="316"/>
      <c r="BG541" s="316"/>
      <c r="BH541" s="316"/>
      <c r="BI541" s="316"/>
      <c r="BJ541" s="316"/>
      <c r="BK541" s="316"/>
      <c r="BL541" s="316"/>
      <c r="BM541" s="316"/>
      <c r="BN541" s="316"/>
      <c r="BO541" s="316"/>
      <c r="BP541" s="316"/>
      <c r="BQ541" s="316"/>
      <c r="BR541" s="316"/>
      <c r="BS541" s="316"/>
      <c r="BT541" s="316"/>
      <c r="BU541" s="316"/>
      <c r="BV541" s="316"/>
      <c r="BW541" s="316"/>
      <c r="BX541" s="316"/>
      <c r="BY541" s="316"/>
      <c r="BZ541" s="316"/>
      <c r="CA541" s="316"/>
      <c r="CB541" s="316"/>
      <c r="CC541" s="316"/>
      <c r="CD541" s="316"/>
    </row>
    <row r="542" ht="15.75" customHeight="1">
      <c r="A542" s="308"/>
      <c r="B542" s="312"/>
      <c r="C542" s="312"/>
      <c r="D542" s="312"/>
      <c r="E542" s="312"/>
      <c r="F542" s="312"/>
      <c r="G542" s="312"/>
      <c r="H542" s="312"/>
      <c r="I542" s="312"/>
      <c r="J542" s="312"/>
      <c r="K542" s="312"/>
      <c r="L542" s="312"/>
      <c r="M542" s="312"/>
      <c r="N542" s="312"/>
      <c r="O542" s="312"/>
      <c r="P542" s="312"/>
      <c r="Q542" s="312"/>
      <c r="R542" s="312"/>
      <c r="S542" s="312"/>
      <c r="T542" s="312"/>
      <c r="U542" s="312"/>
      <c r="V542" s="312"/>
      <c r="W542" s="312"/>
      <c r="X542" s="312"/>
      <c r="Y542" s="312"/>
      <c r="Z542" s="312"/>
      <c r="AA542" s="312"/>
      <c r="AB542" s="312"/>
      <c r="AC542" s="396"/>
      <c r="AD542" s="312"/>
      <c r="AE542" s="312"/>
      <c r="AF542" s="312"/>
      <c r="AG542" s="312"/>
      <c r="AH542" s="312"/>
      <c r="AI542" s="312"/>
      <c r="AJ542" s="312"/>
      <c r="AK542" s="312"/>
      <c r="AL542" s="312"/>
      <c r="AM542" s="312"/>
      <c r="AN542" s="312"/>
      <c r="AO542" s="312"/>
      <c r="AP542" s="312"/>
      <c r="AQ542" s="312"/>
      <c r="AR542" s="312"/>
      <c r="AS542" s="312"/>
      <c r="AT542" s="312"/>
      <c r="AU542" s="312"/>
      <c r="AV542" s="312"/>
      <c r="AW542" s="312"/>
      <c r="AX542" s="312"/>
      <c r="AY542" s="312"/>
      <c r="AZ542" s="312"/>
      <c r="BA542" s="312"/>
      <c r="BB542" s="312"/>
      <c r="BC542" s="312"/>
      <c r="BD542" s="316"/>
      <c r="BE542" s="316"/>
      <c r="BF542" s="316"/>
      <c r="BG542" s="316"/>
      <c r="BH542" s="316"/>
      <c r="BI542" s="316"/>
      <c r="BJ542" s="316"/>
      <c r="BK542" s="316"/>
      <c r="BL542" s="316"/>
      <c r="BM542" s="316"/>
      <c r="BN542" s="316"/>
      <c r="BO542" s="316"/>
      <c r="BP542" s="316"/>
      <c r="BQ542" s="316"/>
      <c r="BR542" s="316"/>
      <c r="BS542" s="316"/>
      <c r="BT542" s="316"/>
      <c r="BU542" s="316"/>
      <c r="BV542" s="316"/>
      <c r="BW542" s="316"/>
      <c r="BX542" s="316"/>
      <c r="BY542" s="316"/>
      <c r="BZ542" s="316"/>
      <c r="CA542" s="316"/>
      <c r="CB542" s="316"/>
      <c r="CC542" s="316"/>
      <c r="CD542" s="316"/>
    </row>
    <row r="543" ht="15.75" customHeight="1">
      <c r="A543" s="308"/>
      <c r="B543" s="312"/>
      <c r="C543" s="312"/>
      <c r="D543" s="312"/>
      <c r="E543" s="312"/>
      <c r="F543" s="312"/>
      <c r="G543" s="312"/>
      <c r="H543" s="312"/>
      <c r="I543" s="312"/>
      <c r="J543" s="312"/>
      <c r="K543" s="312"/>
      <c r="L543" s="312"/>
      <c r="M543" s="312"/>
      <c r="N543" s="312"/>
      <c r="O543" s="312"/>
      <c r="P543" s="312"/>
      <c r="Q543" s="312"/>
      <c r="R543" s="312"/>
      <c r="S543" s="312"/>
      <c r="T543" s="312"/>
      <c r="U543" s="312"/>
      <c r="V543" s="312"/>
      <c r="W543" s="312"/>
      <c r="X543" s="312"/>
      <c r="Y543" s="312"/>
      <c r="Z543" s="312"/>
      <c r="AA543" s="312"/>
      <c r="AB543" s="312"/>
      <c r="AC543" s="396"/>
      <c r="AD543" s="312"/>
      <c r="AE543" s="312"/>
      <c r="AF543" s="312"/>
      <c r="AG543" s="312"/>
      <c r="AH543" s="312"/>
      <c r="AI543" s="312"/>
      <c r="AJ543" s="312"/>
      <c r="AK543" s="312"/>
      <c r="AL543" s="312"/>
      <c r="AM543" s="312"/>
      <c r="AN543" s="312"/>
      <c r="AO543" s="312"/>
      <c r="AP543" s="312"/>
      <c r="AQ543" s="312"/>
      <c r="AR543" s="312"/>
      <c r="AS543" s="312"/>
      <c r="AT543" s="312"/>
      <c r="AU543" s="312"/>
      <c r="AV543" s="312"/>
      <c r="AW543" s="312"/>
      <c r="AX543" s="312"/>
      <c r="AY543" s="312"/>
      <c r="AZ543" s="312"/>
      <c r="BA543" s="312"/>
      <c r="BB543" s="312"/>
      <c r="BC543" s="312"/>
      <c r="BD543" s="316"/>
      <c r="BE543" s="316"/>
      <c r="BF543" s="316"/>
      <c r="BG543" s="316"/>
      <c r="BH543" s="316"/>
      <c r="BI543" s="316"/>
      <c r="BJ543" s="316"/>
      <c r="BK543" s="316"/>
      <c r="BL543" s="316"/>
      <c r="BM543" s="316"/>
      <c r="BN543" s="316"/>
      <c r="BO543" s="316"/>
      <c r="BP543" s="316"/>
      <c r="BQ543" s="316"/>
      <c r="BR543" s="316"/>
      <c r="BS543" s="316"/>
      <c r="BT543" s="316"/>
      <c r="BU543" s="316"/>
      <c r="BV543" s="316"/>
      <c r="BW543" s="316"/>
      <c r="BX543" s="316"/>
      <c r="BY543" s="316"/>
      <c r="BZ543" s="316"/>
      <c r="CA543" s="316"/>
      <c r="CB543" s="316"/>
      <c r="CC543" s="316"/>
      <c r="CD543" s="316"/>
    </row>
    <row r="544" ht="15.75" customHeight="1">
      <c r="A544" s="308"/>
      <c r="B544" s="312"/>
      <c r="C544" s="312"/>
      <c r="D544" s="312"/>
      <c r="E544" s="312"/>
      <c r="F544" s="312"/>
      <c r="G544" s="312"/>
      <c r="H544" s="312"/>
      <c r="I544" s="312"/>
      <c r="J544" s="312"/>
      <c r="K544" s="312"/>
      <c r="L544" s="312"/>
      <c r="M544" s="312"/>
      <c r="N544" s="312"/>
      <c r="O544" s="312"/>
      <c r="P544" s="312"/>
      <c r="Q544" s="312"/>
      <c r="R544" s="312"/>
      <c r="S544" s="312"/>
      <c r="T544" s="312"/>
      <c r="U544" s="312"/>
      <c r="V544" s="312"/>
      <c r="W544" s="312"/>
      <c r="X544" s="312"/>
      <c r="Y544" s="312"/>
      <c r="Z544" s="312"/>
      <c r="AA544" s="312"/>
      <c r="AB544" s="312"/>
      <c r="AC544" s="396"/>
      <c r="AD544" s="312"/>
      <c r="AE544" s="312"/>
      <c r="AF544" s="312"/>
      <c r="AG544" s="312"/>
      <c r="AH544" s="312"/>
      <c r="AI544" s="312"/>
      <c r="AJ544" s="312"/>
      <c r="AK544" s="312"/>
      <c r="AL544" s="312"/>
      <c r="AM544" s="312"/>
      <c r="AN544" s="312"/>
      <c r="AO544" s="312"/>
      <c r="AP544" s="312"/>
      <c r="AQ544" s="312"/>
      <c r="AR544" s="312"/>
      <c r="AS544" s="312"/>
      <c r="AT544" s="312"/>
      <c r="AU544" s="312"/>
      <c r="AV544" s="312"/>
      <c r="AW544" s="312"/>
      <c r="AX544" s="312"/>
      <c r="AY544" s="312"/>
      <c r="AZ544" s="312"/>
      <c r="BA544" s="312"/>
      <c r="BB544" s="312"/>
      <c r="BC544" s="312"/>
      <c r="BD544" s="316"/>
      <c r="BE544" s="316"/>
      <c r="BF544" s="316"/>
      <c r="BG544" s="316"/>
      <c r="BH544" s="316"/>
      <c r="BI544" s="316"/>
      <c r="BJ544" s="316"/>
      <c r="BK544" s="316"/>
      <c r="BL544" s="316"/>
      <c r="BM544" s="316"/>
      <c r="BN544" s="316"/>
      <c r="BO544" s="316"/>
      <c r="BP544" s="316"/>
      <c r="BQ544" s="316"/>
      <c r="BR544" s="316"/>
      <c r="BS544" s="316"/>
      <c r="BT544" s="316"/>
      <c r="BU544" s="316"/>
      <c r="BV544" s="316"/>
      <c r="BW544" s="316"/>
      <c r="BX544" s="316"/>
      <c r="BY544" s="316"/>
      <c r="BZ544" s="316"/>
      <c r="CA544" s="316"/>
      <c r="CB544" s="316"/>
      <c r="CC544" s="316"/>
      <c r="CD544" s="316"/>
    </row>
    <row r="545" ht="15.75" customHeight="1">
      <c r="A545" s="308"/>
      <c r="B545" s="312"/>
      <c r="C545" s="312"/>
      <c r="D545" s="312"/>
      <c r="E545" s="312"/>
      <c r="F545" s="312"/>
      <c r="G545" s="312"/>
      <c r="H545" s="312"/>
      <c r="I545" s="312"/>
      <c r="J545" s="312"/>
      <c r="K545" s="312"/>
      <c r="L545" s="312"/>
      <c r="M545" s="312"/>
      <c r="N545" s="312"/>
      <c r="O545" s="312"/>
      <c r="P545" s="312"/>
      <c r="Q545" s="312"/>
      <c r="R545" s="312"/>
      <c r="S545" s="312"/>
      <c r="T545" s="312"/>
      <c r="U545" s="312"/>
      <c r="V545" s="312"/>
      <c r="W545" s="312"/>
      <c r="X545" s="312"/>
      <c r="Y545" s="312"/>
      <c r="Z545" s="312"/>
      <c r="AA545" s="312"/>
      <c r="AB545" s="312"/>
      <c r="AC545" s="396"/>
      <c r="AD545" s="312"/>
      <c r="AE545" s="312"/>
      <c r="AF545" s="312"/>
      <c r="AG545" s="312"/>
      <c r="AH545" s="312"/>
      <c r="AI545" s="312"/>
      <c r="AJ545" s="312"/>
      <c r="AK545" s="312"/>
      <c r="AL545" s="312"/>
      <c r="AM545" s="312"/>
      <c r="AN545" s="312"/>
      <c r="AO545" s="312"/>
      <c r="AP545" s="312"/>
      <c r="AQ545" s="312"/>
      <c r="AR545" s="312"/>
      <c r="AS545" s="312"/>
      <c r="AT545" s="312"/>
      <c r="AU545" s="312"/>
      <c r="AV545" s="312"/>
      <c r="AW545" s="312"/>
      <c r="AX545" s="312"/>
      <c r="AY545" s="312"/>
      <c r="AZ545" s="312"/>
      <c r="BA545" s="312"/>
      <c r="BB545" s="312"/>
      <c r="BC545" s="312"/>
      <c r="BD545" s="316"/>
      <c r="BE545" s="316"/>
      <c r="BF545" s="316"/>
      <c r="BG545" s="316"/>
      <c r="BH545" s="316"/>
      <c r="BI545" s="316"/>
      <c r="BJ545" s="316"/>
      <c r="BK545" s="316"/>
      <c r="BL545" s="316"/>
      <c r="BM545" s="316"/>
      <c r="BN545" s="316"/>
      <c r="BO545" s="316"/>
      <c r="BP545" s="316"/>
      <c r="BQ545" s="316"/>
      <c r="BR545" s="316"/>
      <c r="BS545" s="316"/>
      <c r="BT545" s="316"/>
      <c r="BU545" s="316"/>
      <c r="BV545" s="316"/>
      <c r="BW545" s="316"/>
      <c r="BX545" s="316"/>
      <c r="BY545" s="316"/>
      <c r="BZ545" s="316"/>
      <c r="CA545" s="316"/>
      <c r="CB545" s="316"/>
      <c r="CC545" s="316"/>
      <c r="CD545" s="316"/>
    </row>
    <row r="546" ht="15.75" customHeight="1">
      <c r="A546" s="308"/>
      <c r="B546" s="312"/>
      <c r="C546" s="312"/>
      <c r="D546" s="312"/>
      <c r="E546" s="312"/>
      <c r="F546" s="312"/>
      <c r="G546" s="312"/>
      <c r="H546" s="312"/>
      <c r="I546" s="312"/>
      <c r="J546" s="312"/>
      <c r="K546" s="312"/>
      <c r="L546" s="312"/>
      <c r="M546" s="312"/>
      <c r="N546" s="312"/>
      <c r="O546" s="312"/>
      <c r="P546" s="312"/>
      <c r="Q546" s="312"/>
      <c r="R546" s="312"/>
      <c r="S546" s="312"/>
      <c r="T546" s="312"/>
      <c r="U546" s="312"/>
      <c r="V546" s="312"/>
      <c r="W546" s="312"/>
      <c r="X546" s="312"/>
      <c r="Y546" s="312"/>
      <c r="Z546" s="312"/>
      <c r="AA546" s="312"/>
      <c r="AB546" s="312"/>
      <c r="AC546" s="396"/>
      <c r="AD546" s="312"/>
      <c r="AE546" s="312"/>
      <c r="AF546" s="312"/>
      <c r="AG546" s="312"/>
      <c r="AH546" s="312"/>
      <c r="AI546" s="312"/>
      <c r="AJ546" s="312"/>
      <c r="AK546" s="312"/>
      <c r="AL546" s="312"/>
      <c r="AM546" s="312"/>
      <c r="AN546" s="312"/>
      <c r="AO546" s="312"/>
      <c r="AP546" s="312"/>
      <c r="AQ546" s="312"/>
      <c r="AR546" s="312"/>
      <c r="AS546" s="312"/>
      <c r="AT546" s="312"/>
      <c r="AU546" s="312"/>
      <c r="AV546" s="312"/>
      <c r="AW546" s="312"/>
      <c r="AX546" s="312"/>
      <c r="AY546" s="312"/>
      <c r="AZ546" s="312"/>
      <c r="BA546" s="312"/>
      <c r="BB546" s="312"/>
      <c r="BC546" s="312"/>
      <c r="BD546" s="316"/>
      <c r="BE546" s="316"/>
      <c r="BF546" s="316"/>
      <c r="BG546" s="316"/>
      <c r="BH546" s="316"/>
      <c r="BI546" s="316"/>
      <c r="BJ546" s="316"/>
      <c r="BK546" s="316"/>
      <c r="BL546" s="316"/>
      <c r="BM546" s="316"/>
      <c r="BN546" s="316"/>
      <c r="BO546" s="316"/>
      <c r="BP546" s="316"/>
      <c r="BQ546" s="316"/>
      <c r="BR546" s="316"/>
      <c r="BS546" s="316"/>
      <c r="BT546" s="316"/>
      <c r="BU546" s="316"/>
      <c r="BV546" s="316"/>
      <c r="BW546" s="316"/>
      <c r="BX546" s="316"/>
      <c r="BY546" s="316"/>
      <c r="BZ546" s="316"/>
      <c r="CA546" s="316"/>
      <c r="CB546" s="316"/>
      <c r="CC546" s="316"/>
      <c r="CD546" s="316"/>
    </row>
    <row r="547" ht="15.75" customHeight="1">
      <c r="A547" s="308"/>
      <c r="B547" s="312"/>
      <c r="C547" s="312"/>
      <c r="D547" s="312"/>
      <c r="E547" s="312"/>
      <c r="F547" s="312"/>
      <c r="G547" s="312"/>
      <c r="H547" s="312"/>
      <c r="I547" s="312"/>
      <c r="J547" s="312"/>
      <c r="K547" s="312"/>
      <c r="L547" s="312"/>
      <c r="M547" s="312"/>
      <c r="N547" s="312"/>
      <c r="O547" s="312"/>
      <c r="P547" s="312"/>
      <c r="Q547" s="312"/>
      <c r="R547" s="312"/>
      <c r="S547" s="312"/>
      <c r="T547" s="312"/>
      <c r="U547" s="312"/>
      <c r="V547" s="312"/>
      <c r="W547" s="312"/>
      <c r="X547" s="312"/>
      <c r="Y547" s="312"/>
      <c r="Z547" s="312"/>
      <c r="AA547" s="312"/>
      <c r="AB547" s="312"/>
      <c r="AC547" s="396"/>
      <c r="AD547" s="312"/>
      <c r="AE547" s="312"/>
      <c r="AF547" s="312"/>
      <c r="AG547" s="312"/>
      <c r="AH547" s="312"/>
      <c r="AI547" s="312"/>
      <c r="AJ547" s="312"/>
      <c r="AK547" s="312"/>
      <c r="AL547" s="312"/>
      <c r="AM547" s="312"/>
      <c r="AN547" s="312"/>
      <c r="AO547" s="312"/>
      <c r="AP547" s="312"/>
      <c r="AQ547" s="312"/>
      <c r="AR547" s="312"/>
      <c r="AS547" s="312"/>
      <c r="AT547" s="312"/>
      <c r="AU547" s="312"/>
      <c r="AV547" s="312"/>
      <c r="AW547" s="312"/>
      <c r="AX547" s="312"/>
      <c r="AY547" s="312"/>
      <c r="AZ547" s="312"/>
      <c r="BA547" s="312"/>
      <c r="BB547" s="312"/>
      <c r="BC547" s="312"/>
      <c r="BD547" s="316"/>
      <c r="BE547" s="316"/>
      <c r="BF547" s="316"/>
      <c r="BG547" s="316"/>
      <c r="BH547" s="316"/>
      <c r="BI547" s="316"/>
      <c r="BJ547" s="316"/>
      <c r="BK547" s="316"/>
      <c r="BL547" s="316"/>
      <c r="BM547" s="316"/>
      <c r="BN547" s="316"/>
      <c r="BO547" s="316"/>
      <c r="BP547" s="316"/>
      <c r="BQ547" s="316"/>
      <c r="BR547" s="316"/>
      <c r="BS547" s="316"/>
      <c r="BT547" s="316"/>
      <c r="BU547" s="316"/>
      <c r="BV547" s="316"/>
      <c r="BW547" s="316"/>
      <c r="BX547" s="316"/>
      <c r="BY547" s="316"/>
      <c r="BZ547" s="316"/>
      <c r="CA547" s="316"/>
      <c r="CB547" s="316"/>
      <c r="CC547" s="316"/>
      <c r="CD547" s="316"/>
    </row>
    <row r="548" ht="15.75" customHeight="1">
      <c r="A548" s="308"/>
      <c r="B548" s="312"/>
      <c r="C548" s="312"/>
      <c r="D548" s="312"/>
      <c r="E548" s="312"/>
      <c r="F548" s="312"/>
      <c r="G548" s="312"/>
      <c r="H548" s="312"/>
      <c r="I548" s="312"/>
      <c r="J548" s="312"/>
      <c r="K548" s="312"/>
      <c r="L548" s="312"/>
      <c r="M548" s="312"/>
      <c r="N548" s="312"/>
      <c r="O548" s="312"/>
      <c r="P548" s="312"/>
      <c r="Q548" s="312"/>
      <c r="R548" s="312"/>
      <c r="S548" s="312"/>
      <c r="T548" s="312"/>
      <c r="U548" s="312"/>
      <c r="V548" s="312"/>
      <c r="W548" s="312"/>
      <c r="X548" s="312"/>
      <c r="Y548" s="312"/>
      <c r="Z548" s="312"/>
      <c r="AA548" s="312"/>
      <c r="AB548" s="312"/>
      <c r="AC548" s="396"/>
      <c r="AD548" s="312"/>
      <c r="AE548" s="312"/>
      <c r="AF548" s="312"/>
      <c r="AG548" s="312"/>
      <c r="AH548" s="312"/>
      <c r="AI548" s="312"/>
      <c r="AJ548" s="312"/>
      <c r="AK548" s="312"/>
      <c r="AL548" s="312"/>
      <c r="AM548" s="312"/>
      <c r="AN548" s="312"/>
      <c r="AO548" s="312"/>
      <c r="AP548" s="312"/>
      <c r="AQ548" s="312"/>
      <c r="AR548" s="312"/>
      <c r="AS548" s="312"/>
      <c r="AT548" s="312"/>
      <c r="AU548" s="312"/>
      <c r="AV548" s="312"/>
      <c r="AW548" s="312"/>
      <c r="AX548" s="312"/>
      <c r="AY548" s="312"/>
      <c r="AZ548" s="312"/>
      <c r="BA548" s="312"/>
      <c r="BB548" s="312"/>
      <c r="BC548" s="312"/>
      <c r="BD548" s="316"/>
      <c r="BE548" s="316"/>
      <c r="BF548" s="316"/>
      <c r="BG548" s="316"/>
      <c r="BH548" s="316"/>
      <c r="BI548" s="316"/>
      <c r="BJ548" s="316"/>
      <c r="BK548" s="316"/>
      <c r="BL548" s="316"/>
      <c r="BM548" s="316"/>
      <c r="BN548" s="316"/>
      <c r="BO548" s="316"/>
      <c r="BP548" s="316"/>
      <c r="BQ548" s="316"/>
      <c r="BR548" s="316"/>
      <c r="BS548" s="316"/>
      <c r="BT548" s="316"/>
      <c r="BU548" s="316"/>
      <c r="BV548" s="316"/>
      <c r="BW548" s="316"/>
      <c r="BX548" s="316"/>
      <c r="BY548" s="316"/>
      <c r="BZ548" s="316"/>
      <c r="CA548" s="316"/>
      <c r="CB548" s="316"/>
      <c r="CC548" s="316"/>
      <c r="CD548" s="316"/>
    </row>
    <row r="549" ht="15.75" customHeight="1">
      <c r="A549" s="308"/>
      <c r="B549" s="312"/>
      <c r="C549" s="312"/>
      <c r="D549" s="312"/>
      <c r="E549" s="312"/>
      <c r="F549" s="312"/>
      <c r="G549" s="312"/>
      <c r="H549" s="312"/>
      <c r="I549" s="312"/>
      <c r="J549" s="312"/>
      <c r="K549" s="312"/>
      <c r="L549" s="312"/>
      <c r="M549" s="312"/>
      <c r="N549" s="312"/>
      <c r="O549" s="312"/>
      <c r="P549" s="312"/>
      <c r="Q549" s="312"/>
      <c r="R549" s="312"/>
      <c r="S549" s="312"/>
      <c r="T549" s="312"/>
      <c r="U549" s="312"/>
      <c r="V549" s="312"/>
      <c r="W549" s="312"/>
      <c r="X549" s="312"/>
      <c r="Y549" s="312"/>
      <c r="Z549" s="312"/>
      <c r="AA549" s="312"/>
      <c r="AB549" s="312"/>
      <c r="AC549" s="396"/>
      <c r="AD549" s="312"/>
      <c r="AE549" s="312"/>
      <c r="AF549" s="312"/>
      <c r="AG549" s="312"/>
      <c r="AH549" s="312"/>
      <c r="AI549" s="312"/>
      <c r="AJ549" s="312"/>
      <c r="AK549" s="312"/>
      <c r="AL549" s="312"/>
      <c r="AM549" s="312"/>
      <c r="AN549" s="312"/>
      <c r="AO549" s="312"/>
      <c r="AP549" s="312"/>
      <c r="AQ549" s="312"/>
      <c r="AR549" s="312"/>
      <c r="AS549" s="312"/>
      <c r="AT549" s="312"/>
      <c r="AU549" s="312"/>
      <c r="AV549" s="312"/>
      <c r="AW549" s="312"/>
      <c r="AX549" s="312"/>
      <c r="AY549" s="312"/>
      <c r="AZ549" s="312"/>
      <c r="BA549" s="312"/>
      <c r="BB549" s="312"/>
      <c r="BC549" s="312"/>
      <c r="BD549" s="316"/>
      <c r="BE549" s="316"/>
      <c r="BF549" s="316"/>
      <c r="BG549" s="316"/>
      <c r="BH549" s="316"/>
      <c r="BI549" s="316"/>
      <c r="BJ549" s="316"/>
      <c r="BK549" s="316"/>
      <c r="BL549" s="316"/>
      <c r="BM549" s="316"/>
      <c r="BN549" s="316"/>
      <c r="BO549" s="316"/>
      <c r="BP549" s="316"/>
      <c r="BQ549" s="316"/>
      <c r="BR549" s="316"/>
      <c r="BS549" s="316"/>
      <c r="BT549" s="316"/>
      <c r="BU549" s="316"/>
      <c r="BV549" s="316"/>
      <c r="BW549" s="316"/>
      <c r="BX549" s="316"/>
      <c r="BY549" s="316"/>
      <c r="BZ549" s="316"/>
      <c r="CA549" s="316"/>
      <c r="CB549" s="316"/>
      <c r="CC549" s="316"/>
      <c r="CD549" s="316"/>
    </row>
    <row r="550" ht="15.75" customHeight="1">
      <c r="A550" s="308"/>
      <c r="B550" s="312"/>
      <c r="C550" s="312"/>
      <c r="D550" s="312"/>
      <c r="E550" s="312"/>
      <c r="F550" s="312"/>
      <c r="G550" s="312"/>
      <c r="H550" s="312"/>
      <c r="I550" s="312"/>
      <c r="J550" s="312"/>
      <c r="K550" s="312"/>
      <c r="L550" s="312"/>
      <c r="M550" s="312"/>
      <c r="N550" s="312"/>
      <c r="O550" s="312"/>
      <c r="P550" s="312"/>
      <c r="Q550" s="312"/>
      <c r="R550" s="312"/>
      <c r="S550" s="312"/>
      <c r="T550" s="312"/>
      <c r="U550" s="312"/>
      <c r="V550" s="312"/>
      <c r="W550" s="312"/>
      <c r="X550" s="312"/>
      <c r="Y550" s="312"/>
      <c r="Z550" s="312"/>
      <c r="AA550" s="312"/>
      <c r="AB550" s="312"/>
      <c r="AC550" s="396"/>
      <c r="AD550" s="312"/>
      <c r="AE550" s="312"/>
      <c r="AF550" s="312"/>
      <c r="AG550" s="312"/>
      <c r="AH550" s="312"/>
      <c r="AI550" s="312"/>
      <c r="AJ550" s="312"/>
      <c r="AK550" s="312"/>
      <c r="AL550" s="312"/>
      <c r="AM550" s="312"/>
      <c r="AN550" s="312"/>
      <c r="AO550" s="312"/>
      <c r="AP550" s="312"/>
      <c r="AQ550" s="312"/>
      <c r="AR550" s="312"/>
      <c r="AS550" s="312"/>
      <c r="AT550" s="312"/>
      <c r="AU550" s="312"/>
      <c r="AV550" s="312"/>
      <c r="AW550" s="312"/>
      <c r="AX550" s="312"/>
      <c r="AY550" s="312"/>
      <c r="AZ550" s="312"/>
      <c r="BA550" s="312"/>
      <c r="BB550" s="312"/>
      <c r="BC550" s="312"/>
      <c r="BD550" s="316"/>
      <c r="BE550" s="316"/>
      <c r="BF550" s="316"/>
      <c r="BG550" s="316"/>
      <c r="BH550" s="316"/>
      <c r="BI550" s="316"/>
      <c r="BJ550" s="316"/>
      <c r="BK550" s="316"/>
      <c r="BL550" s="316"/>
      <c r="BM550" s="316"/>
      <c r="BN550" s="316"/>
      <c r="BO550" s="316"/>
      <c r="BP550" s="316"/>
      <c r="BQ550" s="316"/>
      <c r="BR550" s="316"/>
      <c r="BS550" s="316"/>
      <c r="BT550" s="316"/>
      <c r="BU550" s="316"/>
      <c r="BV550" s="316"/>
      <c r="BW550" s="316"/>
      <c r="BX550" s="316"/>
      <c r="BY550" s="316"/>
      <c r="BZ550" s="316"/>
      <c r="CA550" s="316"/>
      <c r="CB550" s="316"/>
      <c r="CC550" s="316"/>
      <c r="CD550" s="316"/>
    </row>
    <row r="551" ht="15.75" customHeight="1">
      <c r="A551" s="308"/>
      <c r="B551" s="312"/>
      <c r="C551" s="312"/>
      <c r="D551" s="312"/>
      <c r="E551" s="312"/>
      <c r="F551" s="312"/>
      <c r="G551" s="312"/>
      <c r="H551" s="312"/>
      <c r="I551" s="312"/>
      <c r="J551" s="312"/>
      <c r="K551" s="312"/>
      <c r="L551" s="312"/>
      <c r="M551" s="312"/>
      <c r="N551" s="312"/>
      <c r="O551" s="312"/>
      <c r="P551" s="312"/>
      <c r="Q551" s="312"/>
      <c r="R551" s="312"/>
      <c r="S551" s="312"/>
      <c r="T551" s="312"/>
      <c r="U551" s="312"/>
      <c r="V551" s="312"/>
      <c r="W551" s="312"/>
      <c r="X551" s="312"/>
      <c r="Y551" s="312"/>
      <c r="Z551" s="312"/>
      <c r="AA551" s="312"/>
      <c r="AB551" s="312"/>
      <c r="AC551" s="396"/>
      <c r="AD551" s="312"/>
      <c r="AE551" s="312"/>
      <c r="AF551" s="312"/>
      <c r="AG551" s="312"/>
      <c r="AH551" s="312"/>
      <c r="AI551" s="312"/>
      <c r="AJ551" s="312"/>
      <c r="AK551" s="312"/>
      <c r="AL551" s="312"/>
      <c r="AM551" s="312"/>
      <c r="AN551" s="312"/>
      <c r="AO551" s="312"/>
      <c r="AP551" s="312"/>
      <c r="AQ551" s="312"/>
      <c r="AR551" s="312"/>
      <c r="AS551" s="312"/>
      <c r="AT551" s="312"/>
      <c r="AU551" s="312"/>
      <c r="AV551" s="312"/>
      <c r="AW551" s="312"/>
      <c r="AX551" s="312"/>
      <c r="AY551" s="312"/>
      <c r="AZ551" s="312"/>
      <c r="BA551" s="312"/>
      <c r="BB551" s="312"/>
      <c r="BC551" s="312"/>
      <c r="BD551" s="316"/>
      <c r="BE551" s="316"/>
      <c r="BF551" s="316"/>
      <c r="BG551" s="316"/>
      <c r="BH551" s="316"/>
      <c r="BI551" s="316"/>
      <c r="BJ551" s="316"/>
      <c r="BK551" s="316"/>
      <c r="BL551" s="316"/>
      <c r="BM551" s="316"/>
      <c r="BN551" s="316"/>
      <c r="BO551" s="316"/>
      <c r="BP551" s="316"/>
      <c r="BQ551" s="316"/>
      <c r="BR551" s="316"/>
      <c r="BS551" s="316"/>
      <c r="BT551" s="316"/>
      <c r="BU551" s="316"/>
      <c r="BV551" s="316"/>
      <c r="BW551" s="316"/>
      <c r="BX551" s="316"/>
      <c r="BY551" s="316"/>
      <c r="BZ551" s="316"/>
      <c r="CA551" s="316"/>
      <c r="CB551" s="316"/>
      <c r="CC551" s="316"/>
      <c r="CD551" s="316"/>
    </row>
    <row r="552" ht="15.75" customHeight="1">
      <c r="A552" s="308"/>
      <c r="B552" s="312"/>
      <c r="C552" s="312"/>
      <c r="D552" s="312"/>
      <c r="E552" s="312"/>
      <c r="F552" s="312"/>
      <c r="G552" s="312"/>
      <c r="H552" s="312"/>
      <c r="I552" s="312"/>
      <c r="J552" s="312"/>
      <c r="K552" s="312"/>
      <c r="L552" s="312"/>
      <c r="M552" s="312"/>
      <c r="N552" s="312"/>
      <c r="O552" s="312"/>
      <c r="P552" s="312"/>
      <c r="Q552" s="312"/>
      <c r="R552" s="312"/>
      <c r="S552" s="312"/>
      <c r="T552" s="312"/>
      <c r="U552" s="312"/>
      <c r="V552" s="312"/>
      <c r="W552" s="312"/>
      <c r="X552" s="312"/>
      <c r="Y552" s="312"/>
      <c r="Z552" s="312"/>
      <c r="AA552" s="312"/>
      <c r="AB552" s="312"/>
      <c r="AC552" s="396"/>
      <c r="AD552" s="312"/>
      <c r="AE552" s="312"/>
      <c r="AF552" s="312"/>
      <c r="AG552" s="312"/>
      <c r="AH552" s="312"/>
      <c r="AI552" s="312"/>
      <c r="AJ552" s="312"/>
      <c r="AK552" s="312"/>
      <c r="AL552" s="312"/>
      <c r="AM552" s="312"/>
      <c r="AN552" s="312"/>
      <c r="AO552" s="312"/>
      <c r="AP552" s="312"/>
      <c r="AQ552" s="312"/>
      <c r="AR552" s="312"/>
      <c r="AS552" s="312"/>
      <c r="AT552" s="312"/>
      <c r="AU552" s="312"/>
      <c r="AV552" s="312"/>
      <c r="AW552" s="312"/>
      <c r="AX552" s="312"/>
      <c r="AY552" s="312"/>
      <c r="AZ552" s="312"/>
      <c r="BA552" s="312"/>
      <c r="BB552" s="312"/>
      <c r="BC552" s="312"/>
      <c r="BD552" s="316"/>
      <c r="BE552" s="316"/>
      <c r="BF552" s="316"/>
      <c r="BG552" s="316"/>
      <c r="BH552" s="316"/>
      <c r="BI552" s="316"/>
      <c r="BJ552" s="316"/>
      <c r="BK552" s="316"/>
      <c r="BL552" s="316"/>
      <c r="BM552" s="316"/>
      <c r="BN552" s="316"/>
      <c r="BO552" s="316"/>
      <c r="BP552" s="316"/>
      <c r="BQ552" s="316"/>
      <c r="BR552" s="316"/>
      <c r="BS552" s="316"/>
      <c r="BT552" s="316"/>
      <c r="BU552" s="316"/>
      <c r="BV552" s="316"/>
      <c r="BW552" s="316"/>
      <c r="BX552" s="316"/>
      <c r="BY552" s="316"/>
      <c r="BZ552" s="316"/>
      <c r="CA552" s="316"/>
      <c r="CB552" s="316"/>
      <c r="CC552" s="316"/>
      <c r="CD552" s="316"/>
    </row>
    <row r="553" ht="15.75" customHeight="1">
      <c r="A553" s="308"/>
      <c r="B553" s="312"/>
      <c r="C553" s="312"/>
      <c r="D553" s="312"/>
      <c r="E553" s="312"/>
      <c r="F553" s="312"/>
      <c r="G553" s="312"/>
      <c r="H553" s="312"/>
      <c r="I553" s="312"/>
      <c r="J553" s="312"/>
      <c r="K553" s="312"/>
      <c r="L553" s="312"/>
      <c r="M553" s="312"/>
      <c r="N553" s="312"/>
      <c r="O553" s="312"/>
      <c r="P553" s="312"/>
      <c r="Q553" s="312"/>
      <c r="R553" s="312"/>
      <c r="S553" s="312"/>
      <c r="T553" s="312"/>
      <c r="U553" s="312"/>
      <c r="V553" s="312"/>
      <c r="W553" s="312"/>
      <c r="X553" s="312"/>
      <c r="Y553" s="312"/>
      <c r="Z553" s="312"/>
      <c r="AA553" s="312"/>
      <c r="AB553" s="312"/>
      <c r="AC553" s="396"/>
      <c r="AD553" s="312"/>
      <c r="AE553" s="312"/>
      <c r="AF553" s="312"/>
      <c r="AG553" s="312"/>
      <c r="AH553" s="312"/>
      <c r="AI553" s="312"/>
      <c r="AJ553" s="312"/>
      <c r="AK553" s="312"/>
      <c r="AL553" s="312"/>
      <c r="AM553" s="312"/>
      <c r="AN553" s="312"/>
      <c r="AO553" s="312"/>
      <c r="AP553" s="312"/>
      <c r="AQ553" s="312"/>
      <c r="AR553" s="312"/>
      <c r="AS553" s="312"/>
      <c r="AT553" s="312"/>
      <c r="AU553" s="312"/>
      <c r="AV553" s="312"/>
      <c r="AW553" s="312"/>
      <c r="AX553" s="312"/>
      <c r="AY553" s="312"/>
      <c r="AZ553" s="312"/>
      <c r="BA553" s="312"/>
      <c r="BB553" s="312"/>
      <c r="BC553" s="312"/>
      <c r="BD553" s="316"/>
      <c r="BE553" s="316"/>
      <c r="BF553" s="316"/>
      <c r="BG553" s="316"/>
      <c r="BH553" s="316"/>
      <c r="BI553" s="316"/>
      <c r="BJ553" s="316"/>
      <c r="BK553" s="316"/>
      <c r="BL553" s="316"/>
      <c r="BM553" s="316"/>
      <c r="BN553" s="316"/>
      <c r="BO553" s="316"/>
      <c r="BP553" s="316"/>
      <c r="BQ553" s="316"/>
      <c r="BR553" s="316"/>
      <c r="BS553" s="316"/>
      <c r="BT553" s="316"/>
      <c r="BU553" s="316"/>
      <c r="BV553" s="316"/>
      <c r="BW553" s="316"/>
      <c r="BX553" s="316"/>
      <c r="BY553" s="316"/>
      <c r="BZ553" s="316"/>
      <c r="CA553" s="316"/>
      <c r="CB553" s="316"/>
      <c r="CC553" s="316"/>
      <c r="CD553" s="316"/>
    </row>
    <row r="554" ht="15.75" customHeight="1">
      <c r="A554" s="308"/>
      <c r="B554" s="312"/>
      <c r="C554" s="312"/>
      <c r="D554" s="312"/>
      <c r="E554" s="312"/>
      <c r="F554" s="312"/>
      <c r="G554" s="312"/>
      <c r="H554" s="312"/>
      <c r="I554" s="312"/>
      <c r="J554" s="312"/>
      <c r="K554" s="312"/>
      <c r="L554" s="312"/>
      <c r="M554" s="312"/>
      <c r="N554" s="312"/>
      <c r="O554" s="312"/>
      <c r="P554" s="312"/>
      <c r="Q554" s="312"/>
      <c r="R554" s="312"/>
      <c r="S554" s="312"/>
      <c r="T554" s="312"/>
      <c r="U554" s="312"/>
      <c r="V554" s="312"/>
      <c r="W554" s="312"/>
      <c r="X554" s="312"/>
      <c r="Y554" s="312"/>
      <c r="Z554" s="312"/>
      <c r="AA554" s="312"/>
      <c r="AB554" s="312"/>
      <c r="AC554" s="396"/>
      <c r="AD554" s="312"/>
      <c r="AE554" s="312"/>
      <c r="AF554" s="312"/>
      <c r="AG554" s="312"/>
      <c r="AH554" s="312"/>
      <c r="AI554" s="312"/>
      <c r="AJ554" s="312"/>
      <c r="AK554" s="312"/>
      <c r="AL554" s="312"/>
      <c r="AM554" s="312"/>
      <c r="AN554" s="312"/>
      <c r="AO554" s="312"/>
      <c r="AP554" s="312"/>
      <c r="AQ554" s="312"/>
      <c r="AR554" s="312"/>
      <c r="AS554" s="312"/>
      <c r="AT554" s="312"/>
      <c r="AU554" s="312"/>
      <c r="AV554" s="312"/>
      <c r="AW554" s="312"/>
      <c r="AX554" s="312"/>
      <c r="AY554" s="312"/>
      <c r="AZ554" s="312"/>
      <c r="BA554" s="312"/>
      <c r="BB554" s="312"/>
      <c r="BC554" s="312"/>
      <c r="BD554" s="316"/>
      <c r="BE554" s="316"/>
      <c r="BF554" s="316"/>
      <c r="BG554" s="316"/>
      <c r="BH554" s="316"/>
      <c r="BI554" s="316"/>
      <c r="BJ554" s="316"/>
      <c r="BK554" s="316"/>
      <c r="BL554" s="316"/>
      <c r="BM554" s="316"/>
      <c r="BN554" s="316"/>
      <c r="BO554" s="316"/>
      <c r="BP554" s="316"/>
      <c r="BQ554" s="316"/>
      <c r="BR554" s="316"/>
      <c r="BS554" s="316"/>
      <c r="BT554" s="316"/>
      <c r="BU554" s="316"/>
      <c r="BV554" s="316"/>
      <c r="BW554" s="316"/>
      <c r="BX554" s="316"/>
      <c r="BY554" s="316"/>
      <c r="BZ554" s="316"/>
      <c r="CA554" s="316"/>
      <c r="CB554" s="316"/>
      <c r="CC554" s="316"/>
      <c r="CD554" s="316"/>
    </row>
    <row r="555" ht="15.75" customHeight="1">
      <c r="A555" s="308"/>
      <c r="B555" s="312"/>
      <c r="C555" s="312"/>
      <c r="D555" s="312"/>
      <c r="E555" s="312"/>
      <c r="F555" s="312"/>
      <c r="G555" s="312"/>
      <c r="H555" s="312"/>
      <c r="I555" s="312"/>
      <c r="J555" s="312"/>
      <c r="K555" s="312"/>
      <c r="L555" s="312"/>
      <c r="M555" s="312"/>
      <c r="N555" s="312"/>
      <c r="O555" s="312"/>
      <c r="P555" s="312"/>
      <c r="Q555" s="312"/>
      <c r="R555" s="312"/>
      <c r="S555" s="312"/>
      <c r="T555" s="312"/>
      <c r="U555" s="312"/>
      <c r="V555" s="312"/>
      <c r="W555" s="312"/>
      <c r="X555" s="312"/>
      <c r="Y555" s="312"/>
      <c r="Z555" s="312"/>
      <c r="AA555" s="312"/>
      <c r="AB555" s="312"/>
      <c r="AC555" s="396"/>
      <c r="AD555" s="312"/>
      <c r="AE555" s="312"/>
      <c r="AF555" s="312"/>
      <c r="AG555" s="312"/>
      <c r="AH555" s="312"/>
      <c r="AI555" s="312"/>
      <c r="AJ555" s="312"/>
      <c r="AK555" s="312"/>
      <c r="AL555" s="312"/>
      <c r="AM555" s="312"/>
      <c r="AN555" s="312"/>
      <c r="AO555" s="312"/>
      <c r="AP555" s="312"/>
      <c r="AQ555" s="312"/>
      <c r="AR555" s="312"/>
      <c r="AS555" s="312"/>
      <c r="AT555" s="312"/>
      <c r="AU555" s="312"/>
      <c r="AV555" s="312"/>
      <c r="AW555" s="312"/>
      <c r="AX555" s="312"/>
      <c r="AY555" s="312"/>
      <c r="AZ555" s="312"/>
      <c r="BA555" s="312"/>
      <c r="BB555" s="312"/>
      <c r="BC555" s="312"/>
      <c r="BD555" s="316"/>
      <c r="BE555" s="316"/>
      <c r="BF555" s="316"/>
      <c r="BG555" s="316"/>
      <c r="BH555" s="316"/>
      <c r="BI555" s="316"/>
      <c r="BJ555" s="316"/>
      <c r="BK555" s="316"/>
      <c r="BL555" s="316"/>
      <c r="BM555" s="316"/>
      <c r="BN555" s="316"/>
      <c r="BO555" s="316"/>
      <c r="BP555" s="316"/>
      <c r="BQ555" s="316"/>
      <c r="BR555" s="316"/>
      <c r="BS555" s="316"/>
      <c r="BT555" s="316"/>
      <c r="BU555" s="316"/>
      <c r="BV555" s="316"/>
      <c r="BW555" s="316"/>
      <c r="BX555" s="316"/>
      <c r="BY555" s="316"/>
      <c r="BZ555" s="316"/>
      <c r="CA555" s="316"/>
      <c r="CB555" s="316"/>
      <c r="CC555" s="316"/>
      <c r="CD555" s="316"/>
    </row>
    <row r="556" ht="15.75" customHeight="1">
      <c r="A556" s="308"/>
      <c r="B556" s="312"/>
      <c r="C556" s="312"/>
      <c r="D556" s="312"/>
      <c r="E556" s="312"/>
      <c r="F556" s="312"/>
      <c r="G556" s="312"/>
      <c r="H556" s="312"/>
      <c r="I556" s="312"/>
      <c r="J556" s="312"/>
      <c r="K556" s="312"/>
      <c r="L556" s="312"/>
      <c r="M556" s="312"/>
      <c r="N556" s="312"/>
      <c r="O556" s="312"/>
      <c r="P556" s="312"/>
      <c r="Q556" s="312"/>
      <c r="R556" s="312"/>
      <c r="S556" s="312"/>
      <c r="T556" s="312"/>
      <c r="U556" s="312"/>
      <c r="V556" s="312"/>
      <c r="W556" s="312"/>
      <c r="X556" s="312"/>
      <c r="Y556" s="312"/>
      <c r="Z556" s="312"/>
      <c r="AA556" s="312"/>
      <c r="AB556" s="312"/>
      <c r="AC556" s="396"/>
      <c r="AD556" s="312"/>
      <c r="AE556" s="312"/>
      <c r="AF556" s="312"/>
      <c r="AG556" s="312"/>
      <c r="AH556" s="312"/>
      <c r="AI556" s="312"/>
      <c r="AJ556" s="312"/>
      <c r="AK556" s="312"/>
      <c r="AL556" s="312"/>
      <c r="AM556" s="312"/>
      <c r="AN556" s="312"/>
      <c r="AO556" s="312"/>
      <c r="AP556" s="312"/>
      <c r="AQ556" s="312"/>
      <c r="AR556" s="312"/>
      <c r="AS556" s="312"/>
      <c r="AT556" s="312"/>
      <c r="AU556" s="312"/>
      <c r="AV556" s="312"/>
      <c r="AW556" s="312"/>
      <c r="AX556" s="312"/>
      <c r="AY556" s="312"/>
      <c r="AZ556" s="312"/>
      <c r="BA556" s="312"/>
      <c r="BB556" s="312"/>
      <c r="BC556" s="312"/>
      <c r="BD556" s="316"/>
      <c r="BE556" s="316"/>
      <c r="BF556" s="316"/>
      <c r="BG556" s="316"/>
      <c r="BH556" s="316"/>
      <c r="BI556" s="316"/>
      <c r="BJ556" s="316"/>
      <c r="BK556" s="316"/>
      <c r="BL556" s="316"/>
      <c r="BM556" s="316"/>
      <c r="BN556" s="316"/>
      <c r="BO556" s="316"/>
      <c r="BP556" s="316"/>
      <c r="BQ556" s="316"/>
      <c r="BR556" s="316"/>
      <c r="BS556" s="316"/>
      <c r="BT556" s="316"/>
      <c r="BU556" s="316"/>
      <c r="BV556" s="316"/>
      <c r="BW556" s="316"/>
      <c r="BX556" s="316"/>
      <c r="BY556" s="316"/>
      <c r="BZ556" s="316"/>
      <c r="CA556" s="316"/>
      <c r="CB556" s="316"/>
      <c r="CC556" s="316"/>
      <c r="CD556" s="316"/>
    </row>
    <row r="557" ht="15.75" customHeight="1">
      <c r="A557" s="308"/>
      <c r="B557" s="312"/>
      <c r="C557" s="312"/>
      <c r="D557" s="312"/>
      <c r="E557" s="312"/>
      <c r="F557" s="312"/>
      <c r="G557" s="312"/>
      <c r="H557" s="312"/>
      <c r="I557" s="312"/>
      <c r="J557" s="312"/>
      <c r="K557" s="312"/>
      <c r="L557" s="312"/>
      <c r="M557" s="312"/>
      <c r="N557" s="312"/>
      <c r="O557" s="312"/>
      <c r="P557" s="312"/>
      <c r="Q557" s="312"/>
      <c r="R557" s="312"/>
      <c r="S557" s="312"/>
      <c r="T557" s="312"/>
      <c r="U557" s="312"/>
      <c r="V557" s="312"/>
      <c r="W557" s="312"/>
      <c r="X557" s="312"/>
      <c r="Y557" s="312"/>
      <c r="Z557" s="312"/>
      <c r="AA557" s="312"/>
      <c r="AB557" s="312"/>
      <c r="AC557" s="396"/>
      <c r="AD557" s="312"/>
      <c r="AE557" s="312"/>
      <c r="AF557" s="312"/>
      <c r="AG557" s="312"/>
      <c r="AH557" s="312"/>
      <c r="AI557" s="312"/>
      <c r="AJ557" s="312"/>
      <c r="AK557" s="312"/>
      <c r="AL557" s="312"/>
      <c r="AM557" s="312"/>
      <c r="AN557" s="312"/>
      <c r="AO557" s="312"/>
      <c r="AP557" s="312"/>
      <c r="AQ557" s="312"/>
      <c r="AR557" s="312"/>
      <c r="AS557" s="312"/>
      <c r="AT557" s="312"/>
      <c r="AU557" s="312"/>
      <c r="AV557" s="312"/>
      <c r="AW557" s="312"/>
      <c r="AX557" s="312"/>
      <c r="AY557" s="312"/>
      <c r="AZ557" s="312"/>
      <c r="BA557" s="312"/>
      <c r="BB557" s="312"/>
      <c r="BC557" s="312"/>
      <c r="BD557" s="316"/>
      <c r="BE557" s="316"/>
      <c r="BF557" s="316"/>
      <c r="BG557" s="316"/>
      <c r="BH557" s="316"/>
      <c r="BI557" s="316"/>
      <c r="BJ557" s="316"/>
      <c r="BK557" s="316"/>
      <c r="BL557" s="316"/>
      <c r="BM557" s="316"/>
      <c r="BN557" s="316"/>
      <c r="BO557" s="316"/>
      <c r="BP557" s="316"/>
      <c r="BQ557" s="316"/>
      <c r="BR557" s="316"/>
      <c r="BS557" s="316"/>
      <c r="BT557" s="316"/>
      <c r="BU557" s="316"/>
      <c r="BV557" s="316"/>
      <c r="BW557" s="316"/>
      <c r="BX557" s="316"/>
      <c r="BY557" s="316"/>
      <c r="BZ557" s="316"/>
      <c r="CA557" s="316"/>
      <c r="CB557" s="316"/>
      <c r="CC557" s="316"/>
      <c r="CD557" s="316"/>
    </row>
    <row r="558" ht="15.75" customHeight="1">
      <c r="A558" s="308"/>
      <c r="B558" s="312"/>
      <c r="C558" s="312"/>
      <c r="D558" s="312"/>
      <c r="E558" s="312"/>
      <c r="F558" s="312"/>
      <c r="G558" s="312"/>
      <c r="H558" s="312"/>
      <c r="I558" s="312"/>
      <c r="J558" s="312"/>
      <c r="K558" s="312"/>
      <c r="L558" s="312"/>
      <c r="M558" s="312"/>
      <c r="N558" s="312"/>
      <c r="O558" s="312"/>
      <c r="P558" s="312"/>
      <c r="Q558" s="312"/>
      <c r="R558" s="312"/>
      <c r="S558" s="312"/>
      <c r="T558" s="312"/>
      <c r="U558" s="312"/>
      <c r="V558" s="312"/>
      <c r="W558" s="312"/>
      <c r="X558" s="312"/>
      <c r="Y558" s="312"/>
      <c r="Z558" s="312"/>
      <c r="AA558" s="312"/>
      <c r="AB558" s="312"/>
      <c r="AC558" s="396"/>
      <c r="AD558" s="312"/>
      <c r="AE558" s="312"/>
      <c r="AF558" s="312"/>
      <c r="AG558" s="312"/>
      <c r="AH558" s="312"/>
      <c r="AI558" s="312"/>
      <c r="AJ558" s="312"/>
      <c r="AK558" s="312"/>
      <c r="AL558" s="312"/>
      <c r="AM558" s="312"/>
      <c r="AN558" s="312"/>
      <c r="AO558" s="312"/>
      <c r="AP558" s="312"/>
      <c r="AQ558" s="312"/>
      <c r="AR558" s="312"/>
      <c r="AS558" s="312"/>
      <c r="AT558" s="312"/>
      <c r="AU558" s="312"/>
      <c r="AV558" s="312"/>
      <c r="AW558" s="312"/>
      <c r="AX558" s="312"/>
      <c r="AY558" s="312"/>
      <c r="AZ558" s="312"/>
      <c r="BA558" s="312"/>
      <c r="BB558" s="312"/>
      <c r="BC558" s="312"/>
      <c r="BD558" s="316"/>
      <c r="BE558" s="316"/>
      <c r="BF558" s="316"/>
      <c r="BG558" s="316"/>
      <c r="BH558" s="316"/>
      <c r="BI558" s="316"/>
      <c r="BJ558" s="316"/>
      <c r="BK558" s="316"/>
      <c r="BL558" s="316"/>
      <c r="BM558" s="316"/>
      <c r="BN558" s="316"/>
      <c r="BO558" s="316"/>
      <c r="BP558" s="316"/>
      <c r="BQ558" s="316"/>
      <c r="BR558" s="316"/>
      <c r="BS558" s="316"/>
      <c r="BT558" s="316"/>
      <c r="BU558" s="316"/>
      <c r="BV558" s="316"/>
      <c r="BW558" s="316"/>
      <c r="BX558" s="316"/>
      <c r="BY558" s="316"/>
      <c r="BZ558" s="316"/>
      <c r="CA558" s="316"/>
      <c r="CB558" s="316"/>
      <c r="CC558" s="316"/>
      <c r="CD558" s="316"/>
    </row>
    <row r="559" ht="15.75" customHeight="1">
      <c r="A559" s="308"/>
      <c r="B559" s="312"/>
      <c r="C559" s="312"/>
      <c r="D559" s="312"/>
      <c r="E559" s="312"/>
      <c r="F559" s="312"/>
      <c r="G559" s="312"/>
      <c r="H559" s="312"/>
      <c r="I559" s="312"/>
      <c r="J559" s="312"/>
      <c r="K559" s="312"/>
      <c r="L559" s="312"/>
      <c r="M559" s="312"/>
      <c r="N559" s="312"/>
      <c r="O559" s="312"/>
      <c r="P559" s="312"/>
      <c r="Q559" s="312"/>
      <c r="R559" s="312"/>
      <c r="S559" s="312"/>
      <c r="T559" s="312"/>
      <c r="U559" s="312"/>
      <c r="V559" s="312"/>
      <c r="W559" s="312"/>
      <c r="X559" s="312"/>
      <c r="Y559" s="312"/>
      <c r="Z559" s="312"/>
      <c r="AA559" s="312"/>
      <c r="AB559" s="312"/>
      <c r="AC559" s="396"/>
      <c r="AD559" s="312"/>
      <c r="AE559" s="312"/>
      <c r="AF559" s="312"/>
      <c r="AG559" s="312"/>
      <c r="AH559" s="312"/>
      <c r="AI559" s="312"/>
      <c r="AJ559" s="312"/>
      <c r="AK559" s="312"/>
      <c r="AL559" s="312"/>
      <c r="AM559" s="312"/>
      <c r="AN559" s="312"/>
      <c r="AO559" s="312"/>
      <c r="AP559" s="312"/>
      <c r="AQ559" s="312"/>
      <c r="AR559" s="312"/>
      <c r="AS559" s="312"/>
      <c r="AT559" s="312"/>
      <c r="AU559" s="312"/>
      <c r="AV559" s="312"/>
      <c r="AW559" s="312"/>
      <c r="AX559" s="312"/>
      <c r="AY559" s="312"/>
      <c r="AZ559" s="312"/>
      <c r="BA559" s="312"/>
      <c r="BB559" s="312"/>
      <c r="BC559" s="312"/>
      <c r="BD559" s="316"/>
      <c r="BE559" s="316"/>
      <c r="BF559" s="316"/>
      <c r="BG559" s="316"/>
      <c r="BH559" s="316"/>
      <c r="BI559" s="316"/>
      <c r="BJ559" s="316"/>
      <c r="BK559" s="316"/>
      <c r="BL559" s="316"/>
      <c r="BM559" s="316"/>
      <c r="BN559" s="316"/>
      <c r="BO559" s="316"/>
      <c r="BP559" s="316"/>
      <c r="BQ559" s="316"/>
      <c r="BR559" s="316"/>
      <c r="BS559" s="316"/>
      <c r="BT559" s="316"/>
      <c r="BU559" s="316"/>
      <c r="BV559" s="316"/>
      <c r="BW559" s="316"/>
      <c r="BX559" s="316"/>
      <c r="BY559" s="316"/>
      <c r="BZ559" s="316"/>
      <c r="CA559" s="316"/>
      <c r="CB559" s="316"/>
      <c r="CC559" s="316"/>
      <c r="CD559" s="316"/>
    </row>
    <row r="560" ht="15.75" customHeight="1">
      <c r="A560" s="308"/>
      <c r="B560" s="312"/>
      <c r="C560" s="312"/>
      <c r="D560" s="312"/>
      <c r="E560" s="312"/>
      <c r="F560" s="312"/>
      <c r="G560" s="312"/>
      <c r="H560" s="312"/>
      <c r="I560" s="312"/>
      <c r="J560" s="312"/>
      <c r="K560" s="312"/>
      <c r="L560" s="312"/>
      <c r="M560" s="312"/>
      <c r="N560" s="312"/>
      <c r="O560" s="312"/>
      <c r="P560" s="312"/>
      <c r="Q560" s="312"/>
      <c r="R560" s="312"/>
      <c r="S560" s="312"/>
      <c r="T560" s="312"/>
      <c r="U560" s="312"/>
      <c r="V560" s="312"/>
      <c r="W560" s="312"/>
      <c r="X560" s="312"/>
      <c r="Y560" s="312"/>
      <c r="Z560" s="312"/>
      <c r="AA560" s="312"/>
      <c r="AB560" s="312"/>
      <c r="AC560" s="396"/>
      <c r="AD560" s="312"/>
      <c r="AE560" s="312"/>
      <c r="AF560" s="312"/>
      <c r="AG560" s="312"/>
      <c r="AH560" s="312"/>
      <c r="AI560" s="312"/>
      <c r="AJ560" s="312"/>
      <c r="AK560" s="312"/>
      <c r="AL560" s="312"/>
      <c r="AM560" s="312"/>
      <c r="AN560" s="312"/>
      <c r="AO560" s="312"/>
      <c r="AP560" s="312"/>
      <c r="AQ560" s="312"/>
      <c r="AR560" s="312"/>
      <c r="AS560" s="312"/>
      <c r="AT560" s="312"/>
      <c r="AU560" s="312"/>
      <c r="AV560" s="312"/>
      <c r="AW560" s="312"/>
      <c r="AX560" s="312"/>
      <c r="AY560" s="312"/>
      <c r="AZ560" s="312"/>
      <c r="BA560" s="312"/>
      <c r="BB560" s="312"/>
      <c r="BC560" s="312"/>
      <c r="BD560" s="316"/>
      <c r="BE560" s="316"/>
      <c r="BF560" s="316"/>
      <c r="BG560" s="316"/>
      <c r="BH560" s="316"/>
      <c r="BI560" s="316"/>
      <c r="BJ560" s="316"/>
      <c r="BK560" s="316"/>
      <c r="BL560" s="316"/>
      <c r="BM560" s="316"/>
      <c r="BN560" s="316"/>
      <c r="BO560" s="316"/>
      <c r="BP560" s="316"/>
      <c r="BQ560" s="316"/>
      <c r="BR560" s="316"/>
      <c r="BS560" s="316"/>
      <c r="BT560" s="316"/>
      <c r="BU560" s="316"/>
      <c r="BV560" s="316"/>
      <c r="BW560" s="316"/>
      <c r="BX560" s="316"/>
      <c r="BY560" s="316"/>
      <c r="BZ560" s="316"/>
      <c r="CA560" s="316"/>
      <c r="CB560" s="316"/>
      <c r="CC560" s="316"/>
      <c r="CD560" s="316"/>
    </row>
    <row r="561" ht="15.75" customHeight="1">
      <c r="A561" s="308"/>
      <c r="B561" s="312"/>
      <c r="C561" s="312"/>
      <c r="D561" s="312"/>
      <c r="E561" s="312"/>
      <c r="F561" s="312"/>
      <c r="G561" s="312"/>
      <c r="H561" s="312"/>
      <c r="I561" s="312"/>
      <c r="J561" s="312"/>
      <c r="K561" s="312"/>
      <c r="L561" s="312"/>
      <c r="M561" s="312"/>
      <c r="N561" s="312"/>
      <c r="O561" s="312"/>
      <c r="P561" s="312"/>
      <c r="Q561" s="312"/>
      <c r="R561" s="312"/>
      <c r="S561" s="312"/>
      <c r="T561" s="312"/>
      <c r="U561" s="312"/>
      <c r="V561" s="312"/>
      <c r="W561" s="312"/>
      <c r="X561" s="312"/>
      <c r="Y561" s="312"/>
      <c r="Z561" s="312"/>
      <c r="AA561" s="312"/>
      <c r="AB561" s="312"/>
      <c r="AC561" s="396"/>
      <c r="AD561" s="312"/>
      <c r="AE561" s="312"/>
      <c r="AF561" s="312"/>
      <c r="AG561" s="312"/>
      <c r="AH561" s="312"/>
      <c r="AI561" s="312"/>
      <c r="AJ561" s="312"/>
      <c r="AK561" s="312"/>
      <c r="AL561" s="312"/>
      <c r="AM561" s="312"/>
      <c r="AN561" s="312"/>
      <c r="AO561" s="312"/>
      <c r="AP561" s="312"/>
      <c r="AQ561" s="312"/>
      <c r="AR561" s="312"/>
      <c r="AS561" s="312"/>
      <c r="AT561" s="312"/>
      <c r="AU561" s="312"/>
      <c r="AV561" s="312"/>
      <c r="AW561" s="312"/>
      <c r="AX561" s="312"/>
      <c r="AY561" s="312"/>
      <c r="AZ561" s="312"/>
      <c r="BA561" s="312"/>
      <c r="BB561" s="312"/>
      <c r="BC561" s="312"/>
      <c r="BD561" s="316"/>
      <c r="BE561" s="316"/>
      <c r="BF561" s="316"/>
      <c r="BG561" s="316"/>
      <c r="BH561" s="316"/>
      <c r="BI561" s="316"/>
      <c r="BJ561" s="316"/>
      <c r="BK561" s="316"/>
      <c r="BL561" s="316"/>
      <c r="BM561" s="316"/>
      <c r="BN561" s="316"/>
      <c r="BO561" s="316"/>
      <c r="BP561" s="316"/>
      <c r="BQ561" s="316"/>
      <c r="BR561" s="316"/>
      <c r="BS561" s="316"/>
      <c r="BT561" s="316"/>
      <c r="BU561" s="316"/>
      <c r="BV561" s="316"/>
      <c r="BW561" s="316"/>
      <c r="BX561" s="316"/>
      <c r="BY561" s="316"/>
      <c r="BZ561" s="316"/>
      <c r="CA561" s="316"/>
      <c r="CB561" s="316"/>
      <c r="CC561" s="316"/>
      <c r="CD561" s="316"/>
    </row>
    <row r="562" ht="15.75" customHeight="1">
      <c r="A562" s="308"/>
      <c r="B562" s="312"/>
      <c r="C562" s="312"/>
      <c r="D562" s="312"/>
      <c r="E562" s="312"/>
      <c r="F562" s="312"/>
      <c r="G562" s="312"/>
      <c r="H562" s="312"/>
      <c r="I562" s="312"/>
      <c r="J562" s="312"/>
      <c r="K562" s="312"/>
      <c r="L562" s="312"/>
      <c r="M562" s="312"/>
      <c r="N562" s="312"/>
      <c r="O562" s="312"/>
      <c r="P562" s="312"/>
      <c r="Q562" s="312"/>
      <c r="R562" s="312"/>
      <c r="S562" s="312"/>
      <c r="T562" s="312"/>
      <c r="U562" s="312"/>
      <c r="V562" s="312"/>
      <c r="W562" s="312"/>
      <c r="X562" s="312"/>
      <c r="Y562" s="312"/>
      <c r="Z562" s="312"/>
      <c r="AA562" s="312"/>
      <c r="AB562" s="312"/>
      <c r="AC562" s="396"/>
      <c r="AD562" s="312"/>
      <c r="AE562" s="312"/>
      <c r="AF562" s="312"/>
      <c r="AG562" s="312"/>
      <c r="AH562" s="312"/>
      <c r="AI562" s="312"/>
      <c r="AJ562" s="312"/>
      <c r="AK562" s="312"/>
      <c r="AL562" s="312"/>
      <c r="AM562" s="312"/>
      <c r="AN562" s="312"/>
      <c r="AO562" s="312"/>
      <c r="AP562" s="312"/>
      <c r="AQ562" s="312"/>
      <c r="AR562" s="312"/>
      <c r="AS562" s="312"/>
      <c r="AT562" s="312"/>
      <c r="AU562" s="312"/>
      <c r="AV562" s="312"/>
      <c r="AW562" s="312"/>
      <c r="AX562" s="312"/>
      <c r="AY562" s="312"/>
      <c r="AZ562" s="312"/>
      <c r="BA562" s="312"/>
      <c r="BB562" s="312"/>
      <c r="BC562" s="312"/>
      <c r="BD562" s="316"/>
      <c r="BE562" s="316"/>
      <c r="BF562" s="316"/>
      <c r="BG562" s="316"/>
      <c r="BH562" s="316"/>
      <c r="BI562" s="316"/>
      <c r="BJ562" s="316"/>
      <c r="BK562" s="316"/>
      <c r="BL562" s="316"/>
      <c r="BM562" s="316"/>
      <c r="BN562" s="316"/>
      <c r="BO562" s="316"/>
      <c r="BP562" s="316"/>
      <c r="BQ562" s="316"/>
      <c r="BR562" s="316"/>
      <c r="BS562" s="316"/>
      <c r="BT562" s="316"/>
      <c r="BU562" s="316"/>
      <c r="BV562" s="316"/>
      <c r="BW562" s="316"/>
      <c r="BX562" s="316"/>
      <c r="BY562" s="316"/>
      <c r="BZ562" s="316"/>
      <c r="CA562" s="316"/>
      <c r="CB562" s="316"/>
      <c r="CC562" s="316"/>
      <c r="CD562" s="316"/>
    </row>
    <row r="563" ht="15.75" customHeight="1">
      <c r="A563" s="308"/>
      <c r="B563" s="312"/>
      <c r="C563" s="312"/>
      <c r="D563" s="312"/>
      <c r="E563" s="312"/>
      <c r="F563" s="312"/>
      <c r="G563" s="312"/>
      <c r="H563" s="312"/>
      <c r="I563" s="312"/>
      <c r="J563" s="312"/>
      <c r="K563" s="312"/>
      <c r="L563" s="312"/>
      <c r="M563" s="312"/>
      <c r="N563" s="312"/>
      <c r="O563" s="312"/>
      <c r="P563" s="312"/>
      <c r="Q563" s="312"/>
      <c r="R563" s="312"/>
      <c r="S563" s="312"/>
      <c r="T563" s="312"/>
      <c r="U563" s="312"/>
      <c r="V563" s="312"/>
      <c r="W563" s="312"/>
      <c r="X563" s="312"/>
      <c r="Y563" s="312"/>
      <c r="Z563" s="312"/>
      <c r="AA563" s="312"/>
      <c r="AB563" s="312"/>
      <c r="AC563" s="396"/>
      <c r="AD563" s="312"/>
      <c r="AE563" s="312"/>
      <c r="AF563" s="312"/>
      <c r="AG563" s="312"/>
      <c r="AH563" s="312"/>
      <c r="AI563" s="312"/>
      <c r="AJ563" s="312"/>
      <c r="AK563" s="312"/>
      <c r="AL563" s="312"/>
      <c r="AM563" s="312"/>
      <c r="AN563" s="312"/>
      <c r="AO563" s="312"/>
      <c r="AP563" s="312"/>
      <c r="AQ563" s="312"/>
      <c r="AR563" s="312"/>
      <c r="AS563" s="312"/>
      <c r="AT563" s="312"/>
      <c r="AU563" s="312"/>
      <c r="AV563" s="312"/>
      <c r="AW563" s="312"/>
      <c r="AX563" s="312"/>
      <c r="AY563" s="312"/>
      <c r="AZ563" s="312"/>
      <c r="BA563" s="312"/>
      <c r="BB563" s="312"/>
      <c r="BC563" s="312"/>
      <c r="BD563" s="316"/>
      <c r="BE563" s="316"/>
      <c r="BF563" s="316"/>
      <c r="BG563" s="316"/>
      <c r="BH563" s="316"/>
      <c r="BI563" s="316"/>
      <c r="BJ563" s="316"/>
      <c r="BK563" s="316"/>
      <c r="BL563" s="316"/>
      <c r="BM563" s="316"/>
      <c r="BN563" s="316"/>
      <c r="BO563" s="316"/>
      <c r="BP563" s="316"/>
      <c r="BQ563" s="316"/>
      <c r="BR563" s="316"/>
      <c r="BS563" s="316"/>
      <c r="BT563" s="316"/>
      <c r="BU563" s="316"/>
      <c r="BV563" s="316"/>
      <c r="BW563" s="316"/>
      <c r="BX563" s="316"/>
      <c r="BY563" s="316"/>
      <c r="BZ563" s="316"/>
      <c r="CA563" s="316"/>
      <c r="CB563" s="316"/>
      <c r="CC563" s="316"/>
      <c r="CD563" s="316"/>
    </row>
    <row r="564" ht="15.75" customHeight="1">
      <c r="A564" s="308"/>
      <c r="B564" s="312"/>
      <c r="C564" s="312"/>
      <c r="D564" s="312"/>
      <c r="E564" s="312"/>
      <c r="F564" s="312"/>
      <c r="G564" s="312"/>
      <c r="H564" s="312"/>
      <c r="I564" s="312"/>
      <c r="J564" s="312"/>
      <c r="K564" s="312"/>
      <c r="L564" s="312"/>
      <c r="M564" s="312"/>
      <c r="N564" s="312"/>
      <c r="O564" s="312"/>
      <c r="P564" s="312"/>
      <c r="Q564" s="312"/>
      <c r="R564" s="312"/>
      <c r="S564" s="312"/>
      <c r="T564" s="312"/>
      <c r="U564" s="312"/>
      <c r="V564" s="312"/>
      <c r="W564" s="312"/>
      <c r="X564" s="312"/>
      <c r="Y564" s="312"/>
      <c r="Z564" s="312"/>
      <c r="AA564" s="312"/>
      <c r="AB564" s="312"/>
      <c r="AC564" s="396"/>
      <c r="AD564" s="312"/>
      <c r="AE564" s="312"/>
      <c r="AF564" s="312"/>
      <c r="AG564" s="312"/>
      <c r="AH564" s="312"/>
      <c r="AI564" s="312"/>
      <c r="AJ564" s="312"/>
      <c r="AK564" s="312"/>
      <c r="AL564" s="312"/>
      <c r="AM564" s="312"/>
      <c r="AN564" s="312"/>
      <c r="AO564" s="312"/>
      <c r="AP564" s="312"/>
      <c r="AQ564" s="312"/>
      <c r="AR564" s="312"/>
      <c r="AS564" s="312"/>
      <c r="AT564" s="312"/>
      <c r="AU564" s="312"/>
      <c r="AV564" s="312"/>
      <c r="AW564" s="312"/>
      <c r="AX564" s="312"/>
      <c r="AY564" s="312"/>
      <c r="AZ564" s="312"/>
      <c r="BA564" s="312"/>
      <c r="BB564" s="312"/>
      <c r="BC564" s="312"/>
      <c r="BD564" s="316"/>
      <c r="BE564" s="316"/>
      <c r="BF564" s="316"/>
      <c r="BG564" s="316"/>
      <c r="BH564" s="316"/>
      <c r="BI564" s="316"/>
      <c r="BJ564" s="316"/>
      <c r="BK564" s="316"/>
      <c r="BL564" s="316"/>
      <c r="BM564" s="316"/>
      <c r="BN564" s="316"/>
      <c r="BO564" s="316"/>
      <c r="BP564" s="316"/>
      <c r="BQ564" s="316"/>
      <c r="BR564" s="316"/>
      <c r="BS564" s="316"/>
      <c r="BT564" s="316"/>
      <c r="BU564" s="316"/>
      <c r="BV564" s="316"/>
      <c r="BW564" s="316"/>
      <c r="BX564" s="316"/>
      <c r="BY564" s="316"/>
      <c r="BZ564" s="316"/>
      <c r="CA564" s="316"/>
      <c r="CB564" s="316"/>
      <c r="CC564" s="316"/>
      <c r="CD564" s="316"/>
    </row>
    <row r="565" ht="15.75" customHeight="1">
      <c r="A565" s="308"/>
      <c r="B565" s="312"/>
      <c r="C565" s="312"/>
      <c r="D565" s="312"/>
      <c r="E565" s="312"/>
      <c r="F565" s="312"/>
      <c r="G565" s="312"/>
      <c r="H565" s="312"/>
      <c r="I565" s="312"/>
      <c r="J565" s="312"/>
      <c r="K565" s="312"/>
      <c r="L565" s="312"/>
      <c r="M565" s="312"/>
      <c r="N565" s="312"/>
      <c r="O565" s="312"/>
      <c r="P565" s="312"/>
      <c r="Q565" s="312"/>
      <c r="R565" s="312"/>
      <c r="S565" s="312"/>
      <c r="T565" s="312"/>
      <c r="U565" s="312"/>
      <c r="V565" s="312"/>
      <c r="W565" s="312"/>
      <c r="X565" s="312"/>
      <c r="Y565" s="312"/>
      <c r="Z565" s="312"/>
      <c r="AA565" s="312"/>
      <c r="AB565" s="312"/>
      <c r="AC565" s="396"/>
      <c r="AD565" s="312"/>
      <c r="AE565" s="312"/>
      <c r="AF565" s="312"/>
      <c r="AG565" s="312"/>
      <c r="AH565" s="312"/>
      <c r="AI565" s="312"/>
      <c r="AJ565" s="312"/>
      <c r="AK565" s="312"/>
      <c r="AL565" s="312"/>
      <c r="AM565" s="312"/>
      <c r="AN565" s="312"/>
      <c r="AO565" s="312"/>
      <c r="AP565" s="312"/>
      <c r="AQ565" s="312"/>
      <c r="AR565" s="312"/>
      <c r="AS565" s="312"/>
      <c r="AT565" s="312"/>
      <c r="AU565" s="312"/>
      <c r="AV565" s="312"/>
      <c r="AW565" s="312"/>
      <c r="AX565" s="312"/>
      <c r="AY565" s="312"/>
      <c r="AZ565" s="312"/>
      <c r="BA565" s="312"/>
      <c r="BB565" s="312"/>
      <c r="BC565" s="312"/>
      <c r="BD565" s="316"/>
      <c r="BE565" s="316"/>
      <c r="BF565" s="316"/>
      <c r="BG565" s="316"/>
      <c r="BH565" s="316"/>
      <c r="BI565" s="316"/>
      <c r="BJ565" s="316"/>
      <c r="BK565" s="316"/>
      <c r="BL565" s="316"/>
      <c r="BM565" s="316"/>
      <c r="BN565" s="316"/>
      <c r="BO565" s="316"/>
      <c r="BP565" s="316"/>
      <c r="BQ565" s="316"/>
      <c r="BR565" s="316"/>
      <c r="BS565" s="316"/>
      <c r="BT565" s="316"/>
      <c r="BU565" s="316"/>
      <c r="BV565" s="316"/>
      <c r="BW565" s="316"/>
      <c r="BX565" s="316"/>
      <c r="BY565" s="316"/>
      <c r="BZ565" s="316"/>
      <c r="CA565" s="316"/>
      <c r="CB565" s="316"/>
      <c r="CC565" s="316"/>
      <c r="CD565" s="316"/>
    </row>
    <row r="566" ht="15.75" customHeight="1">
      <c r="A566" s="308"/>
      <c r="B566" s="312"/>
      <c r="C566" s="312"/>
      <c r="D566" s="312"/>
      <c r="E566" s="312"/>
      <c r="F566" s="312"/>
      <c r="G566" s="312"/>
      <c r="H566" s="312"/>
      <c r="I566" s="312"/>
      <c r="J566" s="312"/>
      <c r="K566" s="312"/>
      <c r="L566" s="312"/>
      <c r="M566" s="312"/>
      <c r="N566" s="312"/>
      <c r="O566" s="312"/>
      <c r="P566" s="312"/>
      <c r="Q566" s="312"/>
      <c r="R566" s="312"/>
      <c r="S566" s="312"/>
      <c r="T566" s="312"/>
      <c r="U566" s="312"/>
      <c r="V566" s="312"/>
      <c r="W566" s="312"/>
      <c r="X566" s="312"/>
      <c r="Y566" s="312"/>
      <c r="Z566" s="312"/>
      <c r="AA566" s="312"/>
      <c r="AB566" s="312"/>
      <c r="AC566" s="396"/>
      <c r="AD566" s="312"/>
      <c r="AE566" s="312"/>
      <c r="AF566" s="312"/>
      <c r="AG566" s="312"/>
      <c r="AH566" s="312"/>
      <c r="AI566" s="312"/>
      <c r="AJ566" s="312"/>
      <c r="AK566" s="312"/>
      <c r="AL566" s="312"/>
      <c r="AM566" s="312"/>
      <c r="AN566" s="312"/>
      <c r="AO566" s="312"/>
      <c r="AP566" s="312"/>
      <c r="AQ566" s="312"/>
      <c r="AR566" s="312"/>
      <c r="AS566" s="312"/>
      <c r="AT566" s="312"/>
      <c r="AU566" s="312"/>
      <c r="AV566" s="312"/>
      <c r="AW566" s="312"/>
      <c r="AX566" s="312"/>
      <c r="AY566" s="312"/>
      <c r="AZ566" s="312"/>
      <c r="BA566" s="312"/>
      <c r="BB566" s="312"/>
      <c r="BC566" s="312"/>
      <c r="BD566" s="316"/>
      <c r="BE566" s="316"/>
      <c r="BF566" s="316"/>
      <c r="BG566" s="316"/>
      <c r="BH566" s="316"/>
      <c r="BI566" s="316"/>
      <c r="BJ566" s="316"/>
      <c r="BK566" s="316"/>
      <c r="BL566" s="316"/>
      <c r="BM566" s="316"/>
      <c r="BN566" s="316"/>
      <c r="BO566" s="316"/>
      <c r="BP566" s="316"/>
      <c r="BQ566" s="316"/>
      <c r="BR566" s="316"/>
      <c r="BS566" s="316"/>
      <c r="BT566" s="316"/>
      <c r="BU566" s="316"/>
      <c r="BV566" s="316"/>
      <c r="BW566" s="316"/>
      <c r="BX566" s="316"/>
      <c r="BY566" s="316"/>
      <c r="BZ566" s="316"/>
      <c r="CA566" s="316"/>
      <c r="CB566" s="316"/>
      <c r="CC566" s="316"/>
      <c r="CD566" s="316"/>
    </row>
    <row r="567" ht="15.75" customHeight="1">
      <c r="A567" s="308"/>
      <c r="B567" s="312"/>
      <c r="C567" s="312"/>
      <c r="D567" s="312"/>
      <c r="E567" s="312"/>
      <c r="F567" s="312"/>
      <c r="G567" s="312"/>
      <c r="H567" s="312"/>
      <c r="I567" s="312"/>
      <c r="J567" s="312"/>
      <c r="K567" s="312"/>
      <c r="L567" s="312"/>
      <c r="M567" s="312"/>
      <c r="N567" s="312"/>
      <c r="O567" s="312"/>
      <c r="P567" s="312"/>
      <c r="Q567" s="312"/>
      <c r="R567" s="312"/>
      <c r="S567" s="312"/>
      <c r="T567" s="312"/>
      <c r="U567" s="312"/>
      <c r="V567" s="312"/>
      <c r="W567" s="312"/>
      <c r="X567" s="312"/>
      <c r="Y567" s="312"/>
      <c r="Z567" s="312"/>
      <c r="AA567" s="312"/>
      <c r="AB567" s="312"/>
      <c r="AC567" s="396"/>
      <c r="AD567" s="312"/>
      <c r="AE567" s="312"/>
      <c r="AF567" s="312"/>
      <c r="AG567" s="312"/>
      <c r="AH567" s="312"/>
      <c r="AI567" s="312"/>
      <c r="AJ567" s="312"/>
      <c r="AK567" s="312"/>
      <c r="AL567" s="312"/>
      <c r="AM567" s="312"/>
      <c r="AN567" s="312"/>
      <c r="AO567" s="312"/>
      <c r="AP567" s="312"/>
      <c r="AQ567" s="312"/>
      <c r="AR567" s="312"/>
      <c r="AS567" s="312"/>
      <c r="AT567" s="312"/>
      <c r="AU567" s="312"/>
      <c r="AV567" s="312"/>
      <c r="AW567" s="312"/>
      <c r="AX567" s="312"/>
      <c r="AY567" s="312"/>
      <c r="AZ567" s="312"/>
      <c r="BA567" s="312"/>
      <c r="BB567" s="312"/>
      <c r="BC567" s="312"/>
      <c r="BD567" s="316"/>
      <c r="BE567" s="316"/>
      <c r="BF567" s="316"/>
      <c r="BG567" s="316"/>
      <c r="BH567" s="316"/>
      <c r="BI567" s="316"/>
      <c r="BJ567" s="316"/>
      <c r="BK567" s="316"/>
      <c r="BL567" s="316"/>
      <c r="BM567" s="316"/>
      <c r="BN567" s="316"/>
      <c r="BO567" s="316"/>
      <c r="BP567" s="316"/>
      <c r="BQ567" s="316"/>
      <c r="BR567" s="316"/>
      <c r="BS567" s="316"/>
      <c r="BT567" s="316"/>
      <c r="BU567" s="316"/>
      <c r="BV567" s="316"/>
      <c r="BW567" s="316"/>
      <c r="BX567" s="316"/>
      <c r="BY567" s="316"/>
      <c r="BZ567" s="316"/>
      <c r="CA567" s="316"/>
      <c r="CB567" s="316"/>
      <c r="CC567" s="316"/>
      <c r="CD567" s="316"/>
    </row>
    <row r="568" ht="15.75" customHeight="1">
      <c r="A568" s="308"/>
      <c r="B568" s="312"/>
      <c r="C568" s="312"/>
      <c r="D568" s="312"/>
      <c r="E568" s="312"/>
      <c r="F568" s="312"/>
      <c r="G568" s="312"/>
      <c r="H568" s="312"/>
      <c r="I568" s="312"/>
      <c r="J568" s="312"/>
      <c r="K568" s="312"/>
      <c r="L568" s="312"/>
      <c r="M568" s="312"/>
      <c r="N568" s="312"/>
      <c r="O568" s="312"/>
      <c r="P568" s="312"/>
      <c r="Q568" s="312"/>
      <c r="R568" s="312"/>
      <c r="S568" s="312"/>
      <c r="T568" s="312"/>
      <c r="U568" s="312"/>
      <c r="V568" s="312"/>
      <c r="W568" s="312"/>
      <c r="X568" s="312"/>
      <c r="Y568" s="312"/>
      <c r="Z568" s="312"/>
      <c r="AA568" s="312"/>
      <c r="AB568" s="312"/>
      <c r="AC568" s="396"/>
      <c r="AD568" s="312"/>
      <c r="AE568" s="312"/>
      <c r="AF568" s="312"/>
      <c r="AG568" s="312"/>
      <c r="AH568" s="312"/>
      <c r="AI568" s="312"/>
      <c r="AJ568" s="312"/>
      <c r="AK568" s="312"/>
      <c r="AL568" s="312"/>
      <c r="AM568" s="312"/>
      <c r="AN568" s="312"/>
      <c r="AO568" s="312"/>
      <c r="AP568" s="312"/>
      <c r="AQ568" s="312"/>
      <c r="AR568" s="312"/>
      <c r="AS568" s="312"/>
      <c r="AT568" s="312"/>
      <c r="AU568" s="312"/>
      <c r="AV568" s="312"/>
      <c r="AW568" s="312"/>
      <c r="AX568" s="312"/>
      <c r="AY568" s="312"/>
      <c r="AZ568" s="312"/>
      <c r="BA568" s="312"/>
      <c r="BB568" s="312"/>
      <c r="BC568" s="312"/>
      <c r="BD568" s="316"/>
      <c r="BE568" s="316"/>
      <c r="BF568" s="316"/>
      <c r="BG568" s="316"/>
      <c r="BH568" s="316"/>
      <c r="BI568" s="316"/>
      <c r="BJ568" s="316"/>
      <c r="BK568" s="316"/>
      <c r="BL568" s="316"/>
      <c r="BM568" s="316"/>
      <c r="BN568" s="316"/>
      <c r="BO568" s="316"/>
      <c r="BP568" s="316"/>
      <c r="BQ568" s="316"/>
      <c r="BR568" s="316"/>
      <c r="BS568" s="316"/>
      <c r="BT568" s="316"/>
      <c r="BU568" s="316"/>
      <c r="BV568" s="316"/>
      <c r="BW568" s="316"/>
      <c r="BX568" s="316"/>
      <c r="BY568" s="316"/>
      <c r="BZ568" s="316"/>
      <c r="CA568" s="316"/>
      <c r="CB568" s="316"/>
      <c r="CC568" s="316"/>
      <c r="CD568" s="316"/>
    </row>
    <row r="569" ht="15.75" customHeight="1">
      <c r="A569" s="308"/>
      <c r="B569" s="312"/>
      <c r="C569" s="312"/>
      <c r="D569" s="312"/>
      <c r="E569" s="312"/>
      <c r="F569" s="312"/>
      <c r="G569" s="312"/>
      <c r="H569" s="312"/>
      <c r="I569" s="312"/>
      <c r="J569" s="312"/>
      <c r="K569" s="312"/>
      <c r="L569" s="312"/>
      <c r="M569" s="312"/>
      <c r="N569" s="312"/>
      <c r="O569" s="312"/>
      <c r="P569" s="312"/>
      <c r="Q569" s="312"/>
      <c r="R569" s="312"/>
      <c r="S569" s="312"/>
      <c r="T569" s="312"/>
      <c r="U569" s="312"/>
      <c r="V569" s="312"/>
      <c r="W569" s="312"/>
      <c r="X569" s="312"/>
      <c r="Y569" s="312"/>
      <c r="Z569" s="312"/>
      <c r="AA569" s="312"/>
      <c r="AB569" s="312"/>
      <c r="AC569" s="396"/>
      <c r="AD569" s="312"/>
      <c r="AE569" s="312"/>
      <c r="AF569" s="312"/>
      <c r="AG569" s="312"/>
      <c r="AH569" s="312"/>
      <c r="AI569" s="312"/>
      <c r="AJ569" s="312"/>
      <c r="AK569" s="312"/>
      <c r="AL569" s="312"/>
      <c r="AM569" s="312"/>
      <c r="AN569" s="312"/>
      <c r="AO569" s="312"/>
      <c r="AP569" s="312"/>
      <c r="AQ569" s="312"/>
      <c r="AR569" s="312"/>
      <c r="AS569" s="312"/>
      <c r="AT569" s="312"/>
      <c r="AU569" s="312"/>
      <c r="AV569" s="312"/>
      <c r="AW569" s="312"/>
      <c r="AX569" s="312"/>
      <c r="AY569" s="312"/>
      <c r="AZ569" s="312"/>
      <c r="BA569" s="312"/>
      <c r="BB569" s="312"/>
      <c r="BC569" s="312"/>
      <c r="BD569" s="316"/>
      <c r="BE569" s="316"/>
      <c r="BF569" s="316"/>
      <c r="BG569" s="316"/>
      <c r="BH569" s="316"/>
      <c r="BI569" s="316"/>
      <c r="BJ569" s="316"/>
      <c r="BK569" s="316"/>
      <c r="BL569" s="316"/>
      <c r="BM569" s="316"/>
      <c r="BN569" s="316"/>
      <c r="BO569" s="316"/>
      <c r="BP569" s="316"/>
      <c r="BQ569" s="316"/>
      <c r="BR569" s="316"/>
      <c r="BS569" s="316"/>
      <c r="BT569" s="316"/>
      <c r="BU569" s="316"/>
      <c r="BV569" s="316"/>
      <c r="BW569" s="316"/>
      <c r="BX569" s="316"/>
      <c r="BY569" s="316"/>
      <c r="BZ569" s="316"/>
      <c r="CA569" s="316"/>
      <c r="CB569" s="316"/>
      <c r="CC569" s="316"/>
      <c r="CD569" s="316"/>
    </row>
    <row r="570" ht="15.75" customHeight="1">
      <c r="A570" s="308"/>
      <c r="B570" s="312"/>
      <c r="C570" s="312"/>
      <c r="D570" s="312"/>
      <c r="E570" s="312"/>
      <c r="F570" s="312"/>
      <c r="G570" s="312"/>
      <c r="H570" s="312"/>
      <c r="I570" s="312"/>
      <c r="J570" s="312"/>
      <c r="K570" s="312"/>
      <c r="L570" s="312"/>
      <c r="M570" s="312"/>
      <c r="N570" s="312"/>
      <c r="O570" s="312"/>
      <c r="P570" s="312"/>
      <c r="Q570" s="312"/>
      <c r="R570" s="312"/>
      <c r="S570" s="312"/>
      <c r="T570" s="312"/>
      <c r="U570" s="312"/>
      <c r="V570" s="312"/>
      <c r="W570" s="312"/>
      <c r="X570" s="312"/>
      <c r="Y570" s="312"/>
      <c r="Z570" s="312"/>
      <c r="AA570" s="312"/>
      <c r="AB570" s="312"/>
      <c r="AC570" s="396"/>
      <c r="AD570" s="312"/>
      <c r="AE570" s="312"/>
      <c r="AF570" s="312"/>
      <c r="AG570" s="312"/>
      <c r="AH570" s="312"/>
      <c r="AI570" s="312"/>
      <c r="AJ570" s="312"/>
      <c r="AK570" s="312"/>
      <c r="AL570" s="312"/>
      <c r="AM570" s="312"/>
      <c r="AN570" s="312"/>
      <c r="AO570" s="312"/>
      <c r="AP570" s="312"/>
      <c r="AQ570" s="312"/>
      <c r="AR570" s="312"/>
      <c r="AS570" s="312"/>
      <c r="AT570" s="312"/>
      <c r="AU570" s="312"/>
      <c r="AV570" s="312"/>
      <c r="AW570" s="312"/>
      <c r="AX570" s="312"/>
      <c r="AY570" s="312"/>
      <c r="AZ570" s="312"/>
      <c r="BA570" s="312"/>
      <c r="BB570" s="312"/>
      <c r="BC570" s="312"/>
      <c r="BD570" s="316"/>
      <c r="BE570" s="316"/>
      <c r="BF570" s="316"/>
      <c r="BG570" s="316"/>
      <c r="BH570" s="316"/>
      <c r="BI570" s="316"/>
      <c r="BJ570" s="316"/>
      <c r="BK570" s="316"/>
      <c r="BL570" s="316"/>
      <c r="BM570" s="316"/>
      <c r="BN570" s="316"/>
      <c r="BO570" s="316"/>
      <c r="BP570" s="316"/>
      <c r="BQ570" s="316"/>
      <c r="BR570" s="316"/>
      <c r="BS570" s="316"/>
      <c r="BT570" s="316"/>
      <c r="BU570" s="316"/>
      <c r="BV570" s="316"/>
      <c r="BW570" s="316"/>
      <c r="BX570" s="316"/>
      <c r="BY570" s="316"/>
      <c r="BZ570" s="316"/>
      <c r="CA570" s="316"/>
      <c r="CB570" s="316"/>
      <c r="CC570" s="316"/>
      <c r="CD570" s="316"/>
    </row>
    <row r="571" ht="15.75" customHeight="1">
      <c r="A571" s="308"/>
      <c r="B571" s="312"/>
      <c r="C571" s="312"/>
      <c r="D571" s="312"/>
      <c r="E571" s="312"/>
      <c r="F571" s="312"/>
      <c r="G571" s="312"/>
      <c r="H571" s="312"/>
      <c r="I571" s="312"/>
      <c r="J571" s="312"/>
      <c r="K571" s="312"/>
      <c r="L571" s="312"/>
      <c r="M571" s="312"/>
      <c r="N571" s="312"/>
      <c r="O571" s="312"/>
      <c r="P571" s="312"/>
      <c r="Q571" s="312"/>
      <c r="R571" s="312"/>
      <c r="S571" s="312"/>
      <c r="T571" s="312"/>
      <c r="U571" s="312"/>
      <c r="V571" s="312"/>
      <c r="W571" s="312"/>
      <c r="X571" s="312"/>
      <c r="Y571" s="312"/>
      <c r="Z571" s="312"/>
      <c r="AA571" s="312"/>
      <c r="AB571" s="312"/>
      <c r="AC571" s="396"/>
      <c r="AD571" s="312"/>
      <c r="AE571" s="312"/>
      <c r="AF571" s="312"/>
      <c r="AG571" s="312"/>
      <c r="AH571" s="312"/>
      <c r="AI571" s="312"/>
      <c r="AJ571" s="312"/>
      <c r="AK571" s="312"/>
      <c r="AL571" s="312"/>
      <c r="AM571" s="312"/>
      <c r="AN571" s="312"/>
      <c r="AO571" s="312"/>
      <c r="AP571" s="312"/>
      <c r="AQ571" s="312"/>
      <c r="AR571" s="312"/>
      <c r="AS571" s="312"/>
      <c r="AT571" s="312"/>
      <c r="AU571" s="312"/>
      <c r="AV571" s="312"/>
      <c r="AW571" s="312"/>
      <c r="AX571" s="312"/>
      <c r="AY571" s="312"/>
      <c r="AZ571" s="312"/>
      <c r="BA571" s="312"/>
      <c r="BB571" s="312"/>
      <c r="BC571" s="312"/>
      <c r="BD571" s="316"/>
      <c r="BE571" s="316"/>
      <c r="BF571" s="316"/>
      <c r="BG571" s="316"/>
      <c r="BH571" s="316"/>
      <c r="BI571" s="316"/>
      <c r="BJ571" s="316"/>
      <c r="BK571" s="316"/>
      <c r="BL571" s="316"/>
      <c r="BM571" s="316"/>
      <c r="BN571" s="316"/>
      <c r="BO571" s="316"/>
      <c r="BP571" s="316"/>
      <c r="BQ571" s="316"/>
      <c r="BR571" s="316"/>
      <c r="BS571" s="316"/>
      <c r="BT571" s="316"/>
      <c r="BU571" s="316"/>
      <c r="BV571" s="316"/>
      <c r="BW571" s="316"/>
      <c r="BX571" s="316"/>
      <c r="BY571" s="316"/>
      <c r="BZ571" s="316"/>
      <c r="CA571" s="316"/>
      <c r="CB571" s="316"/>
      <c r="CC571" s="316"/>
      <c r="CD571" s="316"/>
    </row>
    <row r="572" ht="15.75" customHeight="1">
      <c r="A572" s="308"/>
      <c r="B572" s="312"/>
      <c r="C572" s="312"/>
      <c r="D572" s="312"/>
      <c r="E572" s="312"/>
      <c r="F572" s="312"/>
      <c r="G572" s="312"/>
      <c r="H572" s="312"/>
      <c r="I572" s="312"/>
      <c r="J572" s="312"/>
      <c r="K572" s="312"/>
      <c r="L572" s="312"/>
      <c r="M572" s="312"/>
      <c r="N572" s="312"/>
      <c r="O572" s="312"/>
      <c r="P572" s="312"/>
      <c r="Q572" s="312"/>
      <c r="R572" s="312"/>
      <c r="S572" s="312"/>
      <c r="T572" s="312"/>
      <c r="U572" s="312"/>
      <c r="V572" s="312"/>
      <c r="W572" s="312"/>
      <c r="X572" s="312"/>
      <c r="Y572" s="312"/>
      <c r="Z572" s="312"/>
      <c r="AA572" s="312"/>
      <c r="AB572" s="312"/>
      <c r="AC572" s="396"/>
      <c r="AD572" s="312"/>
      <c r="AE572" s="312"/>
      <c r="AF572" s="312"/>
      <c r="AG572" s="312"/>
      <c r="AH572" s="312"/>
      <c r="AI572" s="312"/>
      <c r="AJ572" s="312"/>
      <c r="AK572" s="312"/>
      <c r="AL572" s="312"/>
      <c r="AM572" s="312"/>
      <c r="AN572" s="312"/>
      <c r="AO572" s="312"/>
      <c r="AP572" s="312"/>
      <c r="AQ572" s="312"/>
      <c r="AR572" s="312"/>
      <c r="AS572" s="312"/>
      <c r="AT572" s="312"/>
      <c r="AU572" s="312"/>
      <c r="AV572" s="312"/>
      <c r="AW572" s="312"/>
      <c r="AX572" s="312"/>
      <c r="AY572" s="312"/>
      <c r="AZ572" s="312"/>
      <c r="BA572" s="312"/>
      <c r="BB572" s="312"/>
      <c r="BC572" s="312"/>
      <c r="BD572" s="316"/>
      <c r="BE572" s="316"/>
      <c r="BF572" s="316"/>
      <c r="BG572" s="316"/>
      <c r="BH572" s="316"/>
      <c r="BI572" s="316"/>
      <c r="BJ572" s="316"/>
      <c r="BK572" s="316"/>
      <c r="BL572" s="316"/>
      <c r="BM572" s="316"/>
      <c r="BN572" s="316"/>
      <c r="BO572" s="316"/>
      <c r="BP572" s="316"/>
      <c r="BQ572" s="316"/>
      <c r="BR572" s="316"/>
      <c r="BS572" s="316"/>
      <c r="BT572" s="316"/>
      <c r="BU572" s="316"/>
      <c r="BV572" s="316"/>
      <c r="BW572" s="316"/>
      <c r="BX572" s="316"/>
      <c r="BY572" s="316"/>
      <c r="BZ572" s="316"/>
      <c r="CA572" s="316"/>
      <c r="CB572" s="316"/>
      <c r="CC572" s="316"/>
      <c r="CD572" s="316"/>
    </row>
    <row r="573" ht="15.75" customHeight="1">
      <c r="A573" s="308"/>
      <c r="B573" s="312"/>
      <c r="C573" s="312"/>
      <c r="D573" s="312"/>
      <c r="E573" s="312"/>
      <c r="F573" s="312"/>
      <c r="G573" s="312"/>
      <c r="H573" s="312"/>
      <c r="I573" s="312"/>
      <c r="J573" s="312"/>
      <c r="K573" s="312"/>
      <c r="L573" s="312"/>
      <c r="M573" s="312"/>
      <c r="N573" s="312"/>
      <c r="O573" s="312"/>
      <c r="P573" s="312"/>
      <c r="Q573" s="312"/>
      <c r="R573" s="312"/>
      <c r="S573" s="312"/>
      <c r="T573" s="312"/>
      <c r="U573" s="312"/>
      <c r="V573" s="312"/>
      <c r="W573" s="312"/>
      <c r="X573" s="312"/>
      <c r="Y573" s="312"/>
      <c r="Z573" s="312"/>
      <c r="AA573" s="312"/>
      <c r="AB573" s="312"/>
      <c r="AC573" s="396"/>
      <c r="AD573" s="312"/>
      <c r="AE573" s="312"/>
      <c r="AF573" s="312"/>
      <c r="AG573" s="312"/>
      <c r="AH573" s="312"/>
      <c r="AI573" s="312"/>
      <c r="AJ573" s="312"/>
      <c r="AK573" s="312"/>
      <c r="AL573" s="312"/>
      <c r="AM573" s="312"/>
      <c r="AN573" s="312"/>
      <c r="AO573" s="312"/>
      <c r="AP573" s="312"/>
      <c r="AQ573" s="312"/>
      <c r="AR573" s="312"/>
      <c r="AS573" s="312"/>
      <c r="AT573" s="312"/>
      <c r="AU573" s="312"/>
      <c r="AV573" s="312"/>
      <c r="AW573" s="312"/>
      <c r="AX573" s="312"/>
      <c r="AY573" s="312"/>
      <c r="AZ573" s="312"/>
      <c r="BA573" s="312"/>
      <c r="BB573" s="312"/>
      <c r="BC573" s="312"/>
      <c r="BD573" s="316"/>
      <c r="BE573" s="316"/>
      <c r="BF573" s="316"/>
      <c r="BG573" s="316"/>
      <c r="BH573" s="316"/>
      <c r="BI573" s="316"/>
      <c r="BJ573" s="316"/>
      <c r="BK573" s="316"/>
      <c r="BL573" s="316"/>
      <c r="BM573" s="316"/>
      <c r="BN573" s="316"/>
      <c r="BO573" s="316"/>
      <c r="BP573" s="316"/>
      <c r="BQ573" s="316"/>
      <c r="BR573" s="316"/>
      <c r="BS573" s="316"/>
      <c r="BT573" s="316"/>
      <c r="BU573" s="316"/>
      <c r="BV573" s="316"/>
      <c r="BW573" s="316"/>
      <c r="BX573" s="316"/>
      <c r="BY573" s="316"/>
      <c r="BZ573" s="316"/>
      <c r="CA573" s="316"/>
      <c r="CB573" s="316"/>
      <c r="CC573" s="316"/>
      <c r="CD573" s="316"/>
    </row>
    <row r="574" ht="15.75" customHeight="1">
      <c r="A574" s="308"/>
      <c r="B574" s="312"/>
      <c r="C574" s="312"/>
      <c r="D574" s="312"/>
      <c r="E574" s="312"/>
      <c r="F574" s="312"/>
      <c r="G574" s="312"/>
      <c r="H574" s="312"/>
      <c r="I574" s="312"/>
      <c r="J574" s="312"/>
      <c r="K574" s="312"/>
      <c r="L574" s="312"/>
      <c r="M574" s="312"/>
      <c r="N574" s="312"/>
      <c r="O574" s="312"/>
      <c r="P574" s="312"/>
      <c r="Q574" s="312"/>
      <c r="R574" s="312"/>
      <c r="S574" s="312"/>
      <c r="T574" s="312"/>
      <c r="U574" s="312"/>
      <c r="V574" s="312"/>
      <c r="W574" s="312"/>
      <c r="X574" s="312"/>
      <c r="Y574" s="312"/>
      <c r="Z574" s="312"/>
      <c r="AA574" s="312"/>
      <c r="AB574" s="312"/>
      <c r="AC574" s="396"/>
      <c r="AD574" s="312"/>
      <c r="AE574" s="312"/>
      <c r="AF574" s="312"/>
      <c r="AG574" s="312"/>
      <c r="AH574" s="312"/>
      <c r="AI574" s="312"/>
      <c r="AJ574" s="312"/>
      <c r="AK574" s="312"/>
      <c r="AL574" s="312"/>
      <c r="AM574" s="312"/>
      <c r="AN574" s="312"/>
      <c r="AO574" s="312"/>
      <c r="AP574" s="312"/>
      <c r="AQ574" s="312"/>
      <c r="AR574" s="312"/>
      <c r="AS574" s="312"/>
      <c r="AT574" s="312"/>
      <c r="AU574" s="312"/>
      <c r="AV574" s="312"/>
      <c r="AW574" s="312"/>
      <c r="AX574" s="312"/>
      <c r="AY574" s="312"/>
      <c r="AZ574" s="312"/>
      <c r="BA574" s="312"/>
      <c r="BB574" s="312"/>
      <c r="BC574" s="312"/>
      <c r="BD574" s="316"/>
      <c r="BE574" s="316"/>
      <c r="BF574" s="316"/>
      <c r="BG574" s="316"/>
      <c r="BH574" s="316"/>
      <c r="BI574" s="316"/>
      <c r="BJ574" s="316"/>
      <c r="BK574" s="316"/>
      <c r="BL574" s="316"/>
      <c r="BM574" s="316"/>
      <c r="BN574" s="316"/>
      <c r="BO574" s="316"/>
      <c r="BP574" s="316"/>
      <c r="BQ574" s="316"/>
      <c r="BR574" s="316"/>
      <c r="BS574" s="316"/>
      <c r="BT574" s="316"/>
      <c r="BU574" s="316"/>
      <c r="BV574" s="316"/>
      <c r="BW574" s="316"/>
      <c r="BX574" s="316"/>
      <c r="BY574" s="316"/>
      <c r="BZ574" s="316"/>
      <c r="CA574" s="316"/>
      <c r="CB574" s="316"/>
      <c r="CC574" s="316"/>
      <c r="CD574" s="316"/>
    </row>
    <row r="575" ht="15.75" customHeight="1">
      <c r="A575" s="308"/>
      <c r="B575" s="312"/>
      <c r="C575" s="312"/>
      <c r="D575" s="312"/>
      <c r="E575" s="312"/>
      <c r="F575" s="312"/>
      <c r="G575" s="312"/>
      <c r="H575" s="312"/>
      <c r="I575" s="312"/>
      <c r="J575" s="312"/>
      <c r="K575" s="312"/>
      <c r="L575" s="312"/>
      <c r="M575" s="312"/>
      <c r="N575" s="312"/>
      <c r="O575" s="312"/>
      <c r="P575" s="312"/>
      <c r="Q575" s="312"/>
      <c r="R575" s="312"/>
      <c r="S575" s="312"/>
      <c r="T575" s="312"/>
      <c r="U575" s="312"/>
      <c r="V575" s="312"/>
      <c r="W575" s="312"/>
      <c r="X575" s="312"/>
      <c r="Y575" s="312"/>
      <c r="Z575" s="312"/>
      <c r="AA575" s="312"/>
      <c r="AB575" s="312"/>
      <c r="AC575" s="396"/>
      <c r="AD575" s="312"/>
      <c r="AE575" s="312"/>
      <c r="AF575" s="312"/>
      <c r="AG575" s="312"/>
      <c r="AH575" s="312"/>
      <c r="AI575" s="312"/>
      <c r="AJ575" s="312"/>
      <c r="AK575" s="312"/>
      <c r="AL575" s="312"/>
      <c r="AM575" s="312"/>
      <c r="AN575" s="312"/>
      <c r="AO575" s="312"/>
      <c r="AP575" s="312"/>
      <c r="AQ575" s="312"/>
      <c r="AR575" s="312"/>
      <c r="AS575" s="312"/>
      <c r="AT575" s="312"/>
      <c r="AU575" s="312"/>
      <c r="AV575" s="312"/>
      <c r="AW575" s="312"/>
      <c r="AX575" s="312"/>
      <c r="AY575" s="312"/>
      <c r="AZ575" s="312"/>
      <c r="BA575" s="312"/>
      <c r="BB575" s="312"/>
      <c r="BC575" s="312"/>
      <c r="BD575" s="316"/>
      <c r="BE575" s="316"/>
      <c r="BF575" s="316"/>
      <c r="BG575" s="316"/>
      <c r="BH575" s="316"/>
      <c r="BI575" s="316"/>
      <c r="BJ575" s="316"/>
      <c r="BK575" s="316"/>
      <c r="BL575" s="316"/>
      <c r="BM575" s="316"/>
      <c r="BN575" s="316"/>
      <c r="BO575" s="316"/>
      <c r="BP575" s="316"/>
      <c r="BQ575" s="316"/>
      <c r="BR575" s="316"/>
      <c r="BS575" s="316"/>
      <c r="BT575" s="316"/>
      <c r="BU575" s="316"/>
      <c r="BV575" s="316"/>
      <c r="BW575" s="316"/>
      <c r="BX575" s="316"/>
      <c r="BY575" s="316"/>
      <c r="BZ575" s="316"/>
      <c r="CA575" s="316"/>
      <c r="CB575" s="316"/>
      <c r="CC575" s="316"/>
      <c r="CD575" s="316"/>
    </row>
    <row r="576" ht="15.75" customHeight="1">
      <c r="A576" s="308"/>
      <c r="B576" s="312"/>
      <c r="C576" s="312"/>
      <c r="D576" s="312"/>
      <c r="E576" s="312"/>
      <c r="F576" s="312"/>
      <c r="G576" s="312"/>
      <c r="H576" s="312"/>
      <c r="I576" s="312"/>
      <c r="J576" s="312"/>
      <c r="K576" s="312"/>
      <c r="L576" s="312"/>
      <c r="M576" s="312"/>
      <c r="N576" s="312"/>
      <c r="O576" s="312"/>
      <c r="P576" s="312"/>
      <c r="Q576" s="312"/>
      <c r="R576" s="312"/>
      <c r="S576" s="312"/>
      <c r="T576" s="312"/>
      <c r="U576" s="312"/>
      <c r="V576" s="312"/>
      <c r="W576" s="312"/>
      <c r="X576" s="312"/>
      <c r="Y576" s="312"/>
      <c r="Z576" s="312"/>
      <c r="AA576" s="312"/>
      <c r="AB576" s="312"/>
      <c r="AC576" s="396"/>
      <c r="AD576" s="312"/>
      <c r="AE576" s="312"/>
      <c r="AF576" s="312"/>
      <c r="AG576" s="312"/>
      <c r="AH576" s="312"/>
      <c r="AI576" s="312"/>
      <c r="AJ576" s="312"/>
      <c r="AK576" s="312"/>
      <c r="AL576" s="312"/>
      <c r="AM576" s="312"/>
      <c r="AN576" s="312"/>
      <c r="AO576" s="312"/>
      <c r="AP576" s="312"/>
      <c r="AQ576" s="312"/>
      <c r="AR576" s="312"/>
      <c r="AS576" s="312"/>
      <c r="AT576" s="312"/>
      <c r="AU576" s="312"/>
      <c r="AV576" s="312"/>
      <c r="AW576" s="312"/>
      <c r="AX576" s="312"/>
      <c r="AY576" s="312"/>
      <c r="AZ576" s="312"/>
      <c r="BA576" s="312"/>
      <c r="BB576" s="312"/>
      <c r="BC576" s="312"/>
      <c r="BD576" s="316"/>
      <c r="BE576" s="316"/>
      <c r="BF576" s="316"/>
      <c r="BG576" s="316"/>
      <c r="BH576" s="316"/>
      <c r="BI576" s="316"/>
      <c r="BJ576" s="316"/>
      <c r="BK576" s="316"/>
      <c r="BL576" s="316"/>
      <c r="BM576" s="316"/>
      <c r="BN576" s="316"/>
      <c r="BO576" s="316"/>
      <c r="BP576" s="316"/>
      <c r="BQ576" s="316"/>
      <c r="BR576" s="316"/>
      <c r="BS576" s="316"/>
      <c r="BT576" s="316"/>
      <c r="BU576" s="316"/>
      <c r="BV576" s="316"/>
      <c r="BW576" s="316"/>
      <c r="BX576" s="316"/>
      <c r="BY576" s="316"/>
      <c r="BZ576" s="316"/>
      <c r="CA576" s="316"/>
      <c r="CB576" s="316"/>
      <c r="CC576" s="316"/>
      <c r="CD576" s="316"/>
    </row>
    <row r="577" ht="15.75" customHeight="1">
      <c r="A577" s="308"/>
      <c r="B577" s="312"/>
      <c r="C577" s="312"/>
      <c r="D577" s="312"/>
      <c r="E577" s="312"/>
      <c r="F577" s="312"/>
      <c r="G577" s="312"/>
      <c r="H577" s="312"/>
      <c r="I577" s="312"/>
      <c r="J577" s="312"/>
      <c r="K577" s="312"/>
      <c r="L577" s="312"/>
      <c r="M577" s="312"/>
      <c r="N577" s="312"/>
      <c r="O577" s="312"/>
      <c r="P577" s="312"/>
      <c r="Q577" s="312"/>
      <c r="R577" s="312"/>
      <c r="S577" s="312"/>
      <c r="T577" s="312"/>
      <c r="U577" s="312"/>
      <c r="V577" s="312"/>
      <c r="W577" s="312"/>
      <c r="X577" s="312"/>
      <c r="Y577" s="312"/>
      <c r="Z577" s="312"/>
      <c r="AA577" s="312"/>
      <c r="AB577" s="312"/>
      <c r="AC577" s="396"/>
      <c r="AD577" s="312"/>
      <c r="AE577" s="312"/>
      <c r="AF577" s="312"/>
      <c r="AG577" s="312"/>
      <c r="AH577" s="312"/>
      <c r="AI577" s="312"/>
      <c r="AJ577" s="312"/>
      <c r="AK577" s="312"/>
      <c r="AL577" s="312"/>
      <c r="AM577" s="312"/>
      <c r="AN577" s="312"/>
      <c r="AO577" s="312"/>
      <c r="AP577" s="312"/>
      <c r="AQ577" s="312"/>
      <c r="AR577" s="312"/>
      <c r="AS577" s="312"/>
      <c r="AT577" s="312"/>
      <c r="AU577" s="312"/>
      <c r="AV577" s="312"/>
      <c r="AW577" s="312"/>
      <c r="AX577" s="312"/>
      <c r="AY577" s="312"/>
      <c r="AZ577" s="312"/>
      <c r="BA577" s="312"/>
      <c r="BB577" s="312"/>
      <c r="BC577" s="312"/>
      <c r="BD577" s="316"/>
      <c r="BE577" s="316"/>
      <c r="BF577" s="316"/>
      <c r="BG577" s="316"/>
      <c r="BH577" s="316"/>
      <c r="BI577" s="316"/>
      <c r="BJ577" s="316"/>
      <c r="BK577" s="316"/>
      <c r="BL577" s="316"/>
      <c r="BM577" s="316"/>
      <c r="BN577" s="316"/>
      <c r="BO577" s="316"/>
      <c r="BP577" s="316"/>
      <c r="BQ577" s="316"/>
      <c r="BR577" s="316"/>
      <c r="BS577" s="316"/>
      <c r="BT577" s="316"/>
      <c r="BU577" s="316"/>
      <c r="BV577" s="316"/>
      <c r="BW577" s="316"/>
      <c r="BX577" s="316"/>
      <c r="BY577" s="316"/>
      <c r="BZ577" s="316"/>
      <c r="CA577" s="316"/>
      <c r="CB577" s="316"/>
      <c r="CC577" s="316"/>
      <c r="CD577" s="316"/>
    </row>
    <row r="578" ht="15.75" customHeight="1">
      <c r="A578" s="308"/>
      <c r="B578" s="312"/>
      <c r="C578" s="312"/>
      <c r="D578" s="312"/>
      <c r="E578" s="312"/>
      <c r="F578" s="312"/>
      <c r="G578" s="312"/>
      <c r="H578" s="312"/>
      <c r="I578" s="312"/>
      <c r="J578" s="312"/>
      <c r="K578" s="312"/>
      <c r="L578" s="312"/>
      <c r="M578" s="312"/>
      <c r="N578" s="312"/>
      <c r="O578" s="312"/>
      <c r="P578" s="312"/>
      <c r="Q578" s="312"/>
      <c r="R578" s="312"/>
      <c r="S578" s="312"/>
      <c r="T578" s="312"/>
      <c r="U578" s="312"/>
      <c r="V578" s="312"/>
      <c r="W578" s="312"/>
      <c r="X578" s="312"/>
      <c r="Y578" s="312"/>
      <c r="Z578" s="312"/>
      <c r="AA578" s="312"/>
      <c r="AB578" s="312"/>
      <c r="AC578" s="396"/>
      <c r="AD578" s="312"/>
      <c r="AE578" s="312"/>
      <c r="AF578" s="312"/>
      <c r="AG578" s="312"/>
      <c r="AH578" s="312"/>
      <c r="AI578" s="312"/>
      <c r="AJ578" s="312"/>
      <c r="AK578" s="312"/>
      <c r="AL578" s="312"/>
      <c r="AM578" s="312"/>
      <c r="AN578" s="312"/>
      <c r="AO578" s="312"/>
      <c r="AP578" s="312"/>
      <c r="AQ578" s="312"/>
      <c r="AR578" s="312"/>
      <c r="AS578" s="312"/>
      <c r="AT578" s="312"/>
      <c r="AU578" s="312"/>
      <c r="AV578" s="312"/>
      <c r="AW578" s="312"/>
      <c r="AX578" s="312"/>
      <c r="AY578" s="312"/>
      <c r="AZ578" s="312"/>
      <c r="BA578" s="312"/>
      <c r="BB578" s="312"/>
      <c r="BC578" s="312"/>
      <c r="BD578" s="316"/>
      <c r="BE578" s="316"/>
      <c r="BF578" s="316"/>
      <c r="BG578" s="316"/>
      <c r="BH578" s="316"/>
      <c r="BI578" s="316"/>
      <c r="BJ578" s="316"/>
      <c r="BK578" s="316"/>
      <c r="BL578" s="316"/>
      <c r="BM578" s="316"/>
      <c r="BN578" s="316"/>
      <c r="BO578" s="316"/>
      <c r="BP578" s="316"/>
      <c r="BQ578" s="316"/>
      <c r="BR578" s="316"/>
      <c r="BS578" s="316"/>
      <c r="BT578" s="316"/>
      <c r="BU578" s="316"/>
      <c r="BV578" s="316"/>
      <c r="BW578" s="316"/>
      <c r="BX578" s="316"/>
      <c r="BY578" s="316"/>
      <c r="BZ578" s="316"/>
      <c r="CA578" s="316"/>
      <c r="CB578" s="316"/>
      <c r="CC578" s="316"/>
      <c r="CD578" s="316"/>
    </row>
    <row r="579" ht="15.75" customHeight="1">
      <c r="A579" s="308"/>
      <c r="B579" s="312"/>
      <c r="C579" s="312"/>
      <c r="D579" s="312"/>
      <c r="E579" s="312"/>
      <c r="F579" s="312"/>
      <c r="G579" s="312"/>
      <c r="H579" s="312"/>
      <c r="I579" s="312"/>
      <c r="J579" s="312"/>
      <c r="K579" s="312"/>
      <c r="L579" s="312"/>
      <c r="M579" s="312"/>
      <c r="N579" s="312"/>
      <c r="O579" s="312"/>
      <c r="P579" s="312"/>
      <c r="Q579" s="312"/>
      <c r="R579" s="312"/>
      <c r="S579" s="312"/>
      <c r="T579" s="312"/>
      <c r="U579" s="312"/>
      <c r="V579" s="312"/>
      <c r="W579" s="312"/>
      <c r="X579" s="312"/>
      <c r="Y579" s="312"/>
      <c r="Z579" s="312"/>
      <c r="AA579" s="312"/>
      <c r="AB579" s="312"/>
      <c r="AC579" s="396"/>
      <c r="AD579" s="312"/>
      <c r="AE579" s="312"/>
      <c r="AF579" s="312"/>
      <c r="AG579" s="312"/>
      <c r="AH579" s="312"/>
      <c r="AI579" s="312"/>
      <c r="AJ579" s="312"/>
      <c r="AK579" s="312"/>
      <c r="AL579" s="312"/>
      <c r="AM579" s="312"/>
      <c r="AN579" s="312"/>
      <c r="AO579" s="312"/>
      <c r="AP579" s="312"/>
      <c r="AQ579" s="312"/>
      <c r="AR579" s="312"/>
      <c r="AS579" s="312"/>
      <c r="AT579" s="312"/>
      <c r="AU579" s="312"/>
      <c r="AV579" s="312"/>
      <c r="AW579" s="312"/>
      <c r="AX579" s="312"/>
      <c r="AY579" s="312"/>
      <c r="AZ579" s="312"/>
      <c r="BA579" s="312"/>
      <c r="BB579" s="312"/>
      <c r="BC579" s="312"/>
      <c r="BD579" s="316"/>
      <c r="BE579" s="316"/>
      <c r="BF579" s="316"/>
      <c r="BG579" s="316"/>
      <c r="BH579" s="316"/>
      <c r="BI579" s="316"/>
      <c r="BJ579" s="316"/>
      <c r="BK579" s="316"/>
      <c r="BL579" s="316"/>
      <c r="BM579" s="316"/>
      <c r="BN579" s="316"/>
      <c r="BO579" s="316"/>
      <c r="BP579" s="316"/>
      <c r="BQ579" s="316"/>
      <c r="BR579" s="316"/>
      <c r="BS579" s="316"/>
      <c r="BT579" s="316"/>
      <c r="BU579" s="316"/>
      <c r="BV579" s="316"/>
      <c r="BW579" s="316"/>
      <c r="BX579" s="316"/>
      <c r="BY579" s="316"/>
      <c r="BZ579" s="316"/>
      <c r="CA579" s="316"/>
      <c r="CB579" s="316"/>
      <c r="CC579" s="316"/>
      <c r="CD579" s="316"/>
    </row>
    <row r="580" ht="15.75" customHeight="1">
      <c r="A580" s="308"/>
      <c r="B580" s="312"/>
      <c r="C580" s="312"/>
      <c r="D580" s="312"/>
      <c r="E580" s="312"/>
      <c r="F580" s="312"/>
      <c r="G580" s="312"/>
      <c r="H580" s="312"/>
      <c r="I580" s="312"/>
      <c r="J580" s="312"/>
      <c r="K580" s="312"/>
      <c r="L580" s="312"/>
      <c r="M580" s="312"/>
      <c r="N580" s="312"/>
      <c r="O580" s="312"/>
      <c r="P580" s="312"/>
      <c r="Q580" s="312"/>
      <c r="R580" s="312"/>
      <c r="S580" s="312"/>
      <c r="T580" s="312"/>
      <c r="U580" s="312"/>
      <c r="V580" s="312"/>
      <c r="W580" s="312"/>
      <c r="X580" s="312"/>
      <c r="Y580" s="312"/>
      <c r="Z580" s="312"/>
      <c r="AA580" s="312"/>
      <c r="AB580" s="312"/>
      <c r="AC580" s="396"/>
      <c r="AD580" s="312"/>
      <c r="AE580" s="312"/>
      <c r="AF580" s="312"/>
      <c r="AG580" s="312"/>
      <c r="AH580" s="312"/>
      <c r="AI580" s="312"/>
      <c r="AJ580" s="312"/>
      <c r="AK580" s="312"/>
      <c r="AL580" s="312"/>
      <c r="AM580" s="312"/>
      <c r="AN580" s="312"/>
      <c r="AO580" s="312"/>
      <c r="AP580" s="312"/>
      <c r="AQ580" s="312"/>
      <c r="AR580" s="312"/>
      <c r="AS580" s="312"/>
      <c r="AT580" s="312"/>
      <c r="AU580" s="312"/>
      <c r="AV580" s="312"/>
      <c r="AW580" s="312"/>
      <c r="AX580" s="312"/>
      <c r="AY580" s="312"/>
      <c r="AZ580" s="312"/>
      <c r="BA580" s="312"/>
      <c r="BB580" s="312"/>
      <c r="BC580" s="312"/>
      <c r="BD580" s="316"/>
      <c r="BE580" s="316"/>
      <c r="BF580" s="316"/>
      <c r="BG580" s="316"/>
      <c r="BH580" s="316"/>
      <c r="BI580" s="316"/>
      <c r="BJ580" s="316"/>
      <c r="BK580" s="316"/>
      <c r="BL580" s="316"/>
      <c r="BM580" s="316"/>
      <c r="BN580" s="316"/>
      <c r="BO580" s="316"/>
      <c r="BP580" s="316"/>
      <c r="BQ580" s="316"/>
      <c r="BR580" s="316"/>
      <c r="BS580" s="316"/>
      <c r="BT580" s="316"/>
      <c r="BU580" s="316"/>
      <c r="BV580" s="316"/>
      <c r="BW580" s="316"/>
      <c r="BX580" s="316"/>
      <c r="BY580" s="316"/>
      <c r="BZ580" s="316"/>
      <c r="CA580" s="316"/>
      <c r="CB580" s="316"/>
      <c r="CC580" s="316"/>
      <c r="CD580" s="316"/>
    </row>
    <row r="581" ht="15.75" customHeight="1">
      <c r="A581" s="308"/>
      <c r="B581" s="312"/>
      <c r="C581" s="312"/>
      <c r="D581" s="312"/>
      <c r="E581" s="312"/>
      <c r="F581" s="312"/>
      <c r="G581" s="312"/>
      <c r="H581" s="312"/>
      <c r="I581" s="312"/>
      <c r="J581" s="312"/>
      <c r="K581" s="312"/>
      <c r="L581" s="312"/>
      <c r="M581" s="312"/>
      <c r="N581" s="312"/>
      <c r="O581" s="312"/>
      <c r="P581" s="312"/>
      <c r="Q581" s="312"/>
      <c r="R581" s="312"/>
      <c r="S581" s="312"/>
      <c r="T581" s="312"/>
      <c r="U581" s="312"/>
      <c r="V581" s="312"/>
      <c r="W581" s="312"/>
      <c r="X581" s="312"/>
      <c r="Y581" s="312"/>
      <c r="Z581" s="312"/>
      <c r="AA581" s="312"/>
      <c r="AB581" s="312"/>
      <c r="AC581" s="396"/>
      <c r="AD581" s="312"/>
      <c r="AE581" s="312"/>
      <c r="AF581" s="312"/>
      <c r="AG581" s="312"/>
      <c r="AH581" s="312"/>
      <c r="AI581" s="312"/>
      <c r="AJ581" s="312"/>
      <c r="AK581" s="312"/>
      <c r="AL581" s="312"/>
      <c r="AM581" s="312"/>
      <c r="AN581" s="312"/>
      <c r="AO581" s="312"/>
      <c r="AP581" s="312"/>
      <c r="AQ581" s="312"/>
      <c r="AR581" s="312"/>
      <c r="AS581" s="312"/>
      <c r="AT581" s="312"/>
      <c r="AU581" s="312"/>
      <c r="AV581" s="312"/>
      <c r="AW581" s="312"/>
      <c r="AX581" s="312"/>
      <c r="AY581" s="312"/>
      <c r="AZ581" s="312"/>
      <c r="BA581" s="312"/>
      <c r="BB581" s="312"/>
      <c r="BC581" s="312"/>
      <c r="BD581" s="316"/>
      <c r="BE581" s="316"/>
      <c r="BF581" s="316"/>
      <c r="BG581" s="316"/>
      <c r="BH581" s="316"/>
      <c r="BI581" s="316"/>
      <c r="BJ581" s="316"/>
      <c r="BK581" s="316"/>
      <c r="BL581" s="316"/>
      <c r="BM581" s="316"/>
      <c r="BN581" s="316"/>
      <c r="BO581" s="316"/>
      <c r="BP581" s="316"/>
      <c r="BQ581" s="316"/>
      <c r="BR581" s="316"/>
      <c r="BS581" s="316"/>
      <c r="BT581" s="316"/>
      <c r="BU581" s="316"/>
      <c r="BV581" s="316"/>
      <c r="BW581" s="316"/>
      <c r="BX581" s="316"/>
      <c r="BY581" s="316"/>
      <c r="BZ581" s="316"/>
      <c r="CA581" s="316"/>
      <c r="CB581" s="316"/>
      <c r="CC581" s="316"/>
      <c r="CD581" s="316"/>
    </row>
    <row r="582" ht="15.75" customHeight="1">
      <c r="A582" s="308"/>
      <c r="B582" s="312"/>
      <c r="C582" s="312"/>
      <c r="D582" s="312"/>
      <c r="E582" s="312"/>
      <c r="F582" s="312"/>
      <c r="G582" s="312"/>
      <c r="H582" s="312"/>
      <c r="I582" s="312"/>
      <c r="J582" s="312"/>
      <c r="K582" s="312"/>
      <c r="L582" s="312"/>
      <c r="M582" s="312"/>
      <c r="N582" s="312"/>
      <c r="O582" s="312"/>
      <c r="P582" s="312"/>
      <c r="Q582" s="312"/>
      <c r="R582" s="312"/>
      <c r="S582" s="312"/>
      <c r="T582" s="312"/>
      <c r="U582" s="312"/>
      <c r="V582" s="312"/>
      <c r="W582" s="312"/>
      <c r="X582" s="312"/>
      <c r="Y582" s="312"/>
      <c r="Z582" s="312"/>
      <c r="AA582" s="312"/>
      <c r="AB582" s="312"/>
      <c r="AC582" s="396"/>
      <c r="AD582" s="312"/>
      <c r="AE582" s="312"/>
      <c r="AF582" s="312"/>
      <c r="AG582" s="312"/>
      <c r="AH582" s="312"/>
      <c r="AI582" s="312"/>
      <c r="AJ582" s="312"/>
      <c r="AK582" s="312"/>
      <c r="AL582" s="312"/>
      <c r="AM582" s="312"/>
      <c r="AN582" s="312"/>
      <c r="AO582" s="312"/>
      <c r="AP582" s="312"/>
      <c r="AQ582" s="312"/>
      <c r="AR582" s="312"/>
      <c r="AS582" s="312"/>
      <c r="AT582" s="312"/>
      <c r="AU582" s="312"/>
      <c r="AV582" s="312"/>
      <c r="AW582" s="312"/>
      <c r="AX582" s="312"/>
      <c r="AY582" s="312"/>
      <c r="AZ582" s="312"/>
      <c r="BA582" s="312"/>
      <c r="BB582" s="312"/>
      <c r="BC582" s="312"/>
      <c r="BD582" s="316"/>
      <c r="BE582" s="316"/>
      <c r="BF582" s="316"/>
      <c r="BG582" s="316"/>
      <c r="BH582" s="316"/>
      <c r="BI582" s="316"/>
      <c r="BJ582" s="316"/>
      <c r="BK582" s="316"/>
      <c r="BL582" s="316"/>
      <c r="BM582" s="316"/>
      <c r="BN582" s="316"/>
      <c r="BO582" s="316"/>
      <c r="BP582" s="316"/>
      <c r="BQ582" s="316"/>
      <c r="BR582" s="316"/>
      <c r="BS582" s="316"/>
      <c r="BT582" s="316"/>
      <c r="BU582" s="316"/>
      <c r="BV582" s="316"/>
      <c r="BW582" s="316"/>
      <c r="BX582" s="316"/>
      <c r="BY582" s="316"/>
      <c r="BZ582" s="316"/>
      <c r="CA582" s="316"/>
      <c r="CB582" s="316"/>
      <c r="CC582" s="316"/>
      <c r="CD582" s="316"/>
    </row>
    <row r="583" ht="15.75" customHeight="1">
      <c r="A583" s="308"/>
      <c r="B583" s="312"/>
      <c r="C583" s="312"/>
      <c r="D583" s="312"/>
      <c r="E583" s="312"/>
      <c r="F583" s="312"/>
      <c r="G583" s="312"/>
      <c r="H583" s="312"/>
      <c r="I583" s="312"/>
      <c r="J583" s="312"/>
      <c r="K583" s="312"/>
      <c r="L583" s="312"/>
      <c r="M583" s="312"/>
      <c r="N583" s="312"/>
      <c r="O583" s="312"/>
      <c r="P583" s="312"/>
      <c r="Q583" s="312"/>
      <c r="R583" s="312"/>
      <c r="S583" s="312"/>
      <c r="T583" s="312"/>
      <c r="U583" s="312"/>
      <c r="V583" s="312"/>
      <c r="W583" s="312"/>
      <c r="X583" s="312"/>
      <c r="Y583" s="312"/>
      <c r="Z583" s="312"/>
      <c r="AA583" s="312"/>
      <c r="AB583" s="312"/>
      <c r="AC583" s="396"/>
      <c r="AD583" s="312"/>
      <c r="AE583" s="312"/>
      <c r="AF583" s="312"/>
      <c r="AG583" s="312"/>
      <c r="AH583" s="312"/>
      <c r="AI583" s="312"/>
      <c r="AJ583" s="312"/>
      <c r="AK583" s="312"/>
      <c r="AL583" s="312"/>
      <c r="AM583" s="312"/>
      <c r="AN583" s="312"/>
      <c r="AO583" s="312"/>
      <c r="AP583" s="312"/>
      <c r="AQ583" s="312"/>
      <c r="AR583" s="312"/>
      <c r="AS583" s="312"/>
      <c r="AT583" s="312"/>
      <c r="AU583" s="312"/>
      <c r="AV583" s="312"/>
      <c r="AW583" s="312"/>
      <c r="AX583" s="312"/>
      <c r="AY583" s="312"/>
      <c r="AZ583" s="312"/>
      <c r="BA583" s="312"/>
      <c r="BB583" s="312"/>
      <c r="BC583" s="312"/>
      <c r="BD583" s="316"/>
      <c r="BE583" s="316"/>
      <c r="BF583" s="316"/>
      <c r="BG583" s="316"/>
      <c r="BH583" s="316"/>
      <c r="BI583" s="316"/>
      <c r="BJ583" s="316"/>
      <c r="BK583" s="316"/>
      <c r="BL583" s="316"/>
      <c r="BM583" s="316"/>
      <c r="BN583" s="316"/>
      <c r="BO583" s="316"/>
      <c r="BP583" s="316"/>
      <c r="BQ583" s="316"/>
      <c r="BR583" s="316"/>
      <c r="BS583" s="316"/>
      <c r="BT583" s="316"/>
      <c r="BU583" s="316"/>
      <c r="BV583" s="316"/>
      <c r="BW583" s="316"/>
      <c r="BX583" s="316"/>
      <c r="BY583" s="316"/>
      <c r="BZ583" s="316"/>
      <c r="CA583" s="316"/>
      <c r="CB583" s="316"/>
      <c r="CC583" s="316"/>
      <c r="CD583" s="316"/>
    </row>
    <row r="584" ht="15.75" customHeight="1">
      <c r="A584" s="308"/>
      <c r="B584" s="312"/>
      <c r="C584" s="312"/>
      <c r="D584" s="312"/>
      <c r="E584" s="312"/>
      <c r="F584" s="312"/>
      <c r="G584" s="312"/>
      <c r="H584" s="312"/>
      <c r="I584" s="312"/>
      <c r="J584" s="312"/>
      <c r="K584" s="312"/>
      <c r="L584" s="312"/>
      <c r="M584" s="312"/>
      <c r="N584" s="312"/>
      <c r="O584" s="312"/>
      <c r="P584" s="312"/>
      <c r="Q584" s="312"/>
      <c r="R584" s="312"/>
      <c r="S584" s="312"/>
      <c r="T584" s="312"/>
      <c r="U584" s="312"/>
      <c r="V584" s="312"/>
      <c r="W584" s="312"/>
      <c r="X584" s="312"/>
      <c r="Y584" s="312"/>
      <c r="Z584" s="312"/>
      <c r="AA584" s="312"/>
      <c r="AB584" s="312"/>
      <c r="AC584" s="396"/>
      <c r="AD584" s="312"/>
      <c r="AE584" s="312"/>
      <c r="AF584" s="312"/>
      <c r="AG584" s="312"/>
      <c r="AH584" s="312"/>
      <c r="AI584" s="312"/>
      <c r="AJ584" s="312"/>
      <c r="AK584" s="312"/>
      <c r="AL584" s="312"/>
      <c r="AM584" s="312"/>
      <c r="AN584" s="312"/>
      <c r="AO584" s="312"/>
      <c r="AP584" s="312"/>
      <c r="AQ584" s="312"/>
      <c r="AR584" s="312"/>
      <c r="AS584" s="312"/>
      <c r="AT584" s="312"/>
      <c r="AU584" s="312"/>
      <c r="AV584" s="312"/>
      <c r="AW584" s="312"/>
      <c r="AX584" s="312"/>
      <c r="AY584" s="312"/>
      <c r="AZ584" s="312"/>
      <c r="BA584" s="312"/>
      <c r="BB584" s="312"/>
      <c r="BC584" s="312"/>
      <c r="BD584" s="316"/>
      <c r="BE584" s="316"/>
      <c r="BF584" s="316"/>
      <c r="BG584" s="316"/>
      <c r="BH584" s="316"/>
      <c r="BI584" s="316"/>
      <c r="BJ584" s="316"/>
      <c r="BK584" s="316"/>
      <c r="BL584" s="316"/>
      <c r="BM584" s="316"/>
      <c r="BN584" s="316"/>
      <c r="BO584" s="316"/>
      <c r="BP584" s="316"/>
      <c r="BQ584" s="316"/>
      <c r="BR584" s="316"/>
      <c r="BS584" s="316"/>
      <c r="BT584" s="316"/>
      <c r="BU584" s="316"/>
      <c r="BV584" s="316"/>
      <c r="BW584" s="316"/>
      <c r="BX584" s="316"/>
      <c r="BY584" s="316"/>
      <c r="BZ584" s="316"/>
      <c r="CA584" s="316"/>
      <c r="CB584" s="316"/>
      <c r="CC584" s="316"/>
      <c r="CD584" s="316"/>
    </row>
    <row r="585" ht="15.75" customHeight="1">
      <c r="A585" s="308"/>
      <c r="B585" s="312"/>
      <c r="C585" s="312"/>
      <c r="D585" s="312"/>
      <c r="E585" s="312"/>
      <c r="F585" s="312"/>
      <c r="G585" s="312"/>
      <c r="H585" s="312"/>
      <c r="I585" s="312"/>
      <c r="J585" s="312"/>
      <c r="K585" s="312"/>
      <c r="L585" s="312"/>
      <c r="M585" s="312"/>
      <c r="N585" s="312"/>
      <c r="O585" s="312"/>
      <c r="P585" s="312"/>
      <c r="Q585" s="312"/>
      <c r="R585" s="312"/>
      <c r="S585" s="312"/>
      <c r="T585" s="312"/>
      <c r="U585" s="312"/>
      <c r="V585" s="312"/>
      <c r="W585" s="312"/>
      <c r="X585" s="312"/>
      <c r="Y585" s="312"/>
      <c r="Z585" s="312"/>
      <c r="AA585" s="312"/>
      <c r="AB585" s="312"/>
      <c r="AC585" s="312"/>
      <c r="AD585" s="312"/>
      <c r="AE585" s="312"/>
      <c r="AF585" s="312"/>
      <c r="AG585" s="312"/>
      <c r="AH585" s="312"/>
      <c r="AI585" s="312"/>
      <c r="AJ585" s="312"/>
      <c r="AK585" s="312"/>
      <c r="AL585" s="312"/>
      <c r="AM585" s="312"/>
      <c r="AN585" s="312"/>
      <c r="AO585" s="312"/>
      <c r="AP585" s="312"/>
      <c r="AQ585" s="312"/>
      <c r="AR585" s="312"/>
      <c r="AS585" s="312"/>
      <c r="AT585" s="312"/>
      <c r="AU585" s="312"/>
      <c r="AV585" s="312"/>
      <c r="AW585" s="312"/>
      <c r="AX585" s="312"/>
      <c r="AY585" s="312"/>
      <c r="AZ585" s="312"/>
      <c r="BA585" s="312"/>
      <c r="BB585" s="312"/>
      <c r="BC585" s="312"/>
      <c r="BD585" s="316"/>
      <c r="BE585" s="316"/>
      <c r="BF585" s="316"/>
      <c r="BG585" s="316"/>
      <c r="BH585" s="316"/>
      <c r="BI585" s="316"/>
      <c r="BJ585" s="316"/>
      <c r="BK585" s="316"/>
      <c r="BL585" s="316"/>
      <c r="BM585" s="316"/>
      <c r="BN585" s="316"/>
      <c r="BO585" s="316"/>
      <c r="BP585" s="316"/>
      <c r="BQ585" s="316"/>
      <c r="BR585" s="316"/>
      <c r="BS585" s="316"/>
      <c r="BT585" s="316"/>
      <c r="BU585" s="316"/>
      <c r="BV585" s="316"/>
      <c r="BW585" s="316"/>
      <c r="BX585" s="316"/>
      <c r="BY585" s="316"/>
      <c r="BZ585" s="316"/>
      <c r="CA585" s="316"/>
      <c r="CB585" s="316"/>
      <c r="CC585" s="316"/>
      <c r="CD585" s="316"/>
    </row>
    <row r="586" ht="15.75" customHeight="1">
      <c r="A586" s="308"/>
      <c r="B586" s="312"/>
      <c r="C586" s="312"/>
      <c r="D586" s="312"/>
      <c r="E586" s="312"/>
      <c r="F586" s="312"/>
      <c r="G586" s="312"/>
      <c r="H586" s="312"/>
      <c r="I586" s="312"/>
      <c r="J586" s="312"/>
      <c r="K586" s="312"/>
      <c r="L586" s="312"/>
      <c r="M586" s="312"/>
      <c r="N586" s="312"/>
      <c r="O586" s="312"/>
      <c r="P586" s="312"/>
      <c r="Q586" s="312"/>
      <c r="R586" s="312"/>
      <c r="S586" s="312"/>
      <c r="T586" s="312"/>
      <c r="U586" s="312"/>
      <c r="V586" s="312"/>
      <c r="W586" s="312"/>
      <c r="X586" s="312"/>
      <c r="Y586" s="312"/>
      <c r="Z586" s="312"/>
      <c r="AA586" s="312"/>
      <c r="AB586" s="312"/>
      <c r="AC586" s="312"/>
      <c r="AD586" s="312"/>
      <c r="AE586" s="312"/>
      <c r="AF586" s="312"/>
      <c r="AG586" s="312"/>
      <c r="AH586" s="312"/>
      <c r="AI586" s="312"/>
      <c r="AJ586" s="312"/>
      <c r="AK586" s="312"/>
      <c r="AL586" s="312"/>
      <c r="AM586" s="312"/>
      <c r="AN586" s="312"/>
      <c r="AO586" s="312"/>
      <c r="AP586" s="312"/>
      <c r="AQ586" s="312"/>
      <c r="AR586" s="312"/>
      <c r="AS586" s="312"/>
      <c r="AT586" s="312"/>
      <c r="AU586" s="312"/>
      <c r="AV586" s="312"/>
      <c r="AW586" s="312"/>
      <c r="AX586" s="312"/>
      <c r="AY586" s="312"/>
      <c r="AZ586" s="312"/>
      <c r="BA586" s="312"/>
      <c r="BB586" s="312"/>
      <c r="BC586" s="312"/>
      <c r="BD586" s="316"/>
      <c r="BE586" s="316"/>
      <c r="BF586" s="316"/>
      <c r="BG586" s="316"/>
      <c r="BH586" s="316"/>
      <c r="BI586" s="316"/>
      <c r="BJ586" s="316"/>
      <c r="BK586" s="316"/>
      <c r="BL586" s="316"/>
      <c r="BM586" s="316"/>
      <c r="BN586" s="316"/>
      <c r="BO586" s="316"/>
      <c r="BP586" s="316"/>
      <c r="BQ586" s="316"/>
      <c r="BR586" s="316"/>
      <c r="BS586" s="316"/>
      <c r="BT586" s="316"/>
      <c r="BU586" s="316"/>
      <c r="BV586" s="316"/>
      <c r="BW586" s="316"/>
      <c r="BX586" s="316"/>
      <c r="BY586" s="316"/>
      <c r="BZ586" s="316"/>
      <c r="CA586" s="316"/>
      <c r="CB586" s="316"/>
      <c r="CC586" s="316"/>
      <c r="CD586" s="316"/>
    </row>
    <row r="587" ht="15.75" customHeight="1">
      <c r="A587" s="308"/>
      <c r="B587" s="312"/>
      <c r="C587" s="312"/>
      <c r="D587" s="312"/>
      <c r="E587" s="312"/>
      <c r="F587" s="312"/>
      <c r="G587" s="312"/>
      <c r="H587" s="312"/>
      <c r="I587" s="312"/>
      <c r="J587" s="312"/>
      <c r="K587" s="312"/>
      <c r="L587" s="312"/>
      <c r="M587" s="312"/>
      <c r="N587" s="312"/>
      <c r="O587" s="312"/>
      <c r="P587" s="312"/>
      <c r="Q587" s="312"/>
      <c r="R587" s="312"/>
      <c r="S587" s="312"/>
      <c r="T587" s="312"/>
      <c r="U587" s="312"/>
      <c r="V587" s="312"/>
      <c r="W587" s="312"/>
      <c r="X587" s="312"/>
      <c r="Y587" s="312"/>
      <c r="Z587" s="312"/>
      <c r="AA587" s="312"/>
      <c r="AB587" s="312"/>
      <c r="AC587" s="312"/>
      <c r="AD587" s="312"/>
      <c r="AE587" s="312"/>
      <c r="AF587" s="312"/>
      <c r="AG587" s="312"/>
      <c r="AH587" s="312"/>
      <c r="AI587" s="312"/>
      <c r="AJ587" s="312"/>
      <c r="AK587" s="312"/>
      <c r="AL587" s="312"/>
      <c r="AM587" s="312"/>
      <c r="AN587" s="312"/>
      <c r="AO587" s="312"/>
      <c r="AP587" s="312"/>
      <c r="AQ587" s="312"/>
      <c r="AR587" s="312"/>
      <c r="AS587" s="312"/>
      <c r="AT587" s="312"/>
      <c r="AU587" s="312"/>
      <c r="AV587" s="312"/>
      <c r="AW587" s="312"/>
      <c r="AX587" s="312"/>
      <c r="AY587" s="312"/>
      <c r="AZ587" s="312"/>
      <c r="BA587" s="312"/>
      <c r="BB587" s="312"/>
      <c r="BC587" s="312"/>
      <c r="BD587" s="316"/>
      <c r="BE587" s="316"/>
      <c r="BF587" s="316"/>
      <c r="BG587" s="316"/>
      <c r="BH587" s="316"/>
      <c r="BI587" s="316"/>
      <c r="BJ587" s="316"/>
      <c r="BK587" s="316"/>
      <c r="BL587" s="316"/>
      <c r="BM587" s="316"/>
      <c r="BN587" s="316"/>
      <c r="BO587" s="316"/>
      <c r="BP587" s="316"/>
      <c r="BQ587" s="316"/>
      <c r="BR587" s="316"/>
      <c r="BS587" s="316"/>
      <c r="BT587" s="316"/>
      <c r="BU587" s="316"/>
      <c r="BV587" s="316"/>
      <c r="BW587" s="316"/>
      <c r="BX587" s="316"/>
      <c r="BY587" s="316"/>
      <c r="BZ587" s="316"/>
      <c r="CA587" s="316"/>
      <c r="CB587" s="316"/>
      <c r="CC587" s="316"/>
      <c r="CD587" s="316"/>
    </row>
    <row r="588" ht="15.75" customHeight="1">
      <c r="A588" s="308"/>
      <c r="B588" s="312"/>
      <c r="C588" s="312"/>
      <c r="D588" s="312"/>
      <c r="E588" s="312"/>
      <c r="F588" s="312"/>
      <c r="G588" s="312"/>
      <c r="H588" s="312"/>
      <c r="I588" s="312"/>
      <c r="J588" s="312"/>
      <c r="K588" s="312"/>
      <c r="L588" s="312"/>
      <c r="M588" s="312"/>
      <c r="N588" s="312"/>
      <c r="O588" s="312"/>
      <c r="P588" s="312"/>
      <c r="Q588" s="312"/>
      <c r="R588" s="312"/>
      <c r="S588" s="312"/>
      <c r="T588" s="312"/>
      <c r="U588" s="312"/>
      <c r="V588" s="312"/>
      <c r="W588" s="312"/>
      <c r="X588" s="312"/>
      <c r="Y588" s="312"/>
      <c r="Z588" s="312"/>
      <c r="AA588" s="312"/>
      <c r="AB588" s="312"/>
      <c r="AC588" s="312"/>
      <c r="AD588" s="312"/>
      <c r="AE588" s="312"/>
      <c r="AF588" s="312"/>
      <c r="AG588" s="312"/>
      <c r="AH588" s="312"/>
      <c r="AI588" s="312"/>
      <c r="AJ588" s="312"/>
      <c r="AK588" s="312"/>
      <c r="AL588" s="312"/>
      <c r="AM588" s="312"/>
      <c r="AN588" s="312"/>
      <c r="AO588" s="312"/>
      <c r="AP588" s="312"/>
      <c r="AQ588" s="312"/>
      <c r="AR588" s="312"/>
      <c r="AS588" s="312"/>
      <c r="AT588" s="312"/>
      <c r="AU588" s="312"/>
      <c r="AV588" s="312"/>
      <c r="AW588" s="312"/>
      <c r="AX588" s="312"/>
      <c r="AY588" s="312"/>
      <c r="AZ588" s="312"/>
      <c r="BA588" s="312"/>
      <c r="BB588" s="312"/>
      <c r="BC588" s="312"/>
      <c r="BD588" s="316"/>
      <c r="BE588" s="316"/>
      <c r="BF588" s="316"/>
      <c r="BG588" s="316"/>
      <c r="BH588" s="316"/>
      <c r="BI588" s="316"/>
      <c r="BJ588" s="316"/>
      <c r="BK588" s="316"/>
      <c r="BL588" s="316"/>
      <c r="BM588" s="316"/>
      <c r="BN588" s="316"/>
      <c r="BO588" s="316"/>
      <c r="BP588" s="316"/>
      <c r="BQ588" s="316"/>
      <c r="BR588" s="316"/>
      <c r="BS588" s="316"/>
      <c r="BT588" s="316"/>
      <c r="BU588" s="316"/>
      <c r="BV588" s="316"/>
      <c r="BW588" s="316"/>
      <c r="BX588" s="316"/>
      <c r="BY588" s="316"/>
      <c r="BZ588" s="316"/>
      <c r="CA588" s="316"/>
      <c r="CB588" s="316"/>
      <c r="CC588" s="316"/>
      <c r="CD588" s="316"/>
    </row>
    <row r="589" ht="15.75" customHeight="1">
      <c r="A589" s="308"/>
      <c r="B589" s="312"/>
      <c r="C589" s="312"/>
      <c r="D589" s="312"/>
      <c r="E589" s="312"/>
      <c r="F589" s="312"/>
      <c r="G589" s="312"/>
      <c r="H589" s="312"/>
      <c r="I589" s="312"/>
      <c r="J589" s="312"/>
      <c r="K589" s="312"/>
      <c r="L589" s="312"/>
      <c r="M589" s="312"/>
      <c r="N589" s="312"/>
      <c r="O589" s="312"/>
      <c r="P589" s="312"/>
      <c r="Q589" s="312"/>
      <c r="R589" s="312"/>
      <c r="S589" s="312"/>
      <c r="T589" s="312"/>
      <c r="U589" s="312"/>
      <c r="V589" s="312"/>
      <c r="W589" s="312"/>
      <c r="X589" s="312"/>
      <c r="Y589" s="312"/>
      <c r="Z589" s="312"/>
      <c r="AA589" s="312"/>
      <c r="AB589" s="312"/>
      <c r="AC589" s="312"/>
      <c r="AD589" s="312"/>
      <c r="AE589" s="312"/>
      <c r="AF589" s="312"/>
      <c r="AG589" s="312"/>
      <c r="AH589" s="312"/>
      <c r="AI589" s="312"/>
      <c r="AJ589" s="312"/>
      <c r="AK589" s="312"/>
      <c r="AL589" s="312"/>
      <c r="AM589" s="312"/>
      <c r="AN589" s="312"/>
      <c r="AO589" s="312"/>
      <c r="AP589" s="312"/>
      <c r="AQ589" s="312"/>
      <c r="AR589" s="312"/>
      <c r="AS589" s="312"/>
      <c r="AT589" s="312"/>
      <c r="AU589" s="312"/>
      <c r="AV589" s="312"/>
      <c r="AW589" s="312"/>
      <c r="AX589" s="312"/>
      <c r="AY589" s="312"/>
      <c r="AZ589" s="312"/>
      <c r="BA589" s="312"/>
      <c r="BB589" s="312"/>
      <c r="BC589" s="312"/>
      <c r="BD589" s="316"/>
      <c r="BE589" s="316"/>
      <c r="BF589" s="316"/>
      <c r="BG589" s="316"/>
      <c r="BH589" s="316"/>
      <c r="BI589" s="316"/>
      <c r="BJ589" s="316"/>
      <c r="BK589" s="316"/>
      <c r="BL589" s="316"/>
      <c r="BM589" s="316"/>
      <c r="BN589" s="316"/>
      <c r="BO589" s="316"/>
      <c r="BP589" s="316"/>
      <c r="BQ589" s="316"/>
      <c r="BR589" s="316"/>
      <c r="BS589" s="316"/>
      <c r="BT589" s="316"/>
      <c r="BU589" s="316"/>
      <c r="BV589" s="316"/>
      <c r="BW589" s="316"/>
      <c r="BX589" s="316"/>
      <c r="BY589" s="316"/>
      <c r="BZ589" s="316"/>
      <c r="CA589" s="316"/>
      <c r="CB589" s="316"/>
      <c r="CC589" s="316"/>
      <c r="CD589" s="316"/>
    </row>
    <row r="590" ht="15.75" customHeight="1">
      <c r="A590" s="308"/>
      <c r="B590" s="312"/>
      <c r="C590" s="312"/>
      <c r="D590" s="312"/>
      <c r="E590" s="312"/>
      <c r="F590" s="312"/>
      <c r="G590" s="312"/>
      <c r="H590" s="312"/>
      <c r="I590" s="312"/>
      <c r="J590" s="312"/>
      <c r="K590" s="312"/>
      <c r="L590" s="312"/>
      <c r="M590" s="312"/>
      <c r="N590" s="312"/>
      <c r="O590" s="312"/>
      <c r="P590" s="312"/>
      <c r="Q590" s="312"/>
      <c r="R590" s="312"/>
      <c r="S590" s="312"/>
      <c r="T590" s="312"/>
      <c r="U590" s="312"/>
      <c r="V590" s="312"/>
      <c r="W590" s="312"/>
      <c r="X590" s="312"/>
      <c r="Y590" s="312"/>
      <c r="Z590" s="312"/>
      <c r="AA590" s="312"/>
      <c r="AB590" s="312"/>
      <c r="AC590" s="312"/>
      <c r="AD590" s="312"/>
      <c r="AE590" s="312"/>
      <c r="AF590" s="312"/>
      <c r="AG590" s="312"/>
      <c r="AH590" s="312"/>
      <c r="AI590" s="312"/>
      <c r="AJ590" s="312"/>
      <c r="AK590" s="312"/>
      <c r="AL590" s="312"/>
      <c r="AM590" s="312"/>
      <c r="AN590" s="312"/>
      <c r="AO590" s="312"/>
      <c r="AP590" s="312"/>
      <c r="AQ590" s="312"/>
      <c r="AR590" s="312"/>
      <c r="AS590" s="312"/>
      <c r="AT590" s="312"/>
      <c r="AU590" s="312"/>
      <c r="AV590" s="312"/>
      <c r="AW590" s="312"/>
      <c r="AX590" s="312"/>
      <c r="AY590" s="312"/>
      <c r="AZ590" s="312"/>
      <c r="BA590" s="312"/>
      <c r="BB590" s="312"/>
      <c r="BC590" s="312"/>
      <c r="BD590" s="316"/>
      <c r="BE590" s="316"/>
      <c r="BF590" s="316"/>
      <c r="BG590" s="316"/>
      <c r="BH590" s="316"/>
      <c r="BI590" s="316"/>
      <c r="BJ590" s="316"/>
      <c r="BK590" s="316"/>
      <c r="BL590" s="316"/>
      <c r="BM590" s="316"/>
      <c r="BN590" s="316"/>
      <c r="BO590" s="316"/>
      <c r="BP590" s="316"/>
      <c r="BQ590" s="316"/>
      <c r="BR590" s="316"/>
      <c r="BS590" s="316"/>
      <c r="BT590" s="316"/>
      <c r="BU590" s="316"/>
      <c r="BV590" s="316"/>
      <c r="BW590" s="316"/>
      <c r="BX590" s="316"/>
      <c r="BY590" s="316"/>
      <c r="BZ590" s="316"/>
      <c r="CA590" s="316"/>
      <c r="CB590" s="316"/>
      <c r="CC590" s="316"/>
      <c r="CD590" s="316"/>
    </row>
    <row r="591" ht="15.75" customHeight="1">
      <c r="A591" s="308"/>
      <c r="B591" s="312"/>
      <c r="C591" s="312"/>
      <c r="D591" s="312"/>
      <c r="E591" s="312"/>
      <c r="F591" s="312"/>
      <c r="G591" s="312"/>
      <c r="H591" s="312"/>
      <c r="I591" s="312"/>
      <c r="J591" s="312"/>
      <c r="K591" s="312"/>
      <c r="L591" s="312"/>
      <c r="M591" s="312"/>
      <c r="N591" s="312"/>
      <c r="O591" s="312"/>
      <c r="P591" s="312"/>
      <c r="Q591" s="312"/>
      <c r="R591" s="312"/>
      <c r="S591" s="312"/>
      <c r="T591" s="312"/>
      <c r="U591" s="312"/>
      <c r="V591" s="312"/>
      <c r="W591" s="312"/>
      <c r="X591" s="312"/>
      <c r="Y591" s="312"/>
      <c r="Z591" s="312"/>
      <c r="AA591" s="312"/>
      <c r="AB591" s="312"/>
      <c r="AC591" s="312"/>
      <c r="AD591" s="312"/>
      <c r="AE591" s="312"/>
      <c r="AF591" s="312"/>
      <c r="AG591" s="312"/>
      <c r="AH591" s="312"/>
      <c r="AI591" s="312"/>
      <c r="AJ591" s="312"/>
      <c r="AK591" s="312"/>
      <c r="AL591" s="312"/>
      <c r="AM591" s="312"/>
      <c r="AN591" s="312"/>
      <c r="AO591" s="312"/>
      <c r="AP591" s="312"/>
      <c r="AQ591" s="312"/>
      <c r="AR591" s="312"/>
      <c r="AS591" s="312"/>
      <c r="AT591" s="312"/>
      <c r="AU591" s="312"/>
      <c r="AV591" s="312"/>
      <c r="AW591" s="312"/>
      <c r="AX591" s="312"/>
      <c r="AY591" s="312"/>
      <c r="AZ591" s="312"/>
      <c r="BA591" s="312"/>
      <c r="BB591" s="312"/>
      <c r="BC591" s="312"/>
      <c r="BD591" s="316"/>
      <c r="BE591" s="316"/>
      <c r="BF591" s="316"/>
      <c r="BG591" s="316"/>
      <c r="BH591" s="316"/>
      <c r="BI591" s="316"/>
      <c r="BJ591" s="316"/>
      <c r="BK591" s="316"/>
      <c r="BL591" s="316"/>
      <c r="BM591" s="316"/>
      <c r="BN591" s="316"/>
      <c r="BO591" s="316"/>
      <c r="BP591" s="316"/>
      <c r="BQ591" s="316"/>
      <c r="BR591" s="316"/>
      <c r="BS591" s="316"/>
      <c r="BT591" s="316"/>
      <c r="BU591" s="316"/>
      <c r="BV591" s="316"/>
      <c r="BW591" s="316"/>
      <c r="BX591" s="316"/>
      <c r="BY591" s="316"/>
      <c r="BZ591" s="316"/>
      <c r="CA591" s="316"/>
      <c r="CB591" s="316"/>
      <c r="CC591" s="316"/>
      <c r="CD591" s="316"/>
    </row>
    <row r="592" ht="15.75" customHeight="1">
      <c r="A592" s="308"/>
      <c r="B592" s="312"/>
      <c r="C592" s="312"/>
      <c r="D592" s="312"/>
      <c r="E592" s="312"/>
      <c r="F592" s="312"/>
      <c r="G592" s="312"/>
      <c r="H592" s="312"/>
      <c r="I592" s="312"/>
      <c r="J592" s="312"/>
      <c r="K592" s="312"/>
      <c r="L592" s="312"/>
      <c r="M592" s="312"/>
      <c r="N592" s="312"/>
      <c r="O592" s="312"/>
      <c r="P592" s="312"/>
      <c r="Q592" s="312"/>
      <c r="R592" s="312"/>
      <c r="S592" s="312"/>
      <c r="T592" s="312"/>
      <c r="U592" s="312"/>
      <c r="V592" s="312"/>
      <c r="W592" s="312"/>
      <c r="X592" s="312"/>
      <c r="Y592" s="312"/>
      <c r="Z592" s="312"/>
      <c r="AA592" s="312"/>
      <c r="AB592" s="312"/>
      <c r="AC592" s="312"/>
      <c r="AD592" s="312"/>
      <c r="AE592" s="312"/>
      <c r="AF592" s="312"/>
      <c r="AG592" s="312"/>
      <c r="AH592" s="312"/>
      <c r="AI592" s="312"/>
      <c r="AJ592" s="312"/>
      <c r="AK592" s="312"/>
      <c r="AL592" s="312"/>
      <c r="AM592" s="312"/>
      <c r="AN592" s="312"/>
      <c r="AO592" s="312"/>
      <c r="AP592" s="312"/>
      <c r="AQ592" s="312"/>
      <c r="AR592" s="312"/>
      <c r="AS592" s="312"/>
      <c r="AT592" s="312"/>
      <c r="AU592" s="312"/>
      <c r="AV592" s="312"/>
      <c r="AW592" s="312"/>
      <c r="AX592" s="312"/>
      <c r="AY592" s="312"/>
      <c r="AZ592" s="312"/>
      <c r="BA592" s="312"/>
      <c r="BB592" s="312"/>
      <c r="BC592" s="312"/>
      <c r="BD592" s="316"/>
      <c r="BE592" s="316"/>
      <c r="BF592" s="316"/>
      <c r="BG592" s="316"/>
      <c r="BH592" s="316"/>
      <c r="BI592" s="316"/>
      <c r="BJ592" s="316"/>
      <c r="BK592" s="316"/>
      <c r="BL592" s="316"/>
      <c r="BM592" s="316"/>
      <c r="BN592" s="316"/>
      <c r="BO592" s="316"/>
      <c r="BP592" s="316"/>
      <c r="BQ592" s="316"/>
      <c r="BR592" s="316"/>
      <c r="BS592" s="316"/>
      <c r="BT592" s="316"/>
      <c r="BU592" s="316"/>
      <c r="BV592" s="316"/>
      <c r="BW592" s="316"/>
      <c r="BX592" s="316"/>
      <c r="BY592" s="316"/>
      <c r="BZ592" s="316"/>
      <c r="CA592" s="316"/>
      <c r="CB592" s="316"/>
      <c r="CC592" s="316"/>
      <c r="CD592" s="316"/>
    </row>
    <row r="593" ht="15.75" customHeight="1">
      <c r="A593" s="308"/>
      <c r="B593" s="312"/>
      <c r="C593" s="312"/>
      <c r="D593" s="312"/>
      <c r="E593" s="312"/>
      <c r="F593" s="312"/>
      <c r="G593" s="312"/>
      <c r="H593" s="312"/>
      <c r="I593" s="312"/>
      <c r="J593" s="312"/>
      <c r="K593" s="312"/>
      <c r="L593" s="312"/>
      <c r="M593" s="312"/>
      <c r="N593" s="312"/>
      <c r="O593" s="312"/>
      <c r="P593" s="312"/>
      <c r="Q593" s="312"/>
      <c r="R593" s="312"/>
      <c r="S593" s="312"/>
      <c r="T593" s="312"/>
      <c r="U593" s="312"/>
      <c r="V593" s="312"/>
      <c r="W593" s="312"/>
      <c r="X593" s="312"/>
      <c r="Y593" s="312"/>
      <c r="Z593" s="312"/>
      <c r="AA593" s="312"/>
      <c r="AB593" s="312"/>
      <c r="AC593" s="312"/>
      <c r="AD593" s="312"/>
      <c r="AE593" s="312"/>
      <c r="AF593" s="312"/>
      <c r="AG593" s="312"/>
      <c r="AH593" s="312"/>
      <c r="AI593" s="312"/>
      <c r="AJ593" s="312"/>
      <c r="AK593" s="312"/>
      <c r="AL593" s="312"/>
      <c r="AM593" s="312"/>
      <c r="AN593" s="312"/>
      <c r="AO593" s="312"/>
      <c r="AP593" s="312"/>
      <c r="AQ593" s="312"/>
      <c r="AR593" s="312"/>
      <c r="AS593" s="312"/>
      <c r="AT593" s="312"/>
      <c r="AU593" s="312"/>
      <c r="AV593" s="312"/>
      <c r="AW593" s="312"/>
      <c r="AX593" s="312"/>
      <c r="AY593" s="312"/>
      <c r="AZ593" s="312"/>
      <c r="BA593" s="312"/>
      <c r="BB593" s="312"/>
      <c r="BC593" s="312"/>
      <c r="BD593" s="316"/>
      <c r="BE593" s="316"/>
      <c r="BF593" s="316"/>
      <c r="BG593" s="316"/>
      <c r="BH593" s="316"/>
      <c r="BI593" s="316"/>
      <c r="BJ593" s="316"/>
      <c r="BK593" s="316"/>
      <c r="BL593" s="316"/>
      <c r="BM593" s="316"/>
      <c r="BN593" s="316"/>
      <c r="BO593" s="316"/>
      <c r="BP593" s="316"/>
      <c r="BQ593" s="316"/>
      <c r="BR593" s="316"/>
      <c r="BS593" s="316"/>
      <c r="BT593" s="316"/>
      <c r="BU593" s="316"/>
      <c r="BV593" s="316"/>
      <c r="BW593" s="316"/>
      <c r="BX593" s="316"/>
      <c r="BY593" s="316"/>
      <c r="BZ593" s="316"/>
      <c r="CA593" s="316"/>
      <c r="CB593" s="316"/>
      <c r="CC593" s="316"/>
      <c r="CD593" s="316"/>
    </row>
    <row r="594" ht="15.75" customHeight="1">
      <c r="A594" s="308"/>
      <c r="B594" s="312"/>
      <c r="C594" s="312"/>
      <c r="D594" s="312"/>
      <c r="E594" s="312"/>
      <c r="F594" s="312"/>
      <c r="G594" s="312"/>
      <c r="H594" s="312"/>
      <c r="I594" s="312"/>
      <c r="J594" s="312"/>
      <c r="K594" s="312"/>
      <c r="L594" s="312"/>
      <c r="M594" s="312"/>
      <c r="N594" s="312"/>
      <c r="O594" s="312"/>
      <c r="P594" s="312"/>
      <c r="Q594" s="312"/>
      <c r="R594" s="312"/>
      <c r="S594" s="312"/>
      <c r="T594" s="312"/>
      <c r="U594" s="312"/>
      <c r="V594" s="312"/>
      <c r="W594" s="312"/>
      <c r="X594" s="312"/>
      <c r="Y594" s="312"/>
      <c r="Z594" s="312"/>
      <c r="AA594" s="312"/>
      <c r="AB594" s="312"/>
      <c r="AC594" s="312"/>
      <c r="AD594" s="312"/>
      <c r="AE594" s="312"/>
      <c r="AF594" s="312"/>
      <c r="AG594" s="312"/>
      <c r="AH594" s="312"/>
      <c r="AI594" s="312"/>
      <c r="AJ594" s="312"/>
      <c r="AK594" s="312"/>
      <c r="AL594" s="312"/>
      <c r="AM594" s="312"/>
      <c r="AN594" s="312"/>
      <c r="AO594" s="312"/>
      <c r="AP594" s="312"/>
      <c r="AQ594" s="312"/>
      <c r="AR594" s="312"/>
      <c r="AS594" s="312"/>
      <c r="AT594" s="312"/>
      <c r="AU594" s="312"/>
      <c r="AV594" s="312"/>
      <c r="AW594" s="312"/>
      <c r="AX594" s="312"/>
      <c r="AY594" s="312"/>
      <c r="AZ594" s="312"/>
      <c r="BA594" s="312"/>
      <c r="BB594" s="312"/>
      <c r="BC594" s="312"/>
      <c r="BD594" s="316"/>
      <c r="BE594" s="316"/>
      <c r="BF594" s="316"/>
      <c r="BG594" s="316"/>
      <c r="BH594" s="316"/>
      <c r="BI594" s="316"/>
      <c r="BJ594" s="316"/>
      <c r="BK594" s="316"/>
      <c r="BL594" s="316"/>
      <c r="BM594" s="316"/>
      <c r="BN594" s="316"/>
      <c r="BO594" s="316"/>
      <c r="BP594" s="316"/>
      <c r="BQ594" s="316"/>
      <c r="BR594" s="316"/>
      <c r="BS594" s="316"/>
      <c r="BT594" s="316"/>
      <c r="BU594" s="316"/>
      <c r="BV594" s="316"/>
      <c r="BW594" s="316"/>
      <c r="BX594" s="316"/>
      <c r="BY594" s="316"/>
      <c r="BZ594" s="316"/>
      <c r="CA594" s="316"/>
      <c r="CB594" s="316"/>
      <c r="CC594" s="316"/>
      <c r="CD594" s="316"/>
    </row>
    <row r="595" ht="15.75" customHeight="1">
      <c r="A595" s="308"/>
      <c r="B595" s="312"/>
      <c r="C595" s="312"/>
      <c r="D595" s="312"/>
      <c r="E595" s="312"/>
      <c r="F595" s="312"/>
      <c r="G595" s="312"/>
      <c r="H595" s="312"/>
      <c r="I595" s="312"/>
      <c r="J595" s="312"/>
      <c r="K595" s="312"/>
      <c r="L595" s="312"/>
      <c r="M595" s="312"/>
      <c r="N595" s="312"/>
      <c r="O595" s="312"/>
      <c r="P595" s="312"/>
      <c r="Q595" s="312"/>
      <c r="R595" s="312"/>
      <c r="S595" s="312"/>
      <c r="T595" s="312"/>
      <c r="U595" s="312"/>
      <c r="V595" s="312"/>
      <c r="W595" s="312"/>
      <c r="X595" s="312"/>
      <c r="Y595" s="312"/>
      <c r="Z595" s="312"/>
      <c r="AA595" s="312"/>
      <c r="AB595" s="312"/>
      <c r="AC595" s="312"/>
      <c r="AD595" s="312"/>
      <c r="AE595" s="312"/>
      <c r="AF595" s="312"/>
      <c r="AG595" s="312"/>
      <c r="AH595" s="312"/>
      <c r="AI595" s="312"/>
      <c r="AJ595" s="312"/>
      <c r="AK595" s="312"/>
      <c r="AL595" s="312"/>
      <c r="AM595" s="312"/>
      <c r="AN595" s="312"/>
      <c r="AO595" s="312"/>
      <c r="AP595" s="312"/>
      <c r="AQ595" s="312"/>
      <c r="AR595" s="312"/>
      <c r="AS595" s="312"/>
      <c r="AT595" s="312"/>
      <c r="AU595" s="312"/>
      <c r="AV595" s="312"/>
      <c r="AW595" s="312"/>
      <c r="AX595" s="312"/>
      <c r="AY595" s="312"/>
      <c r="AZ595" s="312"/>
      <c r="BA595" s="312"/>
      <c r="BB595" s="312"/>
      <c r="BC595" s="312"/>
      <c r="BD595" s="316"/>
      <c r="BE595" s="316"/>
      <c r="BF595" s="316"/>
      <c r="BG595" s="316"/>
      <c r="BH595" s="316"/>
      <c r="BI595" s="316"/>
      <c r="BJ595" s="316"/>
      <c r="BK595" s="316"/>
      <c r="BL595" s="316"/>
      <c r="BM595" s="316"/>
      <c r="BN595" s="316"/>
      <c r="BO595" s="316"/>
      <c r="BP595" s="316"/>
      <c r="BQ595" s="316"/>
      <c r="BR595" s="316"/>
      <c r="BS595" s="316"/>
      <c r="BT595" s="316"/>
      <c r="BU595" s="316"/>
      <c r="BV595" s="316"/>
      <c r="BW595" s="316"/>
      <c r="BX595" s="316"/>
      <c r="BY595" s="316"/>
      <c r="BZ595" s="316"/>
      <c r="CA595" s="316"/>
      <c r="CB595" s="316"/>
      <c r="CC595" s="316"/>
      <c r="CD595" s="316"/>
    </row>
    <row r="596" ht="15.75" customHeight="1">
      <c r="A596" s="308"/>
      <c r="B596" s="312"/>
      <c r="C596" s="312"/>
      <c r="D596" s="312"/>
      <c r="E596" s="312"/>
      <c r="F596" s="312"/>
      <c r="G596" s="312"/>
      <c r="H596" s="312"/>
      <c r="I596" s="312"/>
      <c r="J596" s="312"/>
      <c r="K596" s="312"/>
      <c r="L596" s="312"/>
      <c r="M596" s="312"/>
      <c r="N596" s="312"/>
      <c r="O596" s="312"/>
      <c r="P596" s="312"/>
      <c r="Q596" s="312"/>
      <c r="R596" s="312"/>
      <c r="S596" s="312"/>
      <c r="T596" s="312"/>
      <c r="U596" s="312"/>
      <c r="V596" s="312"/>
      <c r="W596" s="312"/>
      <c r="X596" s="312"/>
      <c r="Y596" s="312"/>
      <c r="Z596" s="312"/>
      <c r="AA596" s="312"/>
      <c r="AB596" s="312"/>
      <c r="AC596" s="312"/>
      <c r="AD596" s="312"/>
      <c r="AE596" s="312"/>
      <c r="AF596" s="312"/>
      <c r="AG596" s="312"/>
      <c r="AH596" s="312"/>
      <c r="AI596" s="312"/>
      <c r="AJ596" s="312"/>
      <c r="AK596" s="312"/>
      <c r="AL596" s="312"/>
      <c r="AM596" s="312"/>
      <c r="AN596" s="312"/>
      <c r="AO596" s="312"/>
      <c r="AP596" s="312"/>
      <c r="AQ596" s="312"/>
      <c r="AR596" s="312"/>
      <c r="AS596" s="312"/>
      <c r="AT596" s="312"/>
      <c r="AU596" s="312"/>
      <c r="AV596" s="312"/>
      <c r="AW596" s="312"/>
      <c r="AX596" s="312"/>
      <c r="AY596" s="312"/>
      <c r="AZ596" s="312"/>
      <c r="BA596" s="312"/>
      <c r="BB596" s="312"/>
      <c r="BC596" s="312"/>
      <c r="BD596" s="316"/>
      <c r="BE596" s="316"/>
      <c r="BF596" s="316"/>
      <c r="BG596" s="316"/>
      <c r="BH596" s="316"/>
      <c r="BI596" s="316"/>
      <c r="BJ596" s="316"/>
      <c r="BK596" s="316"/>
      <c r="BL596" s="316"/>
      <c r="BM596" s="316"/>
      <c r="BN596" s="316"/>
      <c r="BO596" s="316"/>
      <c r="BP596" s="316"/>
      <c r="BQ596" s="316"/>
      <c r="BR596" s="316"/>
      <c r="BS596" s="316"/>
      <c r="BT596" s="316"/>
      <c r="BU596" s="316"/>
      <c r="BV596" s="316"/>
      <c r="BW596" s="316"/>
      <c r="BX596" s="316"/>
      <c r="BY596" s="316"/>
      <c r="BZ596" s="316"/>
      <c r="CA596" s="316"/>
      <c r="CB596" s="316"/>
      <c r="CC596" s="316"/>
      <c r="CD596" s="316"/>
    </row>
    <row r="597" ht="15.75" customHeight="1">
      <c r="A597" s="308"/>
      <c r="B597" s="312"/>
      <c r="C597" s="312"/>
      <c r="D597" s="312"/>
      <c r="E597" s="312"/>
      <c r="F597" s="312"/>
      <c r="G597" s="312"/>
      <c r="H597" s="312"/>
      <c r="I597" s="312"/>
      <c r="J597" s="312"/>
      <c r="K597" s="312"/>
      <c r="L597" s="312"/>
      <c r="M597" s="312"/>
      <c r="N597" s="312"/>
      <c r="O597" s="312"/>
      <c r="P597" s="312"/>
      <c r="Q597" s="312"/>
      <c r="R597" s="312"/>
      <c r="S597" s="312"/>
      <c r="T597" s="312"/>
      <c r="U597" s="312"/>
      <c r="V597" s="312"/>
      <c r="W597" s="312"/>
      <c r="X597" s="312"/>
      <c r="Y597" s="312"/>
      <c r="Z597" s="312"/>
      <c r="AA597" s="312"/>
      <c r="AB597" s="312"/>
      <c r="AC597" s="312"/>
      <c r="AD597" s="312"/>
      <c r="AE597" s="312"/>
      <c r="AF597" s="312"/>
      <c r="AG597" s="312"/>
      <c r="AH597" s="312"/>
      <c r="AI597" s="312"/>
      <c r="AJ597" s="312"/>
      <c r="AK597" s="312"/>
      <c r="AL597" s="312"/>
      <c r="AM597" s="312"/>
      <c r="AN597" s="312"/>
      <c r="AO597" s="312"/>
      <c r="AP597" s="312"/>
      <c r="AQ597" s="312"/>
      <c r="AR597" s="312"/>
      <c r="AS597" s="312"/>
      <c r="AT597" s="312"/>
      <c r="AU597" s="312"/>
      <c r="AV597" s="312"/>
      <c r="AW597" s="312"/>
      <c r="AX597" s="312"/>
      <c r="AY597" s="312"/>
      <c r="AZ597" s="312"/>
      <c r="BA597" s="312"/>
      <c r="BB597" s="312"/>
      <c r="BC597" s="312"/>
      <c r="BD597" s="316"/>
      <c r="BE597" s="316"/>
      <c r="BF597" s="316"/>
      <c r="BG597" s="316"/>
      <c r="BH597" s="316"/>
      <c r="BI597" s="316"/>
      <c r="BJ597" s="316"/>
      <c r="BK597" s="316"/>
      <c r="BL597" s="316"/>
      <c r="BM597" s="316"/>
      <c r="BN597" s="316"/>
      <c r="BO597" s="316"/>
      <c r="BP597" s="316"/>
      <c r="BQ597" s="316"/>
      <c r="BR597" s="316"/>
      <c r="BS597" s="316"/>
      <c r="BT597" s="316"/>
      <c r="BU597" s="316"/>
      <c r="BV597" s="316"/>
      <c r="BW597" s="316"/>
      <c r="BX597" s="316"/>
      <c r="BY597" s="316"/>
      <c r="BZ597" s="316"/>
      <c r="CA597" s="316"/>
      <c r="CB597" s="316"/>
      <c r="CC597" s="316"/>
      <c r="CD597" s="316"/>
    </row>
    <row r="598" ht="15.75" customHeight="1">
      <c r="A598" s="308"/>
      <c r="B598" s="312"/>
      <c r="C598" s="312"/>
      <c r="D598" s="312"/>
      <c r="E598" s="312"/>
      <c r="F598" s="312"/>
      <c r="G598" s="312"/>
      <c r="H598" s="312"/>
      <c r="I598" s="312"/>
      <c r="J598" s="312"/>
      <c r="K598" s="312"/>
      <c r="L598" s="312"/>
      <c r="M598" s="312"/>
      <c r="N598" s="312"/>
      <c r="O598" s="312"/>
      <c r="P598" s="312"/>
      <c r="Q598" s="312"/>
      <c r="R598" s="312"/>
      <c r="S598" s="312"/>
      <c r="T598" s="312"/>
      <c r="U598" s="312"/>
      <c r="V598" s="312"/>
      <c r="W598" s="312"/>
      <c r="X598" s="312"/>
      <c r="Y598" s="312"/>
      <c r="Z598" s="312"/>
      <c r="AA598" s="312"/>
      <c r="AB598" s="312"/>
      <c r="AC598" s="312"/>
      <c r="AD598" s="312"/>
      <c r="AE598" s="312"/>
      <c r="AF598" s="312"/>
      <c r="AG598" s="312"/>
      <c r="AH598" s="312"/>
      <c r="AI598" s="312"/>
      <c r="AJ598" s="312"/>
      <c r="AK598" s="312"/>
      <c r="AL598" s="312"/>
      <c r="AM598" s="312"/>
      <c r="AN598" s="312"/>
      <c r="AO598" s="312"/>
      <c r="AP598" s="312"/>
      <c r="AQ598" s="312"/>
      <c r="AR598" s="312"/>
      <c r="AS598" s="312"/>
      <c r="AT598" s="312"/>
      <c r="AU598" s="312"/>
      <c r="AV598" s="312"/>
      <c r="AW598" s="312"/>
      <c r="AX598" s="312"/>
      <c r="AY598" s="312"/>
      <c r="AZ598" s="312"/>
      <c r="BA598" s="312"/>
      <c r="BB598" s="312"/>
      <c r="BC598" s="312"/>
      <c r="BD598" s="316"/>
      <c r="BE598" s="316"/>
      <c r="BF598" s="316"/>
      <c r="BG598" s="316"/>
      <c r="BH598" s="316"/>
      <c r="BI598" s="316"/>
      <c r="BJ598" s="316"/>
      <c r="BK598" s="316"/>
      <c r="BL598" s="316"/>
      <c r="BM598" s="316"/>
      <c r="BN598" s="316"/>
      <c r="BO598" s="316"/>
      <c r="BP598" s="316"/>
      <c r="BQ598" s="316"/>
      <c r="BR598" s="316"/>
      <c r="BS598" s="316"/>
      <c r="BT598" s="316"/>
      <c r="BU598" s="316"/>
      <c r="BV598" s="316"/>
      <c r="BW598" s="316"/>
      <c r="BX598" s="316"/>
      <c r="BY598" s="316"/>
      <c r="BZ598" s="316"/>
      <c r="CA598" s="316"/>
      <c r="CB598" s="316"/>
      <c r="CC598" s="316"/>
      <c r="CD598" s="316"/>
    </row>
    <row r="599" ht="15.75" customHeight="1">
      <c r="A599" s="308"/>
      <c r="B599" s="312"/>
      <c r="C599" s="312"/>
      <c r="D599" s="312"/>
      <c r="E599" s="312"/>
      <c r="F599" s="312"/>
      <c r="G599" s="312"/>
      <c r="H599" s="312"/>
      <c r="I599" s="312"/>
      <c r="J599" s="312"/>
      <c r="K599" s="312"/>
      <c r="L599" s="312"/>
      <c r="M599" s="312"/>
      <c r="N599" s="312"/>
      <c r="O599" s="312"/>
      <c r="P599" s="312"/>
      <c r="Q599" s="312"/>
      <c r="R599" s="312"/>
      <c r="S599" s="312"/>
      <c r="T599" s="312"/>
      <c r="U599" s="312"/>
      <c r="V599" s="312"/>
      <c r="W599" s="312"/>
      <c r="X599" s="312"/>
      <c r="Y599" s="312"/>
      <c r="Z599" s="312"/>
      <c r="AA599" s="312"/>
      <c r="AB599" s="312"/>
      <c r="AC599" s="312"/>
      <c r="AD599" s="312"/>
      <c r="AE599" s="312"/>
      <c r="AF599" s="312"/>
      <c r="AG599" s="312"/>
      <c r="AH599" s="312"/>
      <c r="AI599" s="312"/>
      <c r="AJ599" s="312"/>
      <c r="AK599" s="312"/>
      <c r="AL599" s="312"/>
      <c r="AM599" s="312"/>
      <c r="AN599" s="312"/>
      <c r="AO599" s="312"/>
      <c r="AP599" s="312"/>
      <c r="AQ599" s="312"/>
      <c r="AR599" s="312"/>
      <c r="AS599" s="312"/>
      <c r="AT599" s="312"/>
      <c r="AU599" s="312"/>
      <c r="AV599" s="312"/>
      <c r="AW599" s="312"/>
      <c r="AX599" s="312"/>
      <c r="AY599" s="312"/>
      <c r="AZ599" s="312"/>
      <c r="BA599" s="312"/>
      <c r="BB599" s="312"/>
      <c r="BC599" s="312"/>
      <c r="BD599" s="316"/>
      <c r="BE599" s="316"/>
      <c r="BF599" s="316"/>
      <c r="BG599" s="316"/>
      <c r="BH599" s="316"/>
      <c r="BI599" s="316"/>
      <c r="BJ599" s="316"/>
      <c r="BK599" s="316"/>
      <c r="BL599" s="316"/>
      <c r="BM599" s="316"/>
      <c r="BN599" s="316"/>
      <c r="BO599" s="316"/>
      <c r="BP599" s="316"/>
      <c r="BQ599" s="316"/>
      <c r="BR599" s="316"/>
      <c r="BS599" s="316"/>
      <c r="BT599" s="316"/>
      <c r="BU599" s="316"/>
      <c r="BV599" s="316"/>
      <c r="BW599" s="316"/>
      <c r="BX599" s="316"/>
      <c r="BY599" s="316"/>
      <c r="BZ599" s="316"/>
      <c r="CA599" s="316"/>
      <c r="CB599" s="316"/>
      <c r="CC599" s="316"/>
      <c r="CD599" s="316"/>
    </row>
    <row r="600" ht="15.75" customHeight="1">
      <c r="A600" s="308"/>
      <c r="B600" s="312"/>
      <c r="C600" s="312"/>
      <c r="D600" s="312"/>
      <c r="E600" s="312"/>
      <c r="F600" s="312"/>
      <c r="G600" s="312"/>
      <c r="H600" s="312"/>
      <c r="I600" s="312"/>
      <c r="J600" s="312"/>
      <c r="K600" s="312"/>
      <c r="L600" s="312"/>
      <c r="M600" s="312"/>
      <c r="N600" s="312"/>
      <c r="O600" s="312"/>
      <c r="P600" s="312"/>
      <c r="Q600" s="312"/>
      <c r="R600" s="312"/>
      <c r="S600" s="312"/>
      <c r="T600" s="312"/>
      <c r="U600" s="312"/>
      <c r="V600" s="312"/>
      <c r="W600" s="312"/>
      <c r="X600" s="312"/>
      <c r="Y600" s="312"/>
      <c r="Z600" s="312"/>
      <c r="AA600" s="312"/>
      <c r="AB600" s="312"/>
      <c r="AC600" s="312"/>
      <c r="AD600" s="312"/>
      <c r="AE600" s="312"/>
      <c r="AF600" s="312"/>
      <c r="AG600" s="312"/>
      <c r="AH600" s="312"/>
      <c r="AI600" s="312"/>
      <c r="AJ600" s="312"/>
      <c r="AK600" s="312"/>
      <c r="AL600" s="312"/>
      <c r="AM600" s="312"/>
      <c r="AN600" s="312"/>
      <c r="AO600" s="312"/>
      <c r="AP600" s="312"/>
      <c r="AQ600" s="312"/>
      <c r="AR600" s="312"/>
      <c r="AS600" s="312"/>
      <c r="AT600" s="312"/>
      <c r="AU600" s="312"/>
      <c r="AV600" s="312"/>
      <c r="AW600" s="312"/>
      <c r="AX600" s="312"/>
      <c r="AY600" s="312"/>
      <c r="AZ600" s="312"/>
      <c r="BA600" s="312"/>
      <c r="BB600" s="312"/>
      <c r="BC600" s="312"/>
      <c r="BD600" s="316"/>
      <c r="BE600" s="316"/>
      <c r="BF600" s="316"/>
      <c r="BG600" s="316"/>
      <c r="BH600" s="316"/>
      <c r="BI600" s="316"/>
      <c r="BJ600" s="316"/>
      <c r="BK600" s="316"/>
      <c r="BL600" s="316"/>
      <c r="BM600" s="316"/>
      <c r="BN600" s="316"/>
      <c r="BO600" s="316"/>
      <c r="BP600" s="316"/>
      <c r="BQ600" s="316"/>
      <c r="BR600" s="316"/>
      <c r="BS600" s="316"/>
      <c r="BT600" s="316"/>
      <c r="BU600" s="316"/>
      <c r="BV600" s="316"/>
      <c r="BW600" s="316"/>
      <c r="BX600" s="316"/>
      <c r="BY600" s="316"/>
      <c r="BZ600" s="316"/>
      <c r="CA600" s="316"/>
      <c r="CB600" s="316"/>
      <c r="CC600" s="316"/>
      <c r="CD600" s="316"/>
    </row>
    <row r="601" ht="15.75" customHeight="1">
      <c r="A601" s="308"/>
      <c r="B601" s="312"/>
      <c r="C601" s="312"/>
      <c r="D601" s="312"/>
      <c r="E601" s="312"/>
      <c r="F601" s="312"/>
      <c r="G601" s="312"/>
      <c r="H601" s="312"/>
      <c r="I601" s="312"/>
      <c r="J601" s="312"/>
      <c r="K601" s="312"/>
      <c r="L601" s="312"/>
      <c r="M601" s="312"/>
      <c r="N601" s="312"/>
      <c r="O601" s="312"/>
      <c r="P601" s="312"/>
      <c r="Q601" s="312"/>
      <c r="R601" s="312"/>
      <c r="S601" s="312"/>
      <c r="T601" s="312"/>
      <c r="U601" s="312"/>
      <c r="V601" s="312"/>
      <c r="W601" s="312"/>
      <c r="X601" s="312"/>
      <c r="Y601" s="312"/>
      <c r="Z601" s="312"/>
      <c r="AA601" s="312"/>
      <c r="AB601" s="312"/>
      <c r="AC601" s="312"/>
      <c r="AD601" s="312"/>
      <c r="AE601" s="312"/>
      <c r="AF601" s="312"/>
      <c r="AG601" s="312"/>
      <c r="AH601" s="312"/>
      <c r="AI601" s="312"/>
      <c r="AJ601" s="312"/>
      <c r="AK601" s="312"/>
      <c r="AL601" s="312"/>
      <c r="AM601" s="312"/>
      <c r="AN601" s="312"/>
      <c r="AO601" s="312"/>
      <c r="AP601" s="312"/>
      <c r="AQ601" s="312"/>
      <c r="AR601" s="312"/>
      <c r="AS601" s="312"/>
      <c r="AT601" s="312"/>
      <c r="AU601" s="312"/>
      <c r="AV601" s="312"/>
      <c r="AW601" s="312"/>
      <c r="AX601" s="312"/>
      <c r="AY601" s="312"/>
      <c r="AZ601" s="312"/>
      <c r="BA601" s="312"/>
      <c r="BB601" s="312"/>
      <c r="BC601" s="312"/>
      <c r="BD601" s="316"/>
      <c r="BE601" s="316"/>
      <c r="BF601" s="316"/>
      <c r="BG601" s="316"/>
      <c r="BH601" s="316"/>
      <c r="BI601" s="316"/>
      <c r="BJ601" s="316"/>
      <c r="BK601" s="316"/>
      <c r="BL601" s="316"/>
      <c r="BM601" s="316"/>
      <c r="BN601" s="316"/>
      <c r="BO601" s="316"/>
      <c r="BP601" s="316"/>
      <c r="BQ601" s="316"/>
      <c r="BR601" s="316"/>
      <c r="BS601" s="316"/>
      <c r="BT601" s="316"/>
      <c r="BU601" s="316"/>
      <c r="BV601" s="316"/>
      <c r="BW601" s="316"/>
      <c r="BX601" s="316"/>
      <c r="BY601" s="316"/>
      <c r="BZ601" s="316"/>
      <c r="CA601" s="316"/>
      <c r="CB601" s="316"/>
      <c r="CC601" s="316"/>
      <c r="CD601" s="316"/>
    </row>
    <row r="602" ht="15.75" customHeight="1">
      <c r="A602" s="308"/>
      <c r="B602" s="312"/>
      <c r="C602" s="312"/>
      <c r="D602" s="312"/>
      <c r="E602" s="312"/>
      <c r="F602" s="312"/>
      <c r="G602" s="312"/>
      <c r="H602" s="312"/>
      <c r="I602" s="312"/>
      <c r="J602" s="312"/>
      <c r="K602" s="312"/>
      <c r="L602" s="312"/>
      <c r="M602" s="312"/>
      <c r="N602" s="312"/>
      <c r="O602" s="312"/>
      <c r="P602" s="312"/>
      <c r="Q602" s="312"/>
      <c r="R602" s="312"/>
      <c r="S602" s="312"/>
      <c r="T602" s="312"/>
      <c r="U602" s="312"/>
      <c r="V602" s="312"/>
      <c r="W602" s="312"/>
      <c r="X602" s="312"/>
      <c r="Y602" s="312"/>
      <c r="Z602" s="312"/>
      <c r="AA602" s="312"/>
      <c r="AB602" s="312"/>
      <c r="AC602" s="312"/>
      <c r="AD602" s="312"/>
      <c r="AE602" s="312"/>
      <c r="AF602" s="312"/>
      <c r="AG602" s="312"/>
      <c r="AH602" s="312"/>
      <c r="AI602" s="312"/>
      <c r="AJ602" s="312"/>
      <c r="AK602" s="312"/>
      <c r="AL602" s="312"/>
      <c r="AM602" s="312"/>
      <c r="AN602" s="312"/>
      <c r="AO602" s="312"/>
      <c r="AP602" s="312"/>
      <c r="AQ602" s="312"/>
      <c r="AR602" s="312"/>
      <c r="AS602" s="312"/>
      <c r="AT602" s="312"/>
      <c r="AU602" s="312"/>
      <c r="AV602" s="312"/>
      <c r="AW602" s="312"/>
      <c r="AX602" s="312"/>
      <c r="AY602" s="312"/>
      <c r="AZ602" s="312"/>
      <c r="BA602" s="312"/>
      <c r="BB602" s="312"/>
      <c r="BC602" s="312"/>
      <c r="BD602" s="316"/>
      <c r="BE602" s="316"/>
      <c r="BF602" s="316"/>
      <c r="BG602" s="316"/>
      <c r="BH602" s="316"/>
      <c r="BI602" s="316"/>
      <c r="BJ602" s="316"/>
      <c r="BK602" s="316"/>
      <c r="BL602" s="316"/>
      <c r="BM602" s="316"/>
      <c r="BN602" s="316"/>
      <c r="BO602" s="316"/>
      <c r="BP602" s="316"/>
      <c r="BQ602" s="316"/>
      <c r="BR602" s="316"/>
      <c r="BS602" s="316"/>
      <c r="BT602" s="316"/>
      <c r="BU602" s="316"/>
      <c r="BV602" s="316"/>
      <c r="BW602" s="316"/>
      <c r="BX602" s="316"/>
      <c r="BY602" s="316"/>
      <c r="BZ602" s="316"/>
      <c r="CA602" s="316"/>
      <c r="CB602" s="316"/>
      <c r="CC602" s="316"/>
      <c r="CD602" s="316"/>
    </row>
    <row r="603" ht="15.75" customHeight="1">
      <c r="A603" s="308"/>
      <c r="B603" s="312"/>
      <c r="C603" s="312"/>
      <c r="D603" s="312"/>
      <c r="E603" s="312"/>
      <c r="F603" s="312"/>
      <c r="G603" s="312"/>
      <c r="H603" s="312"/>
      <c r="I603" s="312"/>
      <c r="J603" s="312"/>
      <c r="K603" s="312"/>
      <c r="L603" s="312"/>
      <c r="M603" s="312"/>
      <c r="N603" s="312"/>
      <c r="O603" s="312"/>
      <c r="P603" s="312"/>
      <c r="Q603" s="312"/>
      <c r="R603" s="312"/>
      <c r="S603" s="312"/>
      <c r="T603" s="312"/>
      <c r="U603" s="312"/>
      <c r="V603" s="312"/>
      <c r="W603" s="312"/>
      <c r="X603" s="312"/>
      <c r="Y603" s="312"/>
      <c r="Z603" s="312"/>
      <c r="AA603" s="312"/>
      <c r="AB603" s="312"/>
      <c r="AC603" s="312"/>
      <c r="AD603" s="312"/>
      <c r="AE603" s="312"/>
      <c r="AF603" s="312"/>
      <c r="AG603" s="312"/>
      <c r="AH603" s="312"/>
      <c r="AI603" s="312"/>
      <c r="AJ603" s="312"/>
      <c r="AK603" s="312"/>
      <c r="AL603" s="312"/>
      <c r="AM603" s="312"/>
      <c r="AN603" s="312"/>
      <c r="AO603" s="312"/>
      <c r="AP603" s="312"/>
      <c r="AQ603" s="312"/>
      <c r="AR603" s="312"/>
      <c r="AS603" s="312"/>
      <c r="AT603" s="312"/>
      <c r="AU603" s="312"/>
      <c r="AV603" s="312"/>
      <c r="AW603" s="312"/>
      <c r="AX603" s="312"/>
      <c r="AY603" s="312"/>
      <c r="AZ603" s="312"/>
      <c r="BA603" s="312"/>
      <c r="BB603" s="312"/>
      <c r="BC603" s="312"/>
      <c r="BD603" s="316"/>
      <c r="BE603" s="316"/>
      <c r="BF603" s="316"/>
      <c r="BG603" s="316"/>
      <c r="BH603" s="316"/>
      <c r="BI603" s="316"/>
      <c r="BJ603" s="316"/>
      <c r="BK603" s="316"/>
      <c r="BL603" s="316"/>
      <c r="BM603" s="316"/>
      <c r="BN603" s="316"/>
      <c r="BO603" s="316"/>
      <c r="BP603" s="316"/>
      <c r="BQ603" s="316"/>
      <c r="BR603" s="316"/>
      <c r="BS603" s="316"/>
      <c r="BT603" s="316"/>
      <c r="BU603" s="316"/>
      <c r="BV603" s="316"/>
      <c r="BW603" s="316"/>
      <c r="BX603" s="316"/>
      <c r="BY603" s="316"/>
      <c r="BZ603" s="316"/>
      <c r="CA603" s="316"/>
      <c r="CB603" s="316"/>
      <c r="CC603" s="316"/>
      <c r="CD603" s="316"/>
    </row>
    <row r="604" ht="15.75" customHeight="1">
      <c r="A604" s="308"/>
      <c r="B604" s="312"/>
      <c r="C604" s="312"/>
      <c r="D604" s="312"/>
      <c r="E604" s="312"/>
      <c r="F604" s="312"/>
      <c r="G604" s="312"/>
      <c r="H604" s="312"/>
      <c r="I604" s="312"/>
      <c r="J604" s="312"/>
      <c r="K604" s="312"/>
      <c r="L604" s="312"/>
      <c r="M604" s="312"/>
      <c r="N604" s="312"/>
      <c r="O604" s="312"/>
      <c r="P604" s="312"/>
      <c r="Q604" s="312"/>
      <c r="R604" s="312"/>
      <c r="S604" s="312"/>
      <c r="T604" s="312"/>
      <c r="U604" s="312"/>
      <c r="V604" s="312"/>
      <c r="W604" s="312"/>
      <c r="X604" s="312"/>
      <c r="Y604" s="312"/>
      <c r="Z604" s="312"/>
      <c r="AA604" s="312"/>
      <c r="AB604" s="312"/>
      <c r="AC604" s="312"/>
      <c r="AD604" s="312"/>
      <c r="AE604" s="312"/>
      <c r="AF604" s="312"/>
      <c r="AG604" s="312"/>
      <c r="AH604" s="312"/>
      <c r="AI604" s="312"/>
      <c r="AJ604" s="312"/>
      <c r="AK604" s="312"/>
      <c r="AL604" s="312"/>
      <c r="AM604" s="312"/>
      <c r="AN604" s="312"/>
      <c r="AO604" s="312"/>
      <c r="AP604" s="312"/>
      <c r="AQ604" s="312"/>
      <c r="AR604" s="312"/>
      <c r="AS604" s="312"/>
      <c r="AT604" s="312"/>
      <c r="AU604" s="312"/>
      <c r="AV604" s="312"/>
      <c r="AW604" s="312"/>
      <c r="AX604" s="312"/>
      <c r="AY604" s="312"/>
      <c r="AZ604" s="312"/>
      <c r="BA604" s="312"/>
      <c r="BB604" s="312"/>
      <c r="BC604" s="312"/>
      <c r="BD604" s="316"/>
      <c r="BE604" s="316"/>
      <c r="BF604" s="316"/>
      <c r="BG604" s="316"/>
      <c r="BH604" s="316"/>
      <c r="BI604" s="316"/>
      <c r="BJ604" s="316"/>
      <c r="BK604" s="316"/>
      <c r="BL604" s="316"/>
      <c r="BM604" s="316"/>
      <c r="BN604" s="316"/>
      <c r="BO604" s="316"/>
      <c r="BP604" s="316"/>
      <c r="BQ604" s="316"/>
      <c r="BR604" s="316"/>
      <c r="BS604" s="316"/>
      <c r="BT604" s="316"/>
      <c r="BU604" s="316"/>
      <c r="BV604" s="316"/>
      <c r="BW604" s="316"/>
      <c r="BX604" s="316"/>
      <c r="BY604" s="316"/>
      <c r="BZ604" s="316"/>
      <c r="CA604" s="316"/>
      <c r="CB604" s="316"/>
      <c r="CC604" s="316"/>
      <c r="CD604" s="316"/>
    </row>
    <row r="605" ht="15.75" customHeight="1">
      <c r="A605" s="308"/>
      <c r="B605" s="312"/>
      <c r="C605" s="312"/>
      <c r="D605" s="312"/>
      <c r="E605" s="312"/>
      <c r="F605" s="312"/>
      <c r="G605" s="312"/>
      <c r="H605" s="312"/>
      <c r="I605" s="312"/>
      <c r="J605" s="312"/>
      <c r="K605" s="312"/>
      <c r="L605" s="312"/>
      <c r="M605" s="312"/>
      <c r="N605" s="312"/>
      <c r="O605" s="312"/>
      <c r="P605" s="312"/>
      <c r="Q605" s="312"/>
      <c r="R605" s="312"/>
      <c r="S605" s="312"/>
      <c r="T605" s="312"/>
      <c r="U605" s="312"/>
      <c r="V605" s="312"/>
      <c r="W605" s="312"/>
      <c r="X605" s="312"/>
      <c r="Y605" s="312"/>
      <c r="Z605" s="312"/>
      <c r="AA605" s="312"/>
      <c r="AB605" s="312"/>
      <c r="AC605" s="312"/>
      <c r="AD605" s="312"/>
      <c r="AE605" s="312"/>
      <c r="AF605" s="312"/>
      <c r="AG605" s="312"/>
      <c r="AH605" s="312"/>
      <c r="AI605" s="312"/>
      <c r="AJ605" s="312"/>
      <c r="AK605" s="312"/>
      <c r="AL605" s="312"/>
      <c r="AM605" s="312"/>
      <c r="AN605" s="312"/>
      <c r="AO605" s="312"/>
      <c r="AP605" s="312"/>
      <c r="AQ605" s="312"/>
      <c r="AR605" s="312"/>
      <c r="AS605" s="312"/>
      <c r="AT605" s="312"/>
      <c r="AU605" s="312"/>
      <c r="AV605" s="312"/>
      <c r="AW605" s="312"/>
      <c r="AX605" s="312"/>
      <c r="AY605" s="312"/>
      <c r="AZ605" s="312"/>
      <c r="BA605" s="312"/>
      <c r="BB605" s="312"/>
      <c r="BC605" s="312"/>
      <c r="BD605" s="316"/>
      <c r="BE605" s="316"/>
      <c r="BF605" s="316"/>
      <c r="BG605" s="316"/>
      <c r="BH605" s="316"/>
      <c r="BI605" s="316"/>
      <c r="BJ605" s="316"/>
      <c r="BK605" s="316"/>
      <c r="BL605" s="316"/>
      <c r="BM605" s="316"/>
      <c r="BN605" s="316"/>
      <c r="BO605" s="316"/>
      <c r="BP605" s="316"/>
      <c r="BQ605" s="316"/>
      <c r="BR605" s="316"/>
      <c r="BS605" s="316"/>
      <c r="BT605" s="316"/>
      <c r="BU605" s="316"/>
      <c r="BV605" s="316"/>
      <c r="BW605" s="316"/>
      <c r="BX605" s="316"/>
      <c r="BY605" s="316"/>
      <c r="BZ605" s="316"/>
      <c r="CA605" s="316"/>
      <c r="CB605" s="316"/>
      <c r="CC605" s="316"/>
      <c r="CD605" s="316"/>
    </row>
    <row r="606" ht="15.75" customHeight="1">
      <c r="A606" s="308"/>
      <c r="B606" s="312"/>
      <c r="C606" s="312"/>
      <c r="D606" s="312"/>
      <c r="E606" s="312"/>
      <c r="F606" s="312"/>
      <c r="G606" s="312"/>
      <c r="H606" s="312"/>
      <c r="I606" s="312"/>
      <c r="J606" s="312"/>
      <c r="K606" s="312"/>
      <c r="L606" s="312"/>
      <c r="M606" s="312"/>
      <c r="N606" s="312"/>
      <c r="O606" s="312"/>
      <c r="P606" s="312"/>
      <c r="Q606" s="312"/>
      <c r="R606" s="312"/>
      <c r="S606" s="312"/>
      <c r="T606" s="312"/>
      <c r="U606" s="312"/>
      <c r="V606" s="312"/>
      <c r="W606" s="312"/>
      <c r="X606" s="312"/>
      <c r="Y606" s="312"/>
      <c r="Z606" s="312"/>
      <c r="AA606" s="312"/>
      <c r="AB606" s="312"/>
      <c r="AC606" s="312"/>
      <c r="AD606" s="312"/>
      <c r="AE606" s="312"/>
      <c r="AF606" s="312"/>
      <c r="AG606" s="312"/>
      <c r="AH606" s="312"/>
      <c r="AI606" s="312"/>
      <c r="AJ606" s="312"/>
      <c r="AK606" s="312"/>
      <c r="AL606" s="312"/>
      <c r="AM606" s="312"/>
      <c r="AN606" s="312"/>
      <c r="AO606" s="312"/>
      <c r="AP606" s="312"/>
      <c r="AQ606" s="312"/>
      <c r="AR606" s="312"/>
      <c r="AS606" s="312"/>
      <c r="AT606" s="312"/>
      <c r="AU606" s="312"/>
      <c r="AV606" s="312"/>
      <c r="AW606" s="312"/>
      <c r="AX606" s="312"/>
      <c r="AY606" s="312"/>
      <c r="AZ606" s="312"/>
      <c r="BA606" s="312"/>
      <c r="BB606" s="312"/>
      <c r="BC606" s="312"/>
      <c r="BD606" s="316"/>
      <c r="BE606" s="316"/>
      <c r="BF606" s="316"/>
      <c r="BG606" s="316"/>
      <c r="BH606" s="316"/>
      <c r="BI606" s="316"/>
      <c r="BJ606" s="316"/>
      <c r="BK606" s="316"/>
      <c r="BL606" s="316"/>
      <c r="BM606" s="316"/>
      <c r="BN606" s="316"/>
      <c r="BO606" s="316"/>
      <c r="BP606" s="316"/>
      <c r="BQ606" s="316"/>
      <c r="BR606" s="316"/>
      <c r="BS606" s="316"/>
      <c r="BT606" s="316"/>
      <c r="BU606" s="316"/>
      <c r="BV606" s="316"/>
      <c r="BW606" s="316"/>
      <c r="BX606" s="316"/>
      <c r="BY606" s="316"/>
      <c r="BZ606" s="316"/>
      <c r="CA606" s="316"/>
      <c r="CB606" s="316"/>
      <c r="CC606" s="316"/>
      <c r="CD606" s="316"/>
    </row>
    <row r="607" ht="15.75" customHeight="1">
      <c r="A607" s="308"/>
      <c r="B607" s="312"/>
      <c r="C607" s="312"/>
      <c r="D607" s="312"/>
      <c r="E607" s="312"/>
      <c r="F607" s="312"/>
      <c r="G607" s="312"/>
      <c r="H607" s="312"/>
      <c r="I607" s="312"/>
      <c r="J607" s="312"/>
      <c r="K607" s="312"/>
      <c r="L607" s="312"/>
      <c r="M607" s="312"/>
      <c r="N607" s="312"/>
      <c r="O607" s="312"/>
      <c r="P607" s="312"/>
      <c r="Q607" s="312"/>
      <c r="R607" s="312"/>
      <c r="S607" s="312"/>
      <c r="T607" s="312"/>
      <c r="U607" s="312"/>
      <c r="V607" s="312"/>
      <c r="W607" s="312"/>
      <c r="X607" s="312"/>
      <c r="Y607" s="312"/>
      <c r="Z607" s="312"/>
      <c r="AA607" s="312"/>
      <c r="AB607" s="312"/>
      <c r="AC607" s="312"/>
      <c r="AD607" s="312"/>
      <c r="AE607" s="312"/>
      <c r="AF607" s="312"/>
      <c r="AG607" s="312"/>
      <c r="AH607" s="312"/>
      <c r="AI607" s="312"/>
      <c r="AJ607" s="312"/>
      <c r="AK607" s="312"/>
      <c r="AL607" s="312"/>
      <c r="AM607" s="312"/>
      <c r="AN607" s="312"/>
      <c r="AO607" s="312"/>
      <c r="AP607" s="312"/>
      <c r="AQ607" s="312"/>
      <c r="AR607" s="312"/>
      <c r="AS607" s="312"/>
      <c r="AT607" s="312"/>
      <c r="AU607" s="312"/>
      <c r="AV607" s="312"/>
      <c r="AW607" s="312"/>
      <c r="AX607" s="312"/>
      <c r="AY607" s="312"/>
      <c r="AZ607" s="312"/>
      <c r="BA607" s="312"/>
      <c r="BB607" s="312"/>
      <c r="BC607" s="312"/>
      <c r="BD607" s="316"/>
      <c r="BE607" s="316"/>
      <c r="BF607" s="316"/>
      <c r="BG607" s="316"/>
      <c r="BH607" s="316"/>
      <c r="BI607" s="316"/>
      <c r="BJ607" s="316"/>
      <c r="BK607" s="316"/>
      <c r="BL607" s="316"/>
      <c r="BM607" s="316"/>
      <c r="BN607" s="316"/>
      <c r="BO607" s="316"/>
      <c r="BP607" s="316"/>
      <c r="BQ607" s="316"/>
      <c r="BR607" s="316"/>
      <c r="BS607" s="316"/>
      <c r="BT607" s="316"/>
      <c r="BU607" s="316"/>
      <c r="BV607" s="316"/>
      <c r="BW607" s="316"/>
      <c r="BX607" s="316"/>
      <c r="BY607" s="316"/>
      <c r="BZ607" s="316"/>
      <c r="CA607" s="316"/>
      <c r="CB607" s="316"/>
      <c r="CC607" s="316"/>
      <c r="CD607" s="316"/>
    </row>
    <row r="608" ht="15.75" customHeight="1">
      <c r="A608" s="308"/>
      <c r="B608" s="312"/>
      <c r="C608" s="312"/>
      <c r="D608" s="312"/>
      <c r="E608" s="312"/>
      <c r="F608" s="312"/>
      <c r="G608" s="312"/>
      <c r="H608" s="312"/>
      <c r="I608" s="312"/>
      <c r="J608" s="312"/>
      <c r="K608" s="312"/>
      <c r="L608" s="312"/>
      <c r="M608" s="312"/>
      <c r="N608" s="312"/>
      <c r="O608" s="312"/>
      <c r="P608" s="312"/>
      <c r="Q608" s="312"/>
      <c r="R608" s="312"/>
      <c r="S608" s="312"/>
      <c r="T608" s="312"/>
      <c r="U608" s="312"/>
      <c r="V608" s="312"/>
      <c r="W608" s="312"/>
      <c r="X608" s="312"/>
      <c r="Y608" s="312"/>
      <c r="Z608" s="312"/>
      <c r="AA608" s="312"/>
      <c r="AB608" s="312"/>
      <c r="AC608" s="312"/>
      <c r="AD608" s="312"/>
      <c r="AE608" s="312"/>
      <c r="AF608" s="312"/>
      <c r="AG608" s="312"/>
      <c r="AH608" s="312"/>
      <c r="AI608" s="312"/>
      <c r="AJ608" s="312"/>
      <c r="AK608" s="312"/>
      <c r="AL608" s="312"/>
      <c r="AM608" s="312"/>
      <c r="AN608" s="312"/>
      <c r="AO608" s="312"/>
      <c r="AP608" s="312"/>
      <c r="AQ608" s="312"/>
      <c r="AR608" s="312"/>
      <c r="AS608" s="312"/>
      <c r="AT608" s="312"/>
      <c r="AU608" s="312"/>
      <c r="AV608" s="312"/>
      <c r="AW608" s="312"/>
      <c r="AX608" s="312"/>
      <c r="AY608" s="312"/>
      <c r="AZ608" s="312"/>
      <c r="BA608" s="312"/>
      <c r="BB608" s="312"/>
      <c r="BC608" s="312"/>
      <c r="BD608" s="316"/>
      <c r="BE608" s="316"/>
      <c r="BF608" s="316"/>
      <c r="BG608" s="316"/>
      <c r="BH608" s="316"/>
      <c r="BI608" s="316"/>
      <c r="BJ608" s="316"/>
      <c r="BK608" s="316"/>
      <c r="BL608" s="316"/>
      <c r="BM608" s="316"/>
      <c r="BN608" s="316"/>
      <c r="BO608" s="316"/>
      <c r="BP608" s="316"/>
      <c r="BQ608" s="316"/>
      <c r="BR608" s="316"/>
      <c r="BS608" s="316"/>
      <c r="BT608" s="316"/>
      <c r="BU608" s="316"/>
      <c r="BV608" s="316"/>
      <c r="BW608" s="316"/>
      <c r="BX608" s="316"/>
      <c r="BY608" s="316"/>
      <c r="BZ608" s="316"/>
      <c r="CA608" s="316"/>
      <c r="CB608" s="316"/>
      <c r="CC608" s="316"/>
      <c r="CD608" s="316"/>
    </row>
    <row r="609" ht="15.75" customHeight="1">
      <c r="A609" s="308"/>
      <c r="B609" s="312"/>
      <c r="C609" s="312"/>
      <c r="D609" s="312"/>
      <c r="E609" s="312"/>
      <c r="F609" s="312"/>
      <c r="G609" s="312"/>
      <c r="H609" s="312"/>
      <c r="I609" s="312"/>
      <c r="J609" s="312"/>
      <c r="K609" s="312"/>
      <c r="L609" s="312"/>
      <c r="M609" s="312"/>
      <c r="N609" s="312"/>
      <c r="O609" s="312"/>
      <c r="P609" s="312"/>
      <c r="Q609" s="312"/>
      <c r="R609" s="312"/>
      <c r="S609" s="312"/>
      <c r="T609" s="312"/>
      <c r="U609" s="312"/>
      <c r="V609" s="312"/>
      <c r="W609" s="312"/>
      <c r="X609" s="312"/>
      <c r="Y609" s="312"/>
      <c r="Z609" s="312"/>
      <c r="AA609" s="312"/>
      <c r="AB609" s="312"/>
      <c r="AC609" s="312"/>
      <c r="AD609" s="312"/>
      <c r="AE609" s="312"/>
      <c r="AF609" s="312"/>
      <c r="AG609" s="312"/>
      <c r="AH609" s="312"/>
      <c r="AI609" s="312"/>
      <c r="AJ609" s="312"/>
      <c r="AK609" s="312"/>
      <c r="AL609" s="312"/>
      <c r="AM609" s="312"/>
      <c r="AN609" s="312"/>
      <c r="AO609" s="312"/>
      <c r="AP609" s="312"/>
      <c r="AQ609" s="312"/>
      <c r="AR609" s="312"/>
      <c r="AS609" s="312"/>
      <c r="AT609" s="312"/>
      <c r="AU609" s="312"/>
      <c r="AV609" s="312"/>
      <c r="AW609" s="312"/>
      <c r="AX609" s="312"/>
      <c r="AY609" s="312"/>
      <c r="AZ609" s="312"/>
      <c r="BA609" s="312"/>
      <c r="BB609" s="312"/>
      <c r="BC609" s="312"/>
      <c r="BD609" s="316"/>
      <c r="BE609" s="316"/>
      <c r="BF609" s="316"/>
      <c r="BG609" s="316"/>
      <c r="BH609" s="316"/>
      <c r="BI609" s="316"/>
      <c r="BJ609" s="316"/>
      <c r="BK609" s="316"/>
      <c r="BL609" s="316"/>
      <c r="BM609" s="316"/>
      <c r="BN609" s="316"/>
      <c r="BO609" s="316"/>
      <c r="BP609" s="316"/>
      <c r="BQ609" s="316"/>
      <c r="BR609" s="316"/>
      <c r="BS609" s="316"/>
      <c r="BT609" s="316"/>
      <c r="BU609" s="316"/>
      <c r="BV609" s="316"/>
      <c r="BW609" s="316"/>
      <c r="BX609" s="316"/>
      <c r="BY609" s="316"/>
      <c r="BZ609" s="316"/>
      <c r="CA609" s="316"/>
      <c r="CB609" s="316"/>
      <c r="CC609" s="316"/>
      <c r="CD609" s="316"/>
    </row>
    <row r="610" ht="15.75" customHeight="1">
      <c r="A610" s="308"/>
      <c r="B610" s="312"/>
      <c r="C610" s="312"/>
      <c r="D610" s="312"/>
      <c r="E610" s="312"/>
      <c r="F610" s="312"/>
      <c r="G610" s="312"/>
      <c r="H610" s="312"/>
      <c r="I610" s="312"/>
      <c r="J610" s="312"/>
      <c r="K610" s="312"/>
      <c r="L610" s="312"/>
      <c r="M610" s="312"/>
      <c r="N610" s="312"/>
      <c r="O610" s="312"/>
      <c r="P610" s="312"/>
      <c r="Q610" s="312"/>
      <c r="R610" s="312"/>
      <c r="S610" s="312"/>
      <c r="T610" s="312"/>
      <c r="U610" s="312"/>
      <c r="V610" s="312"/>
      <c r="W610" s="312"/>
      <c r="X610" s="312"/>
      <c r="Y610" s="312"/>
      <c r="Z610" s="312"/>
      <c r="AA610" s="312"/>
      <c r="AB610" s="312"/>
      <c r="AC610" s="312"/>
      <c r="AD610" s="312"/>
      <c r="AE610" s="312"/>
      <c r="AF610" s="312"/>
      <c r="AG610" s="312"/>
      <c r="AH610" s="312"/>
      <c r="AI610" s="312"/>
      <c r="AJ610" s="312"/>
      <c r="AK610" s="312"/>
      <c r="AL610" s="312"/>
      <c r="AM610" s="312"/>
      <c r="AN610" s="312"/>
      <c r="AO610" s="312"/>
      <c r="AP610" s="312"/>
      <c r="AQ610" s="312"/>
      <c r="AR610" s="312"/>
      <c r="AS610" s="312"/>
      <c r="AT610" s="312"/>
      <c r="AU610" s="312"/>
      <c r="AV610" s="312"/>
      <c r="AW610" s="312"/>
      <c r="AX610" s="312"/>
      <c r="AY610" s="312"/>
      <c r="AZ610" s="312"/>
      <c r="BA610" s="312"/>
      <c r="BB610" s="312"/>
      <c r="BC610" s="312"/>
      <c r="BD610" s="316"/>
      <c r="BE610" s="316"/>
      <c r="BF610" s="316"/>
      <c r="BG610" s="316"/>
      <c r="BH610" s="316"/>
      <c r="BI610" s="316"/>
      <c r="BJ610" s="316"/>
      <c r="BK610" s="316"/>
      <c r="BL610" s="316"/>
      <c r="BM610" s="316"/>
      <c r="BN610" s="316"/>
      <c r="BO610" s="316"/>
      <c r="BP610" s="316"/>
      <c r="BQ610" s="316"/>
      <c r="BR610" s="316"/>
      <c r="BS610" s="316"/>
      <c r="BT610" s="316"/>
      <c r="BU610" s="316"/>
      <c r="BV610" s="316"/>
      <c r="BW610" s="316"/>
      <c r="BX610" s="316"/>
      <c r="BY610" s="316"/>
      <c r="BZ610" s="316"/>
      <c r="CA610" s="316"/>
      <c r="CB610" s="316"/>
      <c r="CC610" s="316"/>
      <c r="CD610" s="316"/>
    </row>
  </sheetData>
  <mergeCells count="10">
    <mergeCell ref="BE11:BI11"/>
    <mergeCell ref="BE20:BI20"/>
    <mergeCell ref="U410:BN413"/>
    <mergeCell ref="B2:K4"/>
    <mergeCell ref="N2:W4"/>
    <mergeCell ref="Z2:AI4"/>
    <mergeCell ref="AL2:AU4"/>
    <mergeCell ref="AY4:BC4"/>
    <mergeCell ref="BE4:BI4"/>
    <mergeCell ref="AY11:BC11"/>
  </mergeCells>
  <drawing r:id="rId1"/>
  <tableParts count="4">
    <tablePart r:id="rId6"/>
    <tablePart r:id="rId7"/>
    <tablePart r:id="rId8"/>
    <tablePart r:id="rId9"/>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 customWidth="1" min="13" max="13" width="5.13"/>
    <col customWidth="1" min="23" max="23" width="24.25"/>
    <col customWidth="1" min="35" max="35" width="17.25"/>
    <col customWidth="1" min="37" max="37" width="5.5"/>
    <col customWidth="1" min="38" max="38" width="13.88"/>
    <col customWidth="1" min="39" max="39" width="16.13"/>
    <col customWidth="1" min="40" max="40" width="16.38"/>
    <col customWidth="1" min="41" max="41" width="17.75"/>
    <col customWidth="1" min="42" max="42" width="17.25"/>
    <col customWidth="1" min="47" max="47" width="23.88"/>
    <col customWidth="1" min="51" max="51" width="28.5"/>
    <col customWidth="1" min="52" max="52" width="24.88"/>
    <col customWidth="1" min="53" max="53" width="20.5"/>
    <col customWidth="1" min="54" max="54" width="27.5"/>
    <col customWidth="1" min="55" max="55" width="35.88"/>
  </cols>
  <sheetData>
    <row r="1" ht="15.75" customHeight="1">
      <c r="G1" s="262"/>
    </row>
    <row r="2" ht="15.75" customHeight="1">
      <c r="B2" s="311" t="s">
        <v>265</v>
      </c>
      <c r="C2" s="20"/>
      <c r="D2" s="20"/>
      <c r="E2" s="20"/>
      <c r="F2" s="20"/>
      <c r="G2" s="20"/>
      <c r="H2" s="20"/>
      <c r="I2" s="20"/>
      <c r="J2" s="20"/>
      <c r="K2" s="21"/>
      <c r="N2" s="313" t="s">
        <v>266</v>
      </c>
      <c r="O2" s="20"/>
      <c r="P2" s="20"/>
      <c r="Q2" s="20"/>
      <c r="R2" s="20"/>
      <c r="S2" s="20"/>
      <c r="T2" s="20"/>
      <c r="U2" s="20"/>
      <c r="V2" s="20"/>
      <c r="W2" s="21"/>
      <c r="Z2" s="314" t="s">
        <v>267</v>
      </c>
      <c r="AA2" s="20"/>
      <c r="AB2" s="20"/>
      <c r="AC2" s="20"/>
      <c r="AD2" s="20"/>
      <c r="AE2" s="20"/>
      <c r="AF2" s="20"/>
      <c r="AG2" s="20"/>
      <c r="AH2" s="20"/>
      <c r="AI2" s="21"/>
      <c r="AL2" s="315" t="s">
        <v>268</v>
      </c>
      <c r="AM2" s="20"/>
      <c r="AN2" s="20"/>
      <c r="AO2" s="20"/>
      <c r="AP2" s="20"/>
      <c r="AQ2" s="20"/>
      <c r="AR2" s="20"/>
      <c r="AS2" s="20"/>
      <c r="AT2" s="20"/>
      <c r="AU2" s="21"/>
    </row>
    <row r="3" ht="15.75" customHeight="1">
      <c r="B3" s="23"/>
      <c r="K3" s="24"/>
      <c r="N3" s="23"/>
      <c r="W3" s="24"/>
      <c r="Z3" s="23"/>
      <c r="AI3" s="24"/>
      <c r="AL3" s="23"/>
      <c r="AU3" s="24"/>
    </row>
    <row r="4" ht="15.75" customHeight="1">
      <c r="B4" s="28"/>
      <c r="C4" s="29"/>
      <c r="D4" s="29"/>
      <c r="E4" s="29"/>
      <c r="F4" s="29"/>
      <c r="G4" s="29"/>
      <c r="H4" s="29"/>
      <c r="I4" s="29"/>
      <c r="J4" s="29"/>
      <c r="K4" s="30"/>
      <c r="N4" s="28"/>
      <c r="O4" s="29"/>
      <c r="P4" s="29"/>
      <c r="Q4" s="29"/>
      <c r="R4" s="29"/>
      <c r="S4" s="29"/>
      <c r="T4" s="29"/>
      <c r="U4" s="29"/>
      <c r="V4" s="29"/>
      <c r="W4" s="30"/>
      <c r="Z4" s="28"/>
      <c r="AA4" s="29"/>
      <c r="AB4" s="29"/>
      <c r="AC4" s="29"/>
      <c r="AD4" s="29"/>
      <c r="AE4" s="29"/>
      <c r="AF4" s="29"/>
      <c r="AG4" s="29"/>
      <c r="AH4" s="29"/>
      <c r="AI4" s="30"/>
      <c r="AL4" s="28"/>
      <c r="AM4" s="29"/>
      <c r="AN4" s="29"/>
      <c r="AO4" s="29"/>
      <c r="AP4" s="29"/>
      <c r="AQ4" s="29"/>
      <c r="AR4" s="29"/>
      <c r="AS4" s="29"/>
      <c r="AT4" s="29"/>
      <c r="AU4" s="30"/>
    </row>
    <row r="5" ht="15.75" customHeight="1">
      <c r="G5" s="262"/>
      <c r="AY5" s="317" t="s">
        <v>269</v>
      </c>
      <c r="AZ5" s="318"/>
      <c r="BA5" s="318"/>
      <c r="BB5" s="318"/>
      <c r="BC5" s="319"/>
    </row>
    <row r="6" ht="15.75" customHeight="1">
      <c r="B6" s="329" t="s">
        <v>227</v>
      </c>
      <c r="C6" s="330" t="s">
        <v>228</v>
      </c>
      <c r="D6" s="330" t="s">
        <v>229</v>
      </c>
      <c r="E6" s="330" t="s">
        <v>230</v>
      </c>
      <c r="F6" s="330" t="s">
        <v>274</v>
      </c>
      <c r="G6" s="268" t="s">
        <v>232</v>
      </c>
      <c r="H6" s="156" t="s">
        <v>233</v>
      </c>
      <c r="I6" s="156" t="s">
        <v>234</v>
      </c>
      <c r="J6" s="156" t="s">
        <v>235</v>
      </c>
      <c r="K6" s="157" t="s">
        <v>236</v>
      </c>
      <c r="L6" s="327"/>
      <c r="M6" s="327"/>
      <c r="N6" s="329" t="s">
        <v>227</v>
      </c>
      <c r="O6" s="330" t="s">
        <v>228</v>
      </c>
      <c r="P6" s="330" t="s">
        <v>229</v>
      </c>
      <c r="Q6" s="330" t="s">
        <v>230</v>
      </c>
      <c r="R6" s="330" t="s">
        <v>274</v>
      </c>
      <c r="S6" s="268" t="s">
        <v>232</v>
      </c>
      <c r="T6" s="156" t="s">
        <v>233</v>
      </c>
      <c r="U6" s="156" t="s">
        <v>234</v>
      </c>
      <c r="V6" s="156" t="s">
        <v>235</v>
      </c>
      <c r="W6" s="157" t="s">
        <v>236</v>
      </c>
      <c r="X6" s="327"/>
      <c r="Y6" s="327"/>
      <c r="Z6" s="329" t="s">
        <v>227</v>
      </c>
      <c r="AA6" s="330" t="s">
        <v>228</v>
      </c>
      <c r="AB6" s="330" t="s">
        <v>229</v>
      </c>
      <c r="AC6" s="330" t="s">
        <v>230</v>
      </c>
      <c r="AD6" s="330" t="s">
        <v>274</v>
      </c>
      <c r="AE6" s="268" t="s">
        <v>232</v>
      </c>
      <c r="AF6" s="156" t="s">
        <v>233</v>
      </c>
      <c r="AG6" s="156" t="s">
        <v>234</v>
      </c>
      <c r="AH6" s="156" t="s">
        <v>235</v>
      </c>
      <c r="AI6" s="157" t="s">
        <v>236</v>
      </c>
      <c r="AJ6" s="327"/>
      <c r="AK6" s="327"/>
      <c r="AL6" s="329" t="s">
        <v>227</v>
      </c>
      <c r="AM6" s="330" t="s">
        <v>228</v>
      </c>
      <c r="AN6" s="330" t="s">
        <v>229</v>
      </c>
      <c r="AO6" s="330" t="s">
        <v>230</v>
      </c>
      <c r="AP6" s="330" t="s">
        <v>274</v>
      </c>
      <c r="AQ6" s="268" t="s">
        <v>232</v>
      </c>
      <c r="AR6" s="156" t="s">
        <v>233</v>
      </c>
      <c r="AS6" s="156" t="s">
        <v>234</v>
      </c>
      <c r="AT6" s="156" t="s">
        <v>235</v>
      </c>
      <c r="AU6" s="157" t="s">
        <v>236</v>
      </c>
      <c r="AW6" s="165" t="s">
        <v>237</v>
      </c>
      <c r="AY6" s="151" t="s">
        <v>223</v>
      </c>
      <c r="AZ6" s="151" t="s">
        <v>271</v>
      </c>
      <c r="BA6" s="151" t="s">
        <v>266</v>
      </c>
      <c r="BB6" s="151" t="s">
        <v>267</v>
      </c>
      <c r="BC6" s="151" t="s">
        <v>268</v>
      </c>
    </row>
    <row r="7" ht="15.75" customHeight="1">
      <c r="B7" s="366">
        <v>45779.0</v>
      </c>
      <c r="C7" s="343">
        <v>87.985</v>
      </c>
      <c r="D7" s="343">
        <v>87.985</v>
      </c>
      <c r="E7" s="343">
        <v>87.985</v>
      </c>
      <c r="F7" s="343">
        <v>87.985</v>
      </c>
      <c r="G7" s="273" t="s">
        <v>264</v>
      </c>
      <c r="H7" s="274">
        <v>0.0</v>
      </c>
      <c r="I7" s="275">
        <f>STDEV(H7:H27)*15.8745078664</f>
        <v>0.1146300137</v>
      </c>
      <c r="J7" s="276">
        <f>AVERAGE(H7:H27)</f>
        <v>0.001012022016</v>
      </c>
      <c r="K7" s="277">
        <f>(1 + J7)^252 - 1
</f>
        <v>0.2903333388</v>
      </c>
      <c r="N7" s="353">
        <v>45779.0</v>
      </c>
      <c r="O7" s="343">
        <v>38.106</v>
      </c>
      <c r="P7" s="343">
        <v>38.106</v>
      </c>
      <c r="Q7" s="343">
        <v>38.106</v>
      </c>
      <c r="R7" s="343">
        <v>38.106</v>
      </c>
      <c r="S7" s="273" t="s">
        <v>264</v>
      </c>
      <c r="T7" s="280">
        <v>0.0</v>
      </c>
      <c r="U7" s="281">
        <f>STDEV(T7:T27)*15.8745078664</f>
        <v>0.1913613549</v>
      </c>
      <c r="V7" s="279">
        <f>AVERAGE(T7:T27)</f>
        <v>0.0003595397714</v>
      </c>
      <c r="W7" s="282">
        <f>(1 + V7)^252 - 1
</f>
        <v>0.094817561</v>
      </c>
      <c r="Z7" s="400">
        <v>45779.0</v>
      </c>
      <c r="AA7" s="343">
        <v>2092.068</v>
      </c>
      <c r="AB7" s="343">
        <v>2092.068</v>
      </c>
      <c r="AC7" s="343">
        <v>2092.068</v>
      </c>
      <c r="AD7" s="343">
        <v>2092.068</v>
      </c>
      <c r="AE7" s="273" t="s">
        <v>264</v>
      </c>
      <c r="AF7" s="279">
        <v>0.0</v>
      </c>
      <c r="AG7" s="281">
        <f>STDEV(AF7:AF27)*15.8745078664</f>
        <v>0.1241542969</v>
      </c>
      <c r="AH7" s="283">
        <f>AVERAGE(AF7:AF27)</f>
        <v>0.0007980875957</v>
      </c>
      <c r="AI7" s="282">
        <f>(1 + AH7)^252 - 1
</f>
        <v>0.2226710636</v>
      </c>
      <c r="AL7" s="366">
        <v>45779.0</v>
      </c>
      <c r="AM7" s="343">
        <v>24.08</v>
      </c>
      <c r="AN7" s="343">
        <v>24.08</v>
      </c>
      <c r="AO7" s="343">
        <v>24.08</v>
      </c>
      <c r="AP7" s="343">
        <v>24.08</v>
      </c>
      <c r="AQ7" s="273" t="s">
        <v>264</v>
      </c>
      <c r="AR7" s="280">
        <v>0.0</v>
      </c>
      <c r="AS7" s="281">
        <f>STDEV(AR7:AR27)*15.8745078664</f>
        <v>0.01495973033</v>
      </c>
      <c r="AT7" s="279">
        <f>AVERAGE(AR7:AR27)</f>
        <v>0.0005636712392</v>
      </c>
      <c r="AU7" s="282">
        <f>(1 + AT7)^252 - 1
</f>
        <v>0.1525825658</v>
      </c>
      <c r="AW7" s="284">
        <v>0.0586</v>
      </c>
      <c r="AY7" s="151" t="s">
        <v>271</v>
      </c>
      <c r="AZ7" s="166">
        <f>(COVAR('Part D'!H7:H27,'Part D'!H7:H27))*252</f>
        <v>0.01248303804</v>
      </c>
      <c r="BA7" s="166">
        <f>(COVAR('Part D'!H7:H27,'Part D'!T7:T27))*252</f>
        <v>-0.009304279667</v>
      </c>
      <c r="BB7" s="166">
        <f>(COVAR('Part D'!H7:H27,'Part D'!AF7:AF27))*252</f>
        <v>0.01292354509</v>
      </c>
      <c r="BC7" s="166">
        <f>(COVAR('Part D'!H7:H27,'Part D'!AR7:AR27))*252</f>
        <v>0.0009424103473</v>
      </c>
    </row>
    <row r="8" ht="15.75" customHeight="1">
      <c r="B8" s="353">
        <v>45782.0</v>
      </c>
      <c r="C8" s="343">
        <v>88.062</v>
      </c>
      <c r="D8" s="343">
        <v>88.062</v>
      </c>
      <c r="E8" s="343">
        <v>88.062</v>
      </c>
      <c r="F8" s="343">
        <v>88.062</v>
      </c>
      <c r="G8" s="273" t="s">
        <v>264</v>
      </c>
      <c r="H8" s="274">
        <f t="shared" ref="H8:H26" si="1">LN(F8/F7)</f>
        <v>0.0008747664534</v>
      </c>
      <c r="I8" s="276"/>
      <c r="J8" s="276"/>
      <c r="K8" s="285"/>
      <c r="N8" s="353">
        <v>45782.0</v>
      </c>
      <c r="O8" s="343">
        <v>38.428</v>
      </c>
      <c r="P8" s="343">
        <v>38.428</v>
      </c>
      <c r="Q8" s="343">
        <v>38.428</v>
      </c>
      <c r="R8" s="343">
        <v>38.428</v>
      </c>
      <c r="S8" s="273" t="s">
        <v>264</v>
      </c>
      <c r="T8" s="280">
        <f t="shared" ref="T8:T26" si="2">LN(R8/R7)</f>
        <v>0.008414610499</v>
      </c>
      <c r="U8" s="279"/>
      <c r="V8" s="279"/>
      <c r="W8" s="286"/>
      <c r="Z8" s="400">
        <v>45782.0</v>
      </c>
      <c r="AA8" s="343">
        <v>2094.255</v>
      </c>
      <c r="AB8" s="343">
        <v>2094.255</v>
      </c>
      <c r="AC8" s="343">
        <v>2092.068</v>
      </c>
      <c r="AD8" s="343">
        <v>2094.255</v>
      </c>
      <c r="AE8" s="273" t="s">
        <v>264</v>
      </c>
      <c r="AF8" s="279">
        <f t="shared" ref="AF8:AF26" si="3">LN(AD8/AD7)</f>
        <v>0.001044831084</v>
      </c>
      <c r="AG8" s="279"/>
      <c r="AH8" s="279"/>
      <c r="AI8" s="286"/>
      <c r="AL8" s="366">
        <v>45782.0</v>
      </c>
      <c r="AM8" s="343">
        <v>24.102</v>
      </c>
      <c r="AN8" s="343">
        <v>24.102</v>
      </c>
      <c r="AO8" s="343">
        <v>24.08</v>
      </c>
      <c r="AP8" s="343">
        <v>24.102</v>
      </c>
      <c r="AQ8" s="273" t="s">
        <v>264</v>
      </c>
      <c r="AR8" s="280">
        <f t="shared" ref="AR8:AR26" si="4">LN(AP8/AP7)</f>
        <v>0.0009132041646</v>
      </c>
      <c r="AS8" s="279"/>
      <c r="AT8" s="279"/>
      <c r="AU8" s="286"/>
      <c r="AY8" s="151" t="s">
        <v>266</v>
      </c>
      <c r="AZ8" s="166">
        <f>(COVAR('Part D'!H7:H27,'Part D'!T7:T27))*252</f>
        <v>-0.009304279667</v>
      </c>
      <c r="BA8" s="166">
        <f>(COVAR('Part D'!T7:T27,'Part D'!T7:T27))*252</f>
        <v>0.03478820976</v>
      </c>
      <c r="BB8" s="166">
        <f>(COVAR('Part D'!AF7:AF27,'Part D'!T7:T27))*252</f>
        <v>-0.01177994567</v>
      </c>
      <c r="BC8" s="166">
        <f>(COVAR('Part D'!AR7:AR27,'Part D'!T7:T27))*252</f>
        <v>-0.000627214481</v>
      </c>
    </row>
    <row r="9" ht="15.75" customHeight="1">
      <c r="B9" s="353">
        <v>45783.0</v>
      </c>
      <c r="C9" s="343">
        <v>87.785</v>
      </c>
      <c r="D9" s="343">
        <v>87.785</v>
      </c>
      <c r="E9" s="343">
        <v>87.785</v>
      </c>
      <c r="F9" s="343">
        <v>87.785</v>
      </c>
      <c r="G9" s="273" t="s">
        <v>264</v>
      </c>
      <c r="H9" s="274">
        <f t="shared" si="1"/>
        <v>-0.003150468636</v>
      </c>
      <c r="I9" s="276"/>
      <c r="J9" s="276"/>
      <c r="K9" s="285"/>
      <c r="N9" s="353">
        <v>45783.0</v>
      </c>
      <c r="O9" s="343">
        <v>39.658</v>
      </c>
      <c r="P9" s="343">
        <v>39.658</v>
      </c>
      <c r="Q9" s="343">
        <v>38.428</v>
      </c>
      <c r="R9" s="343">
        <v>39.658</v>
      </c>
      <c r="S9" s="273" t="s">
        <v>264</v>
      </c>
      <c r="T9" s="280">
        <f t="shared" si="2"/>
        <v>0.03150633263</v>
      </c>
      <c r="U9" s="279"/>
      <c r="V9" s="279"/>
      <c r="W9" s="286"/>
      <c r="Z9" s="400">
        <v>45783.0</v>
      </c>
      <c r="AA9" s="343">
        <v>2083.532</v>
      </c>
      <c r="AB9" s="343">
        <v>2094.255</v>
      </c>
      <c r="AC9" s="343">
        <v>2083.532</v>
      </c>
      <c r="AD9" s="343">
        <v>2083.532</v>
      </c>
      <c r="AE9" s="273" t="s">
        <v>264</v>
      </c>
      <c r="AF9" s="279">
        <f t="shared" si="3"/>
        <v>-0.005133351005</v>
      </c>
      <c r="AG9" s="279"/>
      <c r="AH9" s="279"/>
      <c r="AI9" s="286"/>
      <c r="AL9" s="353">
        <v>45783.0</v>
      </c>
      <c r="AM9" s="343">
        <v>24.098</v>
      </c>
      <c r="AN9" s="343">
        <v>24.102</v>
      </c>
      <c r="AO9" s="343">
        <v>24.098</v>
      </c>
      <c r="AP9" s="343">
        <v>24.098</v>
      </c>
      <c r="AQ9" s="273" t="s">
        <v>264</v>
      </c>
      <c r="AR9" s="280">
        <f t="shared" si="4"/>
        <v>-0.0001659751041</v>
      </c>
      <c r="AS9" s="279"/>
      <c r="AT9" s="279"/>
      <c r="AU9" s="286"/>
      <c r="AY9" s="151" t="s">
        <v>267</v>
      </c>
      <c r="AZ9" s="166">
        <f>(COVAR('Part D'!H7:H27,'Part D'!AF7:AF27))*252</f>
        <v>0.01292354509</v>
      </c>
      <c r="BA9" s="166">
        <f>(COVAR('Part D'!AF7:AF27,'Part D'!T7:T27))*252</f>
        <v>-0.01177994567</v>
      </c>
      <c r="BB9" s="166">
        <f>(COVAR('Part D'!AF7:AF27,'Part D'!AF7:AF27))*252</f>
        <v>0.01464357496</v>
      </c>
      <c r="BC9" s="166">
        <f>(COVAR('Part D'!AF7:AF27,'Part D'!AR7:AR27))*252</f>
        <v>0.001153409492</v>
      </c>
    </row>
    <row r="10" ht="15.75" customHeight="1">
      <c r="B10" s="353">
        <v>45784.0</v>
      </c>
      <c r="C10" s="343">
        <v>88.045</v>
      </c>
      <c r="D10" s="343">
        <v>88.045</v>
      </c>
      <c r="E10" s="343">
        <v>88.045</v>
      </c>
      <c r="F10" s="343">
        <v>88.045</v>
      </c>
      <c r="G10" s="273" t="s">
        <v>264</v>
      </c>
      <c r="H10" s="274">
        <f t="shared" si="1"/>
        <v>0.002957404192</v>
      </c>
      <c r="I10" s="276"/>
      <c r="J10" s="276"/>
      <c r="K10" s="285"/>
      <c r="N10" s="353">
        <v>45784.0</v>
      </c>
      <c r="O10" s="343">
        <v>39.248</v>
      </c>
      <c r="P10" s="343">
        <v>39.658</v>
      </c>
      <c r="Q10" s="343">
        <v>39.248</v>
      </c>
      <c r="R10" s="343">
        <v>39.248</v>
      </c>
      <c r="S10" s="273" t="s">
        <v>264</v>
      </c>
      <c r="T10" s="280">
        <f t="shared" si="2"/>
        <v>-0.01039220566</v>
      </c>
      <c r="U10" s="279"/>
      <c r="V10" s="279"/>
      <c r="W10" s="286"/>
      <c r="Z10" s="400">
        <v>45784.0</v>
      </c>
      <c r="AA10" s="343">
        <v>2092.275</v>
      </c>
      <c r="AB10" s="343">
        <v>2092.275</v>
      </c>
      <c r="AC10" s="343">
        <v>2083.532</v>
      </c>
      <c r="AD10" s="343">
        <v>2092.275</v>
      </c>
      <c r="AE10" s="273" t="s">
        <v>264</v>
      </c>
      <c r="AF10" s="279">
        <f t="shared" si="3"/>
        <v>0.004187460185</v>
      </c>
      <c r="AG10" s="279"/>
      <c r="AH10" s="279"/>
      <c r="AI10" s="286"/>
      <c r="AL10" s="353">
        <v>45784.0</v>
      </c>
      <c r="AM10" s="343">
        <v>24.109</v>
      </c>
      <c r="AN10" s="343">
        <v>24.109</v>
      </c>
      <c r="AO10" s="343">
        <v>24.098</v>
      </c>
      <c r="AP10" s="343">
        <v>24.109</v>
      </c>
      <c r="AQ10" s="273" t="s">
        <v>264</v>
      </c>
      <c r="AR10" s="280">
        <f t="shared" si="4"/>
        <v>0.0004563652661</v>
      </c>
      <c r="AS10" s="279"/>
      <c r="AT10" s="279"/>
      <c r="AU10" s="286"/>
      <c r="AY10" s="151" t="s">
        <v>268</v>
      </c>
      <c r="AZ10" s="166">
        <f>(COVAR('Part D'!H7:H27,'Part D'!AR7:AR27))*252</f>
        <v>0.0009424103473</v>
      </c>
      <c r="BA10" s="166">
        <f>(COVAR('Part D'!AR7:AR27,'Part D'!T7:T27))*252</f>
        <v>-0.000627214481</v>
      </c>
      <c r="BB10" s="166">
        <f>(COVAR('Part D'!AF7:AF27,'Part D'!AR7:AR27))*252</f>
        <v>0.001153409492</v>
      </c>
      <c r="BC10" s="166">
        <f>(COVAR('Part D'!AR7:AR27,'Part D'!AR7:AR27))*252</f>
        <v>0.000212603855</v>
      </c>
    </row>
    <row r="11" ht="15.75" customHeight="1">
      <c r="B11" s="353">
        <v>45785.0</v>
      </c>
      <c r="C11" s="343">
        <v>87.831</v>
      </c>
      <c r="D11" s="343">
        <v>87.831</v>
      </c>
      <c r="E11" s="343">
        <v>87.831</v>
      </c>
      <c r="F11" s="343">
        <v>87.831</v>
      </c>
      <c r="G11" s="273" t="s">
        <v>264</v>
      </c>
      <c r="H11" s="274">
        <f t="shared" si="1"/>
        <v>-0.002433533917</v>
      </c>
      <c r="I11" s="276"/>
      <c r="J11" s="276"/>
      <c r="K11" s="285"/>
      <c r="N11" s="353">
        <v>45785.0</v>
      </c>
      <c r="O11" s="343">
        <v>39.084</v>
      </c>
      <c r="P11" s="343">
        <v>39.248</v>
      </c>
      <c r="Q11" s="343">
        <v>39.084</v>
      </c>
      <c r="R11" s="343">
        <v>39.084</v>
      </c>
      <c r="S11" s="273" t="s">
        <v>264</v>
      </c>
      <c r="T11" s="280">
        <f t="shared" si="2"/>
        <v>-0.004187311434</v>
      </c>
      <c r="U11" s="279"/>
      <c r="V11" s="279"/>
      <c r="W11" s="286"/>
      <c r="Z11" s="400">
        <v>45785.0</v>
      </c>
      <c r="AA11" s="343">
        <v>2076.488</v>
      </c>
      <c r="AB11" s="343">
        <v>2092.275</v>
      </c>
      <c r="AC11" s="343">
        <v>2076.488</v>
      </c>
      <c r="AD11" s="343">
        <v>2076.488</v>
      </c>
      <c r="AE11" s="273" t="s">
        <v>264</v>
      </c>
      <c r="AF11" s="279">
        <f t="shared" si="3"/>
        <v>-0.007573985601</v>
      </c>
      <c r="AG11" s="279"/>
      <c r="AH11" s="279"/>
      <c r="AI11" s="286"/>
      <c r="AL11" s="353">
        <v>45785.0</v>
      </c>
      <c r="AM11" s="343">
        <v>24.069</v>
      </c>
      <c r="AN11" s="343">
        <v>24.109</v>
      </c>
      <c r="AO11" s="343">
        <v>24.069</v>
      </c>
      <c r="AP11" s="343">
        <v>24.069</v>
      </c>
      <c r="AQ11" s="273" t="s">
        <v>264</v>
      </c>
      <c r="AR11" s="280">
        <f t="shared" si="4"/>
        <v>-0.001660509328</v>
      </c>
      <c r="AS11" s="279"/>
      <c r="AT11" s="279"/>
      <c r="AU11" s="286"/>
    </row>
    <row r="12" ht="15.75" customHeight="1">
      <c r="B12" s="353">
        <v>45786.0</v>
      </c>
      <c r="C12" s="343">
        <v>86.865</v>
      </c>
      <c r="D12" s="343">
        <v>86.865</v>
      </c>
      <c r="E12" s="343">
        <v>86.865</v>
      </c>
      <c r="F12" s="343">
        <v>86.865</v>
      </c>
      <c r="G12" s="273" t="s">
        <v>264</v>
      </c>
      <c r="H12" s="274">
        <f t="shared" si="1"/>
        <v>-0.01105932415</v>
      </c>
      <c r="I12" s="276"/>
      <c r="J12" s="276"/>
      <c r="K12" s="285"/>
      <c r="N12" s="353">
        <v>45786.0</v>
      </c>
      <c r="O12" s="343">
        <v>39.016</v>
      </c>
      <c r="P12" s="343">
        <v>39.084</v>
      </c>
      <c r="Q12" s="343">
        <v>39.016</v>
      </c>
      <c r="R12" s="343">
        <v>39.016</v>
      </c>
      <c r="S12" s="273" t="s">
        <v>264</v>
      </c>
      <c r="T12" s="280">
        <f t="shared" si="2"/>
        <v>-0.001741357674</v>
      </c>
      <c r="U12" s="279"/>
      <c r="V12" s="279"/>
      <c r="W12" s="286"/>
      <c r="Z12" s="400">
        <v>45786.0</v>
      </c>
      <c r="AA12" s="343">
        <v>2055.946</v>
      </c>
      <c r="AB12" s="343">
        <v>2076.488</v>
      </c>
      <c r="AC12" s="343">
        <v>2055.946</v>
      </c>
      <c r="AD12" s="343">
        <v>2055.946</v>
      </c>
      <c r="AE12" s="273" t="s">
        <v>264</v>
      </c>
      <c r="AF12" s="279">
        <f t="shared" si="3"/>
        <v>-0.00994192246</v>
      </c>
      <c r="AG12" s="279"/>
      <c r="AH12" s="279"/>
      <c r="AI12" s="286"/>
      <c r="AL12" s="353">
        <v>45786.0</v>
      </c>
      <c r="AM12" s="343">
        <v>24.086</v>
      </c>
      <c r="AN12" s="343">
        <v>24.086</v>
      </c>
      <c r="AO12" s="343">
        <v>24.069</v>
      </c>
      <c r="AP12" s="343">
        <v>24.086</v>
      </c>
      <c r="AQ12" s="273" t="s">
        <v>264</v>
      </c>
      <c r="AR12" s="280">
        <f t="shared" si="4"/>
        <v>0.0007060533987</v>
      </c>
      <c r="AS12" s="279"/>
      <c r="AT12" s="279"/>
      <c r="AU12" s="286"/>
      <c r="AY12" s="401" t="s">
        <v>249</v>
      </c>
      <c r="AZ12" s="4"/>
      <c r="BA12" s="4"/>
      <c r="BB12" s="4"/>
      <c r="BC12" s="5"/>
    </row>
    <row r="13" ht="15.75" customHeight="1">
      <c r="B13" s="353">
        <v>45790.0</v>
      </c>
      <c r="C13" s="343">
        <v>88.874</v>
      </c>
      <c r="D13" s="343">
        <v>88.874</v>
      </c>
      <c r="E13" s="343">
        <v>88.874</v>
      </c>
      <c r="F13" s="343">
        <v>88.874</v>
      </c>
      <c r="G13" s="273" t="s">
        <v>264</v>
      </c>
      <c r="H13" s="274">
        <f t="shared" si="1"/>
        <v>0.02286444696</v>
      </c>
      <c r="I13" s="276"/>
      <c r="J13" s="276"/>
      <c r="K13" s="285"/>
      <c r="N13" s="353">
        <v>45790.0</v>
      </c>
      <c r="O13" s="343">
        <v>38.18</v>
      </c>
      <c r="P13" s="343">
        <v>38.18</v>
      </c>
      <c r="Q13" s="343">
        <v>37.654</v>
      </c>
      <c r="R13" s="343">
        <v>38.18</v>
      </c>
      <c r="S13" s="273" t="s">
        <v>264</v>
      </c>
      <c r="T13" s="280">
        <f t="shared" si="2"/>
        <v>-0.02166000011</v>
      </c>
      <c r="U13" s="279"/>
      <c r="V13" s="279"/>
      <c r="W13" s="286"/>
      <c r="Z13" s="402">
        <v>45790.0</v>
      </c>
      <c r="AA13" s="343">
        <v>2106.86</v>
      </c>
      <c r="AB13" s="343">
        <v>2121.238</v>
      </c>
      <c r="AC13" s="343">
        <v>2106.86</v>
      </c>
      <c r="AD13" s="343">
        <v>2106.86</v>
      </c>
      <c r="AE13" s="273" t="s">
        <v>264</v>
      </c>
      <c r="AF13" s="279">
        <f t="shared" si="3"/>
        <v>0.02446260478</v>
      </c>
      <c r="AG13" s="279"/>
      <c r="AH13" s="279"/>
      <c r="AI13" s="286"/>
      <c r="AL13" s="353">
        <v>45790.0</v>
      </c>
      <c r="AM13" s="343">
        <v>24.166</v>
      </c>
      <c r="AN13" s="343">
        <v>24.166</v>
      </c>
      <c r="AO13" s="343">
        <v>24.166</v>
      </c>
      <c r="AP13" s="343">
        <v>24.166</v>
      </c>
      <c r="AQ13" s="273" t="s">
        <v>264</v>
      </c>
      <c r="AR13" s="280">
        <f t="shared" si="4"/>
        <v>0.003315927767</v>
      </c>
      <c r="AS13" s="279"/>
      <c r="AT13" s="279"/>
      <c r="AU13" s="286"/>
      <c r="AY13" s="8"/>
      <c r="AZ13" s="9"/>
      <c r="BA13" s="9"/>
      <c r="BB13" s="9"/>
      <c r="BC13" s="10"/>
    </row>
    <row r="14" ht="15.75" customHeight="1">
      <c r="B14" s="353">
        <v>45791.0</v>
      </c>
      <c r="C14" s="343">
        <v>89.218</v>
      </c>
      <c r="D14" s="343">
        <v>89.218</v>
      </c>
      <c r="E14" s="343">
        <v>89.218</v>
      </c>
      <c r="F14" s="343">
        <v>89.218</v>
      </c>
      <c r="G14" s="273" t="s">
        <v>264</v>
      </c>
      <c r="H14" s="274">
        <f t="shared" si="1"/>
        <v>0.003863176648</v>
      </c>
      <c r="I14" s="276"/>
      <c r="J14" s="276"/>
      <c r="K14" s="285"/>
      <c r="N14" s="353">
        <v>45791.0</v>
      </c>
      <c r="O14" s="343">
        <v>37.943</v>
      </c>
      <c r="P14" s="343">
        <v>38.18</v>
      </c>
      <c r="Q14" s="343">
        <v>37.943</v>
      </c>
      <c r="R14" s="343">
        <v>37.943</v>
      </c>
      <c r="S14" s="273" t="s">
        <v>264</v>
      </c>
      <c r="T14" s="280">
        <f t="shared" si="2"/>
        <v>-0.006226784697</v>
      </c>
      <c r="U14" s="279"/>
      <c r="V14" s="279"/>
      <c r="W14" s="286"/>
      <c r="Z14" s="402">
        <v>45791.0</v>
      </c>
      <c r="AA14" s="343">
        <v>2113.491</v>
      </c>
      <c r="AB14" s="343">
        <v>2113.491</v>
      </c>
      <c r="AC14" s="343">
        <v>2106.86</v>
      </c>
      <c r="AD14" s="343">
        <v>2113.491</v>
      </c>
      <c r="AE14" s="273" t="s">
        <v>264</v>
      </c>
      <c r="AF14" s="279">
        <f t="shared" si="3"/>
        <v>0.003142395245</v>
      </c>
      <c r="AG14" s="279"/>
      <c r="AH14" s="279"/>
      <c r="AI14" s="286"/>
      <c r="AL14" s="353">
        <v>45791.0</v>
      </c>
      <c r="AM14" s="343">
        <v>24.197</v>
      </c>
      <c r="AN14" s="343">
        <v>24.197</v>
      </c>
      <c r="AO14" s="343">
        <v>24.166</v>
      </c>
      <c r="AP14" s="343">
        <v>24.197</v>
      </c>
      <c r="AQ14" s="273" t="s">
        <v>264</v>
      </c>
      <c r="AR14" s="280">
        <f t="shared" si="4"/>
        <v>0.001281971931</v>
      </c>
      <c r="AS14" s="279"/>
      <c r="AT14" s="279"/>
      <c r="AU14" s="286"/>
      <c r="AY14" s="357" t="s">
        <v>240</v>
      </c>
      <c r="AZ14" s="358" t="s">
        <v>271</v>
      </c>
      <c r="BA14" s="358" t="s">
        <v>266</v>
      </c>
      <c r="BB14" s="358" t="s">
        <v>267</v>
      </c>
      <c r="BC14" s="358" t="s">
        <v>268</v>
      </c>
      <c r="BD14" s="288"/>
    </row>
    <row r="15" ht="15.75" customHeight="1">
      <c r="B15" s="353">
        <v>45792.0</v>
      </c>
      <c r="C15" s="343">
        <v>89.996</v>
      </c>
      <c r="D15" s="343">
        <v>89.996</v>
      </c>
      <c r="E15" s="343">
        <v>89.996</v>
      </c>
      <c r="F15" s="343">
        <v>89.996</v>
      </c>
      <c r="G15" s="273" t="s">
        <v>264</v>
      </c>
      <c r="H15" s="274">
        <f t="shared" si="1"/>
        <v>0.008682411948</v>
      </c>
      <c r="I15" s="276"/>
      <c r="J15" s="276"/>
      <c r="K15" s="285"/>
      <c r="N15" s="353">
        <v>45792.0</v>
      </c>
      <c r="O15" s="343">
        <v>37.2</v>
      </c>
      <c r="P15" s="343">
        <v>37.943</v>
      </c>
      <c r="Q15" s="343">
        <v>37.2</v>
      </c>
      <c r="R15" s="343">
        <v>37.2</v>
      </c>
      <c r="S15" s="273" t="s">
        <v>264</v>
      </c>
      <c r="T15" s="280">
        <f t="shared" si="2"/>
        <v>-0.01977627232</v>
      </c>
      <c r="U15" s="279"/>
      <c r="V15" s="279"/>
      <c r="W15" s="286"/>
      <c r="Z15" s="402">
        <v>45792.0</v>
      </c>
      <c r="AA15" s="343">
        <v>2136.787</v>
      </c>
      <c r="AB15" s="343">
        <v>2136.787</v>
      </c>
      <c r="AC15" s="343">
        <v>2136.787</v>
      </c>
      <c r="AD15" s="343">
        <v>2136.787</v>
      </c>
      <c r="AE15" s="273" t="s">
        <v>264</v>
      </c>
      <c r="AF15" s="279">
        <f t="shared" si="3"/>
        <v>0.01096221625</v>
      </c>
      <c r="AG15" s="279"/>
      <c r="AH15" s="279"/>
      <c r="AI15" s="286"/>
      <c r="AL15" s="353">
        <v>45792.0</v>
      </c>
      <c r="AM15" s="343">
        <v>24.209</v>
      </c>
      <c r="AN15" s="343">
        <v>24.209</v>
      </c>
      <c r="AO15" s="343">
        <v>24.197</v>
      </c>
      <c r="AP15" s="343">
        <v>24.209</v>
      </c>
      <c r="AQ15" s="273" t="s">
        <v>264</v>
      </c>
      <c r="AR15" s="280">
        <f t="shared" si="4"/>
        <v>0.0004958063152</v>
      </c>
      <c r="AS15" s="279"/>
      <c r="AT15" s="279"/>
      <c r="AU15" s="286"/>
      <c r="AY15" s="287" t="s">
        <v>241</v>
      </c>
      <c r="AZ15" s="364">
        <v>0.054502326</v>
      </c>
      <c r="BA15" s="365">
        <v>0.145760496</v>
      </c>
      <c r="BB15" s="365">
        <v>0.0</v>
      </c>
      <c r="BC15" s="365">
        <v>0.799737178</v>
      </c>
      <c r="BD15" s="290"/>
    </row>
    <row r="16" ht="15.75" customHeight="1">
      <c r="B16" s="353">
        <v>45793.0</v>
      </c>
      <c r="C16" s="343">
        <v>90.29</v>
      </c>
      <c r="D16" s="343">
        <v>90.29</v>
      </c>
      <c r="E16" s="343">
        <v>90.29</v>
      </c>
      <c r="F16" s="343">
        <v>90.29</v>
      </c>
      <c r="G16" s="273" t="s">
        <v>264</v>
      </c>
      <c r="H16" s="274">
        <f t="shared" si="1"/>
        <v>0.003261487421</v>
      </c>
      <c r="I16" s="276"/>
      <c r="J16" s="276"/>
      <c r="K16" s="285"/>
      <c r="N16" s="353">
        <v>45793.0</v>
      </c>
      <c r="O16" s="343">
        <v>37.557</v>
      </c>
      <c r="P16" s="343">
        <v>37.557</v>
      </c>
      <c r="Q16" s="343">
        <v>37.2</v>
      </c>
      <c r="R16" s="343">
        <v>37.557</v>
      </c>
      <c r="S16" s="273" t="s">
        <v>264</v>
      </c>
      <c r="T16" s="280">
        <f t="shared" si="2"/>
        <v>0.009551017667</v>
      </c>
      <c r="U16" s="279"/>
      <c r="V16" s="279"/>
      <c r="W16" s="286"/>
      <c r="Z16" s="402">
        <v>45793.0</v>
      </c>
      <c r="AA16" s="343">
        <v>2137.005</v>
      </c>
      <c r="AB16" s="343">
        <v>2137.005</v>
      </c>
      <c r="AC16" s="343">
        <v>2137.005</v>
      </c>
      <c r="AD16" s="343">
        <v>2137.005</v>
      </c>
      <c r="AE16" s="273" t="s">
        <v>264</v>
      </c>
      <c r="AF16" s="279">
        <f t="shared" si="3"/>
        <v>0.0001020171315</v>
      </c>
      <c r="AG16" s="279"/>
      <c r="AH16" s="279"/>
      <c r="AI16" s="286"/>
      <c r="AL16" s="353">
        <v>45793.0</v>
      </c>
      <c r="AM16" s="343">
        <v>24.238</v>
      </c>
      <c r="AN16" s="343">
        <v>24.238</v>
      </c>
      <c r="AO16" s="343">
        <v>24.209</v>
      </c>
      <c r="AP16" s="343">
        <v>24.238</v>
      </c>
      <c r="AQ16" s="273" t="s">
        <v>264</v>
      </c>
      <c r="AR16" s="280">
        <f t="shared" si="4"/>
        <v>0.001197184695</v>
      </c>
      <c r="AS16" s="279"/>
      <c r="AT16" s="279"/>
      <c r="AU16" s="286"/>
      <c r="AY16" s="194" t="s">
        <v>236</v>
      </c>
      <c r="AZ16" s="291">
        <f>(1 + 'Part D'!$J$7)^252 - 1
</f>
        <v>0.2903333388</v>
      </c>
      <c r="BA16" s="291">
        <f>(1 + 'Part D'!$V$7)^252 - 1
</f>
        <v>0.094817561</v>
      </c>
      <c r="BB16" s="291">
        <f>(1 + 'Part D'!$AH$7)^252 - 1
</f>
        <v>0.2226710636</v>
      </c>
      <c r="BC16" s="291">
        <f>(1 + 'Part D'!$AT$7)^252 - 1
</f>
        <v>0.1525825658</v>
      </c>
      <c r="BD16" s="288"/>
    </row>
    <row r="17" ht="15.75" customHeight="1">
      <c r="B17" s="353">
        <v>45796.0</v>
      </c>
      <c r="C17" s="343">
        <v>90.698</v>
      </c>
      <c r="D17" s="343">
        <v>90.698</v>
      </c>
      <c r="E17" s="343">
        <v>90.698</v>
      </c>
      <c r="F17" s="343">
        <v>90.698</v>
      </c>
      <c r="G17" s="273" t="s">
        <v>264</v>
      </c>
      <c r="H17" s="274">
        <f t="shared" si="1"/>
        <v>0.004508593842</v>
      </c>
      <c r="I17" s="276"/>
      <c r="J17" s="276"/>
      <c r="K17" s="285"/>
      <c r="N17" s="353">
        <v>45796.0</v>
      </c>
      <c r="O17" s="343">
        <v>37.817</v>
      </c>
      <c r="P17" s="343">
        <v>37.817</v>
      </c>
      <c r="Q17" s="343">
        <v>37.557</v>
      </c>
      <c r="R17" s="343">
        <v>37.817</v>
      </c>
      <c r="S17" s="273" t="s">
        <v>264</v>
      </c>
      <c r="T17" s="280">
        <f t="shared" si="2"/>
        <v>0.006898958029</v>
      </c>
      <c r="U17" s="279"/>
      <c r="V17" s="279"/>
      <c r="W17" s="286"/>
      <c r="Z17" s="402">
        <v>45796.0</v>
      </c>
      <c r="AA17" s="343">
        <v>2138.086</v>
      </c>
      <c r="AB17" s="343">
        <v>2138.086</v>
      </c>
      <c r="AC17" s="343">
        <v>2137.005</v>
      </c>
      <c r="AD17" s="343">
        <v>2138.086</v>
      </c>
      <c r="AE17" s="273" t="s">
        <v>264</v>
      </c>
      <c r="AF17" s="279">
        <f t="shared" si="3"/>
        <v>0.0005057202399</v>
      </c>
      <c r="AG17" s="279"/>
      <c r="AH17" s="279"/>
      <c r="AI17" s="286"/>
      <c r="AL17" s="353">
        <v>45796.0</v>
      </c>
      <c r="AM17" s="343">
        <v>24.261</v>
      </c>
      <c r="AN17" s="343">
        <v>24.261</v>
      </c>
      <c r="AO17" s="343">
        <v>24.238</v>
      </c>
      <c r="AP17" s="343">
        <v>24.261</v>
      </c>
      <c r="AQ17" s="273" t="s">
        <v>264</v>
      </c>
      <c r="AR17" s="280">
        <f t="shared" si="4"/>
        <v>0.0009484732355</v>
      </c>
      <c r="AS17" s="279"/>
      <c r="AT17" s="279"/>
      <c r="AU17" s="286"/>
      <c r="AY17" s="199" t="s">
        <v>234</v>
      </c>
      <c r="AZ17" s="292">
        <f>STDEV('Part D'!$H$7:$H$27)*15.8745078664</f>
        <v>0.1146300137</v>
      </c>
      <c r="BA17" s="292">
        <f>STDEV('Part D'!$T$7:$T$27)*15.8745078664</f>
        <v>0.1913613549</v>
      </c>
      <c r="BB17" s="292">
        <f>STDEV('Part D'!$AF$7:$AF$27)*15.8745078664</f>
        <v>0.1241542969</v>
      </c>
      <c r="BC17" s="292">
        <f>STDEV('Part D'!$AR$7:$AR$27)*15.8745078664</f>
        <v>0.01495973033</v>
      </c>
      <c r="BD17" s="288"/>
    </row>
    <row r="18" ht="15.75" customHeight="1">
      <c r="B18" s="353">
        <v>45797.0</v>
      </c>
      <c r="C18" s="343">
        <v>89.684</v>
      </c>
      <c r="D18" s="343">
        <v>89.684</v>
      </c>
      <c r="E18" s="343">
        <v>89.684</v>
      </c>
      <c r="F18" s="343">
        <v>89.684</v>
      </c>
      <c r="G18" s="273" t="s">
        <v>264</v>
      </c>
      <c r="H18" s="274">
        <f t="shared" si="1"/>
        <v>-0.01124292536</v>
      </c>
      <c r="I18" s="276"/>
      <c r="J18" s="276"/>
      <c r="K18" s="285"/>
      <c r="N18" s="353">
        <v>45797.0</v>
      </c>
      <c r="O18" s="343">
        <v>37.754</v>
      </c>
      <c r="P18" s="343">
        <v>37.817</v>
      </c>
      <c r="Q18" s="343">
        <v>37.754</v>
      </c>
      <c r="R18" s="343">
        <v>37.754</v>
      </c>
      <c r="S18" s="273" t="s">
        <v>264</v>
      </c>
      <c r="T18" s="280">
        <f t="shared" si="2"/>
        <v>-0.001667306628</v>
      </c>
      <c r="U18" s="279"/>
      <c r="V18" s="279"/>
      <c r="W18" s="286"/>
      <c r="Z18" s="402">
        <v>45797.0</v>
      </c>
      <c r="AA18" s="343">
        <v>2119.467</v>
      </c>
      <c r="AB18" s="343">
        <v>2138.086</v>
      </c>
      <c r="AC18" s="343">
        <v>2119.467</v>
      </c>
      <c r="AD18" s="343">
        <v>2119.467</v>
      </c>
      <c r="AE18" s="273" t="s">
        <v>264</v>
      </c>
      <c r="AF18" s="279">
        <f t="shared" si="3"/>
        <v>-0.008746394323</v>
      </c>
      <c r="AG18" s="279"/>
      <c r="AH18" s="279"/>
      <c r="AI18" s="286"/>
      <c r="AL18" s="353">
        <v>45797.0</v>
      </c>
      <c r="AM18" s="343">
        <v>24.281</v>
      </c>
      <c r="AN18" s="343">
        <v>24.281</v>
      </c>
      <c r="AO18" s="343">
        <v>24.261</v>
      </c>
      <c r="AP18" s="343">
        <v>24.281</v>
      </c>
      <c r="AQ18" s="273" t="s">
        <v>264</v>
      </c>
      <c r="AR18" s="280">
        <f t="shared" si="4"/>
        <v>0.0008240287228</v>
      </c>
      <c r="AS18" s="279"/>
      <c r="AT18" s="279"/>
      <c r="AU18" s="286"/>
      <c r="AY18" s="193" t="s">
        <v>242</v>
      </c>
      <c r="AZ18" s="193" t="s">
        <v>243</v>
      </c>
      <c r="BA18" s="193" t="s">
        <v>244</v>
      </c>
      <c r="BB18" s="193" t="s">
        <v>245</v>
      </c>
      <c r="BC18" s="193" t="s">
        <v>246</v>
      </c>
      <c r="BD18" s="193" t="s">
        <v>247</v>
      </c>
    </row>
    <row r="19" ht="15.75" customHeight="1">
      <c r="B19" s="353">
        <v>45798.0</v>
      </c>
      <c r="C19" s="343">
        <v>89.866</v>
      </c>
      <c r="D19" s="343">
        <v>89.866</v>
      </c>
      <c r="E19" s="343">
        <v>89.866</v>
      </c>
      <c r="F19" s="343">
        <v>89.866</v>
      </c>
      <c r="G19" s="273" t="s">
        <v>264</v>
      </c>
      <c r="H19" s="274">
        <f t="shared" si="1"/>
        <v>0.002027291143</v>
      </c>
      <c r="I19" s="276"/>
      <c r="J19" s="276"/>
      <c r="K19" s="285"/>
      <c r="N19" s="353">
        <v>45798.0</v>
      </c>
      <c r="O19" s="343">
        <v>38.386</v>
      </c>
      <c r="P19" s="343">
        <v>38.386</v>
      </c>
      <c r="Q19" s="343">
        <v>37.754</v>
      </c>
      <c r="R19" s="343">
        <v>38.386</v>
      </c>
      <c r="S19" s="273" t="s">
        <v>264</v>
      </c>
      <c r="T19" s="280">
        <f t="shared" si="2"/>
        <v>0.01660137944</v>
      </c>
      <c r="U19" s="279"/>
      <c r="V19" s="279"/>
      <c r="W19" s="286"/>
      <c r="Z19" s="402">
        <v>45798.0</v>
      </c>
      <c r="AA19" s="343">
        <v>2127.384</v>
      </c>
      <c r="AB19" s="343">
        <v>2127.384</v>
      </c>
      <c r="AC19" s="343">
        <v>2119.467</v>
      </c>
      <c r="AD19" s="343">
        <v>2127.373</v>
      </c>
      <c r="AE19" s="273" t="s">
        <v>264</v>
      </c>
      <c r="AF19" s="279">
        <f t="shared" si="3"/>
        <v>0.003723243227</v>
      </c>
      <c r="AG19" s="279"/>
      <c r="AH19" s="279"/>
      <c r="AI19" s="286"/>
      <c r="AL19" s="353">
        <v>45798.0</v>
      </c>
      <c r="AM19" s="343">
        <v>24.317</v>
      </c>
      <c r="AN19" s="343">
        <v>24.317</v>
      </c>
      <c r="AO19" s="343">
        <v>24.281</v>
      </c>
      <c r="AP19" s="343">
        <v>24.317</v>
      </c>
      <c r="AQ19" s="273" t="s">
        <v>264</v>
      </c>
      <c r="AR19" s="280">
        <f t="shared" si="4"/>
        <v>0.001481542721</v>
      </c>
      <c r="AS19" s="279"/>
      <c r="AT19" s="279"/>
      <c r="AU19" s="286"/>
      <c r="AY19" s="193" t="s">
        <v>248</v>
      </c>
      <c r="AZ19" s="201">
        <f t="array" ref="AZ19">MMULT(AZ15:BC15, TRANSPOSE(AZ16:BC16))</f>
        <v>0.1516704476</v>
      </c>
      <c r="BA19" s="202">
        <f t="array" ref="BA19">MMULT(AZ15:BC15, MMULT(AZ7:BC10, TRANSPOSE(AZ15:BC15)))</f>
        <v>0.0007002666206</v>
      </c>
      <c r="BB19" s="202">
        <f>SQRT(BA19)</f>
        <v>0.02646255129</v>
      </c>
      <c r="BC19" s="201">
        <f>SQRT(BA19)</f>
        <v>0.02646255129</v>
      </c>
      <c r="BD19" s="203">
        <f>(AZ19-'Part A'!BV21)/(BC19)</f>
        <v>5.731512655</v>
      </c>
    </row>
    <row r="20" ht="15.75" customHeight="1">
      <c r="B20" s="342">
        <v>45799.0</v>
      </c>
      <c r="C20" s="343">
        <v>89.483</v>
      </c>
      <c r="D20" s="343">
        <v>89.483</v>
      </c>
      <c r="E20" s="343">
        <v>89.483</v>
      </c>
      <c r="F20" s="343">
        <v>89.483</v>
      </c>
      <c r="G20" s="273" t="s">
        <v>264</v>
      </c>
      <c r="H20" s="274">
        <f t="shared" si="1"/>
        <v>-0.00427100884</v>
      </c>
      <c r="I20" s="276"/>
      <c r="J20" s="276"/>
      <c r="K20" s="285"/>
      <c r="N20" s="342">
        <v>45799.0</v>
      </c>
      <c r="O20" s="343">
        <v>38.536</v>
      </c>
      <c r="P20" s="343">
        <v>38.536</v>
      </c>
      <c r="Q20" s="343">
        <v>38.386</v>
      </c>
      <c r="R20" s="343">
        <v>38.536</v>
      </c>
      <c r="S20" s="273" t="s">
        <v>264</v>
      </c>
      <c r="T20" s="280">
        <f t="shared" si="2"/>
        <v>0.003900059544</v>
      </c>
      <c r="U20" s="279"/>
      <c r="V20" s="279"/>
      <c r="W20" s="286"/>
      <c r="Z20" s="402">
        <v>45799.0</v>
      </c>
      <c r="AA20" s="343">
        <v>2118.823</v>
      </c>
      <c r="AB20" s="343">
        <v>2118.823</v>
      </c>
      <c r="AC20" s="343">
        <v>2118.823</v>
      </c>
      <c r="AD20" s="343">
        <v>2118.823</v>
      </c>
      <c r="AE20" s="273" t="s">
        <v>264</v>
      </c>
      <c r="AF20" s="279">
        <f t="shared" si="3"/>
        <v>-0.004027139376</v>
      </c>
      <c r="AG20" s="279"/>
      <c r="AH20" s="279"/>
      <c r="AI20" s="286"/>
      <c r="AL20" s="353">
        <v>45799.0</v>
      </c>
      <c r="AM20" s="343">
        <v>24.315</v>
      </c>
      <c r="AN20" s="343">
        <v>24.317</v>
      </c>
      <c r="AO20" s="343">
        <v>24.315</v>
      </c>
      <c r="AP20" s="343">
        <v>24.315</v>
      </c>
      <c r="AQ20" s="273" t="s">
        <v>264</v>
      </c>
      <c r="AR20" s="280">
        <f t="shared" si="4"/>
        <v>-0.00008225037017</v>
      </c>
      <c r="AS20" s="279"/>
      <c r="AT20" s="279"/>
      <c r="AU20" s="286"/>
    </row>
    <row r="21" ht="15.75" customHeight="1">
      <c r="B21" s="342">
        <v>45800.0</v>
      </c>
      <c r="C21" s="343">
        <v>90.064</v>
      </c>
      <c r="D21" s="343">
        <v>90.064</v>
      </c>
      <c r="E21" s="343">
        <v>90.064</v>
      </c>
      <c r="F21" s="343">
        <v>90.064</v>
      </c>
      <c r="G21" s="273" t="s">
        <v>264</v>
      </c>
      <c r="H21" s="274">
        <f t="shared" si="1"/>
        <v>0.006471865617</v>
      </c>
      <c r="I21" s="276"/>
      <c r="J21" s="276"/>
      <c r="K21" s="285"/>
      <c r="N21" s="342">
        <v>45800.0</v>
      </c>
      <c r="O21" s="343">
        <v>38.391</v>
      </c>
      <c r="P21" s="343">
        <v>38.536</v>
      </c>
      <c r="Q21" s="343">
        <v>38.391</v>
      </c>
      <c r="R21" s="343">
        <v>38.391</v>
      </c>
      <c r="S21" s="273" t="s">
        <v>264</v>
      </c>
      <c r="T21" s="280">
        <f t="shared" si="2"/>
        <v>-0.003769812204</v>
      </c>
      <c r="U21" s="279"/>
      <c r="V21" s="279"/>
      <c r="W21" s="286"/>
      <c r="Z21" s="402">
        <v>45800.0</v>
      </c>
      <c r="AA21" s="343">
        <v>2136.575</v>
      </c>
      <c r="AB21" s="343">
        <v>2136.575</v>
      </c>
      <c r="AC21" s="343">
        <v>2118.823</v>
      </c>
      <c r="AD21" s="343">
        <v>2136.575</v>
      </c>
      <c r="AE21" s="273" t="s">
        <v>264</v>
      </c>
      <c r="AF21" s="279">
        <f t="shared" si="3"/>
        <v>0.008343333798</v>
      </c>
      <c r="AG21" s="279"/>
      <c r="AH21" s="279"/>
      <c r="AI21" s="286"/>
      <c r="AL21" s="353">
        <v>45800.0</v>
      </c>
      <c r="AM21" s="343">
        <v>24.325</v>
      </c>
      <c r="AN21" s="343">
        <v>24.325</v>
      </c>
      <c r="AO21" s="343">
        <v>24.315</v>
      </c>
      <c r="AP21" s="343">
        <v>24.325</v>
      </c>
      <c r="AQ21" s="273" t="s">
        <v>264</v>
      </c>
      <c r="AR21" s="280">
        <f t="shared" si="4"/>
        <v>0.0004111842163</v>
      </c>
      <c r="AS21" s="279"/>
      <c r="AT21" s="279"/>
      <c r="AU21" s="286"/>
    </row>
    <row r="22" ht="15.75" customHeight="1">
      <c r="B22" s="342">
        <v>45803.0</v>
      </c>
      <c r="C22" s="343">
        <v>90.349</v>
      </c>
      <c r="D22" s="343">
        <v>90.349</v>
      </c>
      <c r="E22" s="343">
        <v>90.064</v>
      </c>
      <c r="F22" s="343">
        <v>90.349</v>
      </c>
      <c r="G22" s="273" t="s">
        <v>264</v>
      </c>
      <c r="H22" s="274">
        <f t="shared" si="1"/>
        <v>0.003159420187</v>
      </c>
      <c r="I22" s="276"/>
      <c r="J22" s="276"/>
      <c r="K22" s="285"/>
      <c r="N22" s="342">
        <v>45803.0</v>
      </c>
      <c r="O22" s="343">
        <v>38.516</v>
      </c>
      <c r="P22" s="343">
        <v>38.516</v>
      </c>
      <c r="Q22" s="343">
        <v>38.391</v>
      </c>
      <c r="R22" s="343">
        <v>38.516</v>
      </c>
      <c r="S22" s="273" t="s">
        <v>264</v>
      </c>
      <c r="T22" s="280">
        <f t="shared" si="2"/>
        <v>0.003250682254</v>
      </c>
      <c r="U22" s="279"/>
      <c r="V22" s="279"/>
      <c r="W22" s="286"/>
      <c r="Z22" s="402">
        <v>45803.0</v>
      </c>
      <c r="AA22" s="343">
        <v>2142.424</v>
      </c>
      <c r="AB22" s="343">
        <v>2142.424</v>
      </c>
      <c r="AC22" s="343">
        <v>2136.575</v>
      </c>
      <c r="AD22" s="343">
        <v>2142.424</v>
      </c>
      <c r="AE22" s="273" t="s">
        <v>264</v>
      </c>
      <c r="AF22" s="279">
        <f t="shared" si="3"/>
        <v>0.002733818654</v>
      </c>
      <c r="AG22" s="279"/>
      <c r="AH22" s="279"/>
      <c r="AI22" s="286"/>
      <c r="AL22" s="342">
        <v>45803.0</v>
      </c>
      <c r="AM22" s="343">
        <v>24.321</v>
      </c>
      <c r="AN22" s="343">
        <v>24.325</v>
      </c>
      <c r="AO22" s="343">
        <v>24.321</v>
      </c>
      <c r="AP22" s="343">
        <v>24.321</v>
      </c>
      <c r="AQ22" s="273" t="s">
        <v>264</v>
      </c>
      <c r="AR22" s="280">
        <f t="shared" si="4"/>
        <v>-0.0001644533984</v>
      </c>
      <c r="AS22" s="279"/>
      <c r="AT22" s="279"/>
      <c r="AU22" s="286"/>
    </row>
    <row r="23" ht="15.75" customHeight="1">
      <c r="B23" s="342">
        <v>45804.0</v>
      </c>
      <c r="C23" s="343">
        <v>90.133</v>
      </c>
      <c r="D23" s="343">
        <v>90.133</v>
      </c>
      <c r="E23" s="343">
        <v>90.133</v>
      </c>
      <c r="F23" s="343">
        <v>90.133</v>
      </c>
      <c r="G23" s="273" t="s">
        <v>264</v>
      </c>
      <c r="H23" s="274">
        <f t="shared" si="1"/>
        <v>-0.002393591639</v>
      </c>
      <c r="I23" s="276"/>
      <c r="J23" s="276"/>
      <c r="K23" s="285"/>
      <c r="N23" s="342">
        <v>45804.0</v>
      </c>
      <c r="O23" s="343">
        <v>38.415</v>
      </c>
      <c r="P23" s="343">
        <v>38.516</v>
      </c>
      <c r="Q23" s="343">
        <v>38.391</v>
      </c>
      <c r="R23" s="343">
        <v>38.415</v>
      </c>
      <c r="S23" s="273" t="s">
        <v>264</v>
      </c>
      <c r="T23" s="280">
        <f t="shared" si="2"/>
        <v>-0.002625731058</v>
      </c>
      <c r="U23" s="279"/>
      <c r="V23" s="279"/>
      <c r="W23" s="286"/>
      <c r="Z23" s="402">
        <v>45804.0</v>
      </c>
      <c r="AA23" s="343">
        <v>2130.181</v>
      </c>
      <c r="AB23" s="343">
        <v>2142.424</v>
      </c>
      <c r="AC23" s="343">
        <v>2130.181</v>
      </c>
      <c r="AD23" s="343">
        <v>2130.181</v>
      </c>
      <c r="AE23" s="273" t="s">
        <v>264</v>
      </c>
      <c r="AF23" s="279">
        <f t="shared" si="3"/>
        <v>-0.005730945645</v>
      </c>
      <c r="AG23" s="279"/>
      <c r="AH23" s="279"/>
      <c r="AI23" s="286"/>
      <c r="AL23" s="342">
        <v>45804.0</v>
      </c>
      <c r="AM23" s="343">
        <v>24.321</v>
      </c>
      <c r="AN23" s="343">
        <v>24.325</v>
      </c>
      <c r="AO23" s="343">
        <v>24.321</v>
      </c>
      <c r="AP23" s="343">
        <v>24.321</v>
      </c>
      <c r="AQ23" s="273" t="s">
        <v>264</v>
      </c>
      <c r="AR23" s="280">
        <f t="shared" si="4"/>
        <v>0</v>
      </c>
      <c r="AS23" s="279"/>
      <c r="AT23" s="279"/>
      <c r="AU23" s="286"/>
    </row>
    <row r="24" ht="15.75" customHeight="1">
      <c r="B24" s="342">
        <v>45805.0</v>
      </c>
      <c r="C24" s="343">
        <v>89.845</v>
      </c>
      <c r="D24" s="343">
        <v>89.845</v>
      </c>
      <c r="E24" s="343">
        <v>89.845</v>
      </c>
      <c r="F24" s="343">
        <v>89.845</v>
      </c>
      <c r="G24" s="273" t="s">
        <v>264</v>
      </c>
      <c r="H24" s="274">
        <f t="shared" si="1"/>
        <v>-0.003200393891</v>
      </c>
      <c r="I24" s="276"/>
      <c r="J24" s="276"/>
      <c r="K24" s="285"/>
      <c r="N24" s="342">
        <v>45805.0</v>
      </c>
      <c r="O24" s="343">
        <v>38.656</v>
      </c>
      <c r="P24" s="343">
        <v>38.656</v>
      </c>
      <c r="Q24" s="343">
        <v>38.656</v>
      </c>
      <c r="R24" s="343">
        <v>38.656</v>
      </c>
      <c r="S24" s="273" t="s">
        <v>264</v>
      </c>
      <c r="T24" s="280">
        <f t="shared" si="2"/>
        <v>0.006253993993</v>
      </c>
      <c r="U24" s="279"/>
      <c r="V24" s="279"/>
      <c r="W24" s="286"/>
      <c r="Z24" s="402">
        <v>45805.0</v>
      </c>
      <c r="AA24" s="343">
        <v>2125.125</v>
      </c>
      <c r="AB24" s="343">
        <v>2125.125</v>
      </c>
      <c r="AC24" s="343">
        <v>2125.125</v>
      </c>
      <c r="AD24" s="343">
        <v>2125.125</v>
      </c>
      <c r="AE24" s="273" t="s">
        <v>264</v>
      </c>
      <c r="AF24" s="279">
        <f t="shared" si="3"/>
        <v>-0.002376328461</v>
      </c>
      <c r="AG24" s="279"/>
      <c r="AH24" s="279"/>
      <c r="AI24" s="286"/>
      <c r="AL24" s="342">
        <v>45805.0</v>
      </c>
      <c r="AM24" s="343">
        <v>24.335</v>
      </c>
      <c r="AN24" s="343">
        <v>24.335</v>
      </c>
      <c r="AO24" s="343">
        <v>24.335</v>
      </c>
      <c r="AP24" s="343">
        <v>24.335</v>
      </c>
      <c r="AQ24" s="273" t="s">
        <v>264</v>
      </c>
      <c r="AR24" s="280">
        <f t="shared" si="4"/>
        <v>0.0005754686117</v>
      </c>
      <c r="AS24" s="279"/>
      <c r="AT24" s="279"/>
      <c r="AU24" s="286"/>
    </row>
    <row r="25" ht="15.75" customHeight="1">
      <c r="B25" s="342">
        <v>45806.0</v>
      </c>
      <c r="C25" s="343">
        <v>89.918</v>
      </c>
      <c r="D25" s="343">
        <v>89.918</v>
      </c>
      <c r="E25" s="343">
        <v>89.918</v>
      </c>
      <c r="F25" s="343">
        <v>89.918</v>
      </c>
      <c r="G25" s="273" t="s">
        <v>264</v>
      </c>
      <c r="H25" s="274">
        <f t="shared" si="1"/>
        <v>0.0008121805267</v>
      </c>
      <c r="I25" s="276"/>
      <c r="J25" s="276"/>
      <c r="K25" s="285"/>
      <c r="N25" s="342">
        <v>45806.0</v>
      </c>
      <c r="O25" s="343">
        <v>38.193</v>
      </c>
      <c r="P25" s="343">
        <v>38.193</v>
      </c>
      <c r="Q25" s="343">
        <v>38.193</v>
      </c>
      <c r="R25" s="343">
        <v>38.193</v>
      </c>
      <c r="S25" s="273" t="s">
        <v>264</v>
      </c>
      <c r="T25" s="280">
        <f t="shared" si="2"/>
        <v>-0.01204974956</v>
      </c>
      <c r="U25" s="279"/>
      <c r="V25" s="279"/>
      <c r="W25" s="286"/>
      <c r="Z25" s="402">
        <v>45806.0</v>
      </c>
      <c r="AA25" s="343">
        <v>2132.618</v>
      </c>
      <c r="AB25" s="343">
        <v>2132.618</v>
      </c>
      <c r="AC25" s="343">
        <v>2125.125</v>
      </c>
      <c r="AD25" s="343">
        <v>2132.618</v>
      </c>
      <c r="AE25" s="273" t="s">
        <v>264</v>
      </c>
      <c r="AF25" s="279">
        <f t="shared" si="3"/>
        <v>0.003519708792</v>
      </c>
      <c r="AG25" s="279"/>
      <c r="AH25" s="279"/>
      <c r="AI25" s="286"/>
      <c r="AL25" s="342">
        <v>45806.0</v>
      </c>
      <c r="AM25" s="343">
        <v>24.343</v>
      </c>
      <c r="AN25" s="343">
        <v>24.343</v>
      </c>
      <c r="AO25" s="343">
        <v>24.335</v>
      </c>
      <c r="AP25" s="343">
        <v>24.343</v>
      </c>
      <c r="AQ25" s="273" t="s">
        <v>264</v>
      </c>
      <c r="AR25" s="280">
        <f t="shared" si="4"/>
        <v>0.0003286905819</v>
      </c>
      <c r="AS25" s="279"/>
      <c r="AT25" s="279"/>
      <c r="AU25" s="286"/>
    </row>
    <row r="26" ht="15.75" customHeight="1">
      <c r="B26" s="342">
        <v>45807.0</v>
      </c>
      <c r="C26" s="343">
        <v>89.784</v>
      </c>
      <c r="D26" s="343">
        <v>89.784</v>
      </c>
      <c r="E26" s="343">
        <v>89.784</v>
      </c>
      <c r="F26" s="343">
        <v>89.784</v>
      </c>
      <c r="G26" s="273" t="s">
        <v>264</v>
      </c>
      <c r="H26" s="274">
        <f t="shared" si="1"/>
        <v>-0.001491358191</v>
      </c>
      <c r="I26" s="276"/>
      <c r="J26" s="276"/>
      <c r="K26" s="285"/>
      <c r="N26" s="403">
        <v>45807.0</v>
      </c>
      <c r="O26" s="404">
        <v>38.381</v>
      </c>
      <c r="P26" s="404">
        <v>38.381</v>
      </c>
      <c r="Q26" s="404">
        <v>38.193</v>
      </c>
      <c r="R26" s="404">
        <v>38.381</v>
      </c>
      <c r="S26" s="273" t="s">
        <v>264</v>
      </c>
      <c r="T26" s="303">
        <f t="shared" si="2"/>
        <v>0.00491029273</v>
      </c>
      <c r="U26" s="302"/>
      <c r="V26" s="302"/>
      <c r="W26" s="304"/>
      <c r="Z26" s="405">
        <v>45807.0</v>
      </c>
      <c r="AA26" s="404">
        <v>2125.729</v>
      </c>
      <c r="AB26" s="404">
        <v>2132.618</v>
      </c>
      <c r="AC26" s="404">
        <v>2125.729</v>
      </c>
      <c r="AD26" s="404">
        <v>2125.729</v>
      </c>
      <c r="AE26" s="273" t="s">
        <v>264</v>
      </c>
      <c r="AF26" s="302">
        <f t="shared" si="3"/>
        <v>-0.003235530599</v>
      </c>
      <c r="AG26" s="302"/>
      <c r="AH26" s="302"/>
      <c r="AI26" s="304"/>
      <c r="AL26" s="403">
        <v>45807.0</v>
      </c>
      <c r="AM26" s="404">
        <v>24.353</v>
      </c>
      <c r="AN26" s="404">
        <v>24.353</v>
      </c>
      <c r="AO26" s="404">
        <v>24.343</v>
      </c>
      <c r="AP26" s="404">
        <v>24.353</v>
      </c>
      <c r="AQ26" s="273" t="s">
        <v>264</v>
      </c>
      <c r="AR26" s="303">
        <f t="shared" si="4"/>
        <v>0.0004107113578</v>
      </c>
      <c r="AS26" s="302"/>
      <c r="AT26" s="302"/>
      <c r="AU26" s="304"/>
    </row>
    <row r="27" ht="15.75" customHeight="1">
      <c r="B27" s="406"/>
      <c r="C27" s="407"/>
      <c r="D27" s="407"/>
      <c r="E27" s="407"/>
      <c r="F27" s="407"/>
      <c r="G27" s="408"/>
      <c r="H27" s="409"/>
      <c r="I27" s="410"/>
      <c r="J27" s="410"/>
      <c r="K27" s="410"/>
      <c r="N27" s="279"/>
      <c r="O27" s="279"/>
      <c r="P27" s="279"/>
      <c r="Q27" s="279"/>
      <c r="R27" s="279"/>
      <c r="S27" s="279"/>
      <c r="T27" s="411"/>
      <c r="U27" s="279"/>
      <c r="V27" s="279"/>
      <c r="W27" s="279"/>
      <c r="Z27" s="279"/>
      <c r="AA27" s="279"/>
      <c r="AB27" s="279"/>
      <c r="AC27" s="279"/>
      <c r="AD27" s="279"/>
      <c r="AE27" s="279"/>
      <c r="AF27" s="279"/>
      <c r="AG27" s="279"/>
      <c r="AH27" s="279"/>
      <c r="AI27" s="279"/>
      <c r="AL27" s="279"/>
      <c r="AM27" s="279"/>
      <c r="AN27" s="279"/>
      <c r="AO27" s="279"/>
      <c r="AP27" s="279"/>
      <c r="AQ27" s="279"/>
      <c r="AR27" s="411"/>
      <c r="AS27" s="279"/>
      <c r="AT27" s="279"/>
      <c r="AU27" s="279"/>
    </row>
    <row r="28" ht="15.75" customHeight="1">
      <c r="B28" s="32"/>
      <c r="C28" s="32"/>
      <c r="D28" s="32"/>
      <c r="E28" s="32"/>
      <c r="F28" s="32"/>
      <c r="G28" s="305"/>
      <c r="H28" s="306"/>
      <c r="I28" s="32"/>
      <c r="J28" s="32"/>
      <c r="K28" s="32"/>
    </row>
    <row r="29" ht="15.75" customHeight="1">
      <c r="G29" s="262"/>
    </row>
    <row r="30" ht="15.75" customHeight="1">
      <c r="G30" s="262"/>
    </row>
    <row r="31" ht="15.75" customHeight="1">
      <c r="G31" s="262"/>
    </row>
    <row r="32" ht="15.75" customHeight="1">
      <c r="G32" s="262"/>
    </row>
    <row r="33" ht="15.75" customHeight="1">
      <c r="G33" s="262"/>
    </row>
    <row r="34" ht="15.75" customHeight="1">
      <c r="G34" s="262"/>
    </row>
    <row r="35" ht="15.75" customHeight="1">
      <c r="G35" s="262"/>
    </row>
    <row r="36" ht="15.75" customHeight="1">
      <c r="G36" s="262"/>
    </row>
    <row r="37" ht="15.75" customHeight="1">
      <c r="G37" s="262"/>
    </row>
    <row r="38" ht="15.75" customHeight="1">
      <c r="G38" s="262"/>
    </row>
    <row r="39" ht="15.75" customHeight="1">
      <c r="G39" s="262"/>
    </row>
    <row r="40" ht="15.75" customHeight="1">
      <c r="G40" s="262"/>
    </row>
    <row r="41" ht="15.75" customHeight="1">
      <c r="G41" s="262"/>
    </row>
    <row r="42" ht="15.75" customHeight="1">
      <c r="G42" s="262"/>
    </row>
    <row r="43" ht="15.75" customHeight="1">
      <c r="G43" s="262"/>
    </row>
    <row r="44" ht="15.75" customHeight="1">
      <c r="G44" s="262"/>
    </row>
    <row r="45" ht="15.75" customHeight="1">
      <c r="G45" s="262"/>
    </row>
    <row r="46" ht="15.75" customHeight="1">
      <c r="G46" s="262"/>
    </row>
    <row r="47" ht="15.75" customHeight="1">
      <c r="G47" s="262"/>
    </row>
    <row r="48" ht="15.75" customHeight="1">
      <c r="G48" s="262"/>
    </row>
    <row r="49" ht="15.75" customHeight="1">
      <c r="G49" s="262"/>
    </row>
    <row r="50" ht="15.75" customHeight="1">
      <c r="G50" s="262"/>
    </row>
    <row r="51" ht="15.75" customHeight="1">
      <c r="G51" s="262"/>
    </row>
    <row r="52" ht="15.75" customHeight="1">
      <c r="G52" s="262"/>
    </row>
    <row r="53" ht="15.75" customHeight="1">
      <c r="G53" s="262"/>
    </row>
    <row r="54" ht="15.75" customHeight="1">
      <c r="G54" s="262"/>
    </row>
    <row r="55" ht="15.75" customHeight="1">
      <c r="G55" s="262"/>
    </row>
    <row r="56" ht="15.75" customHeight="1">
      <c r="G56" s="262"/>
    </row>
    <row r="57" ht="15.75" customHeight="1">
      <c r="G57" s="262"/>
    </row>
    <row r="58" ht="15.75" customHeight="1">
      <c r="G58" s="262"/>
    </row>
    <row r="59" ht="15.75" customHeight="1">
      <c r="G59" s="262"/>
    </row>
    <row r="60" ht="15.75" customHeight="1">
      <c r="G60" s="262"/>
    </row>
    <row r="61" ht="15.75" customHeight="1">
      <c r="G61" s="262"/>
    </row>
    <row r="62" ht="15.75" customHeight="1">
      <c r="G62" s="262"/>
    </row>
    <row r="63" ht="15.75" customHeight="1">
      <c r="G63" s="262"/>
    </row>
    <row r="64" ht="15.75" customHeight="1">
      <c r="G64" s="262"/>
    </row>
    <row r="65" ht="15.75" customHeight="1">
      <c r="G65" s="262"/>
    </row>
    <row r="66" ht="15.75" customHeight="1">
      <c r="G66" s="262"/>
    </row>
    <row r="67" ht="15.75" customHeight="1">
      <c r="G67" s="262"/>
    </row>
    <row r="68" ht="15.75" customHeight="1">
      <c r="G68" s="262"/>
    </row>
    <row r="69" ht="15.75" customHeight="1">
      <c r="G69" s="262"/>
    </row>
    <row r="70" ht="15.75" customHeight="1">
      <c r="G70" s="262"/>
    </row>
    <row r="71" ht="15.75" customHeight="1">
      <c r="G71" s="262"/>
    </row>
    <row r="72" ht="15.75" customHeight="1">
      <c r="G72" s="262"/>
    </row>
    <row r="73" ht="15.75" customHeight="1">
      <c r="G73" s="262"/>
    </row>
    <row r="74" ht="15.75" customHeight="1">
      <c r="G74" s="262"/>
    </row>
    <row r="75" ht="15.75" customHeight="1">
      <c r="G75" s="262"/>
    </row>
    <row r="76" ht="15.75" customHeight="1">
      <c r="G76" s="262"/>
    </row>
    <row r="77" ht="15.75" customHeight="1">
      <c r="G77" s="262"/>
    </row>
    <row r="78" ht="15.75" customHeight="1">
      <c r="G78" s="262"/>
    </row>
    <row r="79" ht="15.75" customHeight="1">
      <c r="G79" s="262"/>
    </row>
    <row r="80" ht="15.75" customHeight="1">
      <c r="G80" s="262"/>
    </row>
    <row r="81" ht="15.75" customHeight="1">
      <c r="G81" s="262"/>
    </row>
    <row r="82" ht="15.75" customHeight="1">
      <c r="G82" s="262"/>
    </row>
    <row r="83" ht="15.75" customHeight="1">
      <c r="G83" s="262"/>
    </row>
    <row r="84" ht="15.75" customHeight="1">
      <c r="G84" s="262"/>
    </row>
    <row r="85" ht="15.75" customHeight="1">
      <c r="G85" s="262"/>
    </row>
    <row r="86" ht="15.75" customHeight="1">
      <c r="G86" s="262"/>
    </row>
    <row r="87" ht="15.75" customHeight="1">
      <c r="G87" s="262"/>
    </row>
    <row r="88" ht="15.75" customHeight="1">
      <c r="G88" s="262"/>
    </row>
    <row r="89" ht="15.75" customHeight="1">
      <c r="G89" s="262"/>
    </row>
    <row r="90" ht="15.75" customHeight="1">
      <c r="G90" s="262"/>
    </row>
    <row r="91" ht="15.75" customHeight="1">
      <c r="G91" s="262"/>
    </row>
    <row r="92" ht="15.75" customHeight="1">
      <c r="G92" s="262"/>
    </row>
    <row r="93" ht="15.75" customHeight="1">
      <c r="G93" s="262"/>
    </row>
    <row r="94" ht="15.75" customHeight="1">
      <c r="G94" s="262"/>
    </row>
    <row r="95" ht="15.75" customHeight="1">
      <c r="G95" s="262"/>
    </row>
    <row r="96" ht="15.75" customHeight="1">
      <c r="G96" s="262"/>
    </row>
    <row r="97" ht="15.75" customHeight="1">
      <c r="G97" s="262"/>
    </row>
    <row r="98" ht="15.75" customHeight="1">
      <c r="G98" s="262"/>
    </row>
    <row r="99" ht="15.75" customHeight="1">
      <c r="G99" s="262"/>
    </row>
    <row r="100" ht="15.75" customHeight="1">
      <c r="G100" s="262"/>
    </row>
    <row r="101" ht="15.75" customHeight="1">
      <c r="G101" s="262"/>
    </row>
    <row r="102" ht="15.75" customHeight="1">
      <c r="G102" s="262"/>
    </row>
    <row r="103" ht="15.75" customHeight="1">
      <c r="G103" s="262"/>
    </row>
    <row r="104" ht="15.75" customHeight="1">
      <c r="G104" s="262"/>
    </row>
    <row r="105" ht="15.75" customHeight="1">
      <c r="G105" s="262"/>
    </row>
    <row r="106" ht="15.75" customHeight="1">
      <c r="G106" s="262"/>
    </row>
    <row r="107" ht="15.75" customHeight="1">
      <c r="G107" s="262"/>
    </row>
    <row r="108" ht="15.75" customHeight="1">
      <c r="G108" s="262"/>
    </row>
    <row r="109" ht="15.75" customHeight="1">
      <c r="G109" s="262"/>
    </row>
    <row r="110" ht="15.75" customHeight="1">
      <c r="G110" s="262"/>
    </row>
    <row r="111" ht="15.75" customHeight="1">
      <c r="G111" s="262"/>
    </row>
    <row r="112" ht="15.75" customHeight="1">
      <c r="G112" s="262"/>
    </row>
    <row r="113" ht="15.75" customHeight="1">
      <c r="G113" s="262"/>
    </row>
    <row r="114" ht="15.75" customHeight="1">
      <c r="G114" s="262"/>
    </row>
    <row r="115" ht="15.75" customHeight="1">
      <c r="G115" s="262"/>
    </row>
    <row r="116" ht="15.75" customHeight="1">
      <c r="G116" s="262"/>
    </row>
    <row r="117" ht="15.75" customHeight="1">
      <c r="G117" s="262"/>
    </row>
    <row r="118" ht="15.75" customHeight="1">
      <c r="G118" s="262"/>
    </row>
    <row r="119" ht="15.75" customHeight="1">
      <c r="G119" s="262"/>
    </row>
    <row r="120" ht="15.75" customHeight="1">
      <c r="G120" s="262"/>
    </row>
    <row r="121" ht="15.75" customHeight="1">
      <c r="G121" s="262"/>
    </row>
    <row r="122" ht="15.75" customHeight="1">
      <c r="G122" s="262"/>
    </row>
    <row r="123" ht="15.75" customHeight="1">
      <c r="G123" s="262"/>
    </row>
    <row r="124" ht="15.75" customHeight="1">
      <c r="G124" s="262"/>
    </row>
    <row r="125" ht="15.75" customHeight="1">
      <c r="G125" s="262"/>
    </row>
    <row r="126" ht="15.75" customHeight="1">
      <c r="G126" s="262"/>
    </row>
    <row r="127" ht="15.75" customHeight="1">
      <c r="G127" s="262"/>
    </row>
    <row r="128" ht="15.75" customHeight="1">
      <c r="G128" s="262"/>
    </row>
    <row r="129" ht="15.75" customHeight="1">
      <c r="G129" s="262"/>
    </row>
    <row r="130" ht="15.75" customHeight="1">
      <c r="G130" s="262"/>
    </row>
    <row r="131" ht="15.75" customHeight="1">
      <c r="G131" s="262"/>
    </row>
    <row r="132" ht="15.75" customHeight="1">
      <c r="G132" s="262"/>
    </row>
    <row r="133" ht="15.75" customHeight="1">
      <c r="G133" s="262"/>
    </row>
    <row r="134" ht="15.75" customHeight="1">
      <c r="G134" s="262"/>
    </row>
    <row r="135" ht="15.75" customHeight="1">
      <c r="G135" s="262"/>
    </row>
    <row r="136" ht="15.75" customHeight="1">
      <c r="G136" s="262"/>
    </row>
    <row r="137" ht="15.75" customHeight="1">
      <c r="G137" s="262"/>
    </row>
    <row r="138" ht="15.75" customHeight="1">
      <c r="G138" s="262"/>
    </row>
    <row r="139" ht="15.75" customHeight="1">
      <c r="G139" s="262"/>
    </row>
    <row r="140" ht="15.75" customHeight="1">
      <c r="G140" s="262"/>
    </row>
    <row r="141" ht="15.75" customHeight="1">
      <c r="G141" s="262"/>
    </row>
    <row r="142" ht="15.75" customHeight="1">
      <c r="G142" s="262"/>
    </row>
    <row r="143" ht="15.75" customHeight="1">
      <c r="G143" s="262"/>
    </row>
    <row r="144" ht="15.75" customHeight="1">
      <c r="G144" s="262"/>
    </row>
    <row r="145" ht="15.75" customHeight="1">
      <c r="G145" s="262"/>
    </row>
    <row r="146" ht="15.75" customHeight="1">
      <c r="G146" s="262"/>
    </row>
    <row r="147" ht="15.75" customHeight="1">
      <c r="G147" s="262"/>
    </row>
    <row r="148" ht="15.75" customHeight="1">
      <c r="G148" s="262"/>
    </row>
    <row r="149" ht="15.75" customHeight="1">
      <c r="G149" s="262"/>
    </row>
    <row r="150" ht="15.75" customHeight="1">
      <c r="G150" s="262"/>
    </row>
    <row r="151" ht="15.75" customHeight="1">
      <c r="G151" s="262"/>
    </row>
    <row r="152" ht="15.75" customHeight="1">
      <c r="G152" s="262"/>
    </row>
    <row r="153" ht="15.75" customHeight="1">
      <c r="G153" s="262"/>
    </row>
    <row r="154" ht="15.75" customHeight="1">
      <c r="G154" s="262"/>
    </row>
    <row r="155" ht="15.75" customHeight="1">
      <c r="G155" s="262"/>
    </row>
    <row r="156" ht="15.75" customHeight="1">
      <c r="G156" s="262"/>
    </row>
    <row r="157" ht="15.75" customHeight="1">
      <c r="G157" s="262"/>
    </row>
    <row r="158" ht="15.75" customHeight="1">
      <c r="G158" s="262"/>
    </row>
    <row r="159" ht="15.75" customHeight="1">
      <c r="G159" s="262"/>
    </row>
    <row r="160" ht="15.75" customHeight="1">
      <c r="G160" s="262"/>
    </row>
    <row r="161" ht="15.75" customHeight="1">
      <c r="G161" s="262"/>
    </row>
    <row r="162" ht="15.75" customHeight="1">
      <c r="G162" s="262"/>
    </row>
    <row r="163" ht="15.75" customHeight="1">
      <c r="G163" s="262"/>
    </row>
    <row r="164" ht="15.75" customHeight="1">
      <c r="G164" s="262"/>
    </row>
    <row r="165" ht="15.75" customHeight="1">
      <c r="G165" s="262"/>
    </row>
    <row r="166" ht="15.75" customHeight="1">
      <c r="G166" s="262"/>
    </row>
    <row r="167" ht="15.75" customHeight="1">
      <c r="G167" s="262"/>
    </row>
    <row r="168" ht="15.75" customHeight="1">
      <c r="G168" s="262"/>
    </row>
    <row r="169" ht="15.75" customHeight="1">
      <c r="G169" s="262"/>
    </row>
    <row r="170" ht="15.75" customHeight="1">
      <c r="G170" s="262"/>
    </row>
    <row r="171" ht="15.75" customHeight="1">
      <c r="G171" s="262"/>
    </row>
    <row r="172" ht="15.75" customHeight="1">
      <c r="G172" s="262"/>
    </row>
    <row r="173" ht="15.75" customHeight="1">
      <c r="G173" s="262"/>
    </row>
    <row r="174" ht="15.75" customHeight="1">
      <c r="G174" s="262"/>
    </row>
    <row r="175" ht="15.75" customHeight="1">
      <c r="G175" s="262"/>
    </row>
    <row r="176" ht="15.75" customHeight="1">
      <c r="G176" s="262"/>
    </row>
    <row r="177" ht="15.75" customHeight="1">
      <c r="G177" s="262"/>
    </row>
    <row r="178" ht="15.75" customHeight="1">
      <c r="G178" s="262"/>
    </row>
    <row r="179" ht="15.75" customHeight="1">
      <c r="G179" s="262"/>
    </row>
    <row r="180" ht="15.75" customHeight="1">
      <c r="G180" s="262"/>
    </row>
    <row r="181" ht="15.75" customHeight="1">
      <c r="G181" s="262"/>
    </row>
    <row r="182" ht="15.75" customHeight="1">
      <c r="G182" s="262"/>
    </row>
    <row r="183" ht="15.75" customHeight="1">
      <c r="G183" s="262"/>
    </row>
    <row r="184" ht="15.75" customHeight="1">
      <c r="G184" s="262"/>
    </row>
    <row r="185" ht="15.75" customHeight="1">
      <c r="G185" s="262"/>
    </row>
    <row r="186" ht="15.75" customHeight="1">
      <c r="G186" s="262"/>
    </row>
    <row r="187" ht="15.75" customHeight="1">
      <c r="G187" s="262"/>
    </row>
    <row r="188" ht="15.75" customHeight="1">
      <c r="G188" s="262"/>
    </row>
    <row r="189" ht="15.75" customHeight="1">
      <c r="G189" s="262"/>
    </row>
    <row r="190" ht="15.75" customHeight="1">
      <c r="G190" s="262"/>
    </row>
    <row r="191" ht="15.75" customHeight="1">
      <c r="G191" s="262"/>
    </row>
    <row r="192" ht="15.75" customHeight="1">
      <c r="G192" s="262"/>
    </row>
    <row r="193" ht="15.75" customHeight="1">
      <c r="G193" s="262"/>
    </row>
    <row r="194" ht="15.75" customHeight="1">
      <c r="G194" s="262"/>
    </row>
    <row r="195" ht="15.75" customHeight="1">
      <c r="G195" s="262"/>
    </row>
    <row r="196" ht="15.75" customHeight="1">
      <c r="G196" s="262"/>
    </row>
    <row r="197" ht="15.75" customHeight="1">
      <c r="G197" s="262"/>
    </row>
    <row r="198" ht="15.75" customHeight="1">
      <c r="G198" s="262"/>
    </row>
    <row r="199" ht="15.75" customHeight="1">
      <c r="G199" s="262"/>
    </row>
    <row r="200" ht="15.75" customHeight="1">
      <c r="G200" s="262"/>
    </row>
    <row r="201" ht="15.75" customHeight="1">
      <c r="G201" s="262"/>
    </row>
    <row r="202" ht="15.75" customHeight="1">
      <c r="G202" s="262"/>
    </row>
    <row r="203" ht="15.75" customHeight="1">
      <c r="G203" s="262"/>
    </row>
    <row r="204" ht="15.75" customHeight="1">
      <c r="G204" s="262"/>
    </row>
    <row r="205" ht="15.75" customHeight="1">
      <c r="G205" s="262"/>
    </row>
    <row r="206" ht="15.75" customHeight="1">
      <c r="G206" s="262"/>
    </row>
    <row r="207" ht="15.75" customHeight="1">
      <c r="G207" s="262"/>
    </row>
    <row r="208" ht="15.75" customHeight="1">
      <c r="G208" s="262"/>
    </row>
    <row r="209" ht="15.75" customHeight="1">
      <c r="G209" s="262"/>
    </row>
    <row r="210" ht="15.75" customHeight="1">
      <c r="G210" s="262"/>
    </row>
    <row r="211" ht="15.75" customHeight="1">
      <c r="G211" s="262"/>
    </row>
    <row r="212" ht="15.75" customHeight="1">
      <c r="G212" s="262"/>
    </row>
    <row r="213" ht="15.75" customHeight="1">
      <c r="G213" s="262"/>
    </row>
    <row r="214" ht="15.75" customHeight="1">
      <c r="G214" s="262"/>
    </row>
    <row r="215" ht="15.75" customHeight="1">
      <c r="G215" s="262"/>
    </row>
    <row r="216" ht="15.75" customHeight="1">
      <c r="G216" s="262"/>
    </row>
    <row r="217" ht="15.75" customHeight="1">
      <c r="G217" s="262"/>
    </row>
    <row r="218" ht="15.75" customHeight="1">
      <c r="G218" s="262"/>
    </row>
    <row r="219" ht="15.75" customHeight="1">
      <c r="G219" s="262"/>
    </row>
    <row r="220" ht="15.75" customHeight="1">
      <c r="G220" s="262"/>
    </row>
    <row r="221" ht="15.75" customHeight="1">
      <c r="G221" s="262"/>
    </row>
    <row r="222" ht="15.75" customHeight="1">
      <c r="G222" s="262"/>
    </row>
    <row r="223" ht="15.75" customHeight="1">
      <c r="G223" s="262"/>
    </row>
    <row r="224" ht="15.75" customHeight="1">
      <c r="G224" s="262"/>
    </row>
    <row r="225" ht="15.75" customHeight="1">
      <c r="G225" s="262"/>
    </row>
    <row r="226" ht="15.75" customHeight="1">
      <c r="G226" s="262"/>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2:K4"/>
    <mergeCell ref="N2:W4"/>
    <mergeCell ref="Z2:AI4"/>
    <mergeCell ref="AL2:AU4"/>
    <mergeCell ref="AY5:BC5"/>
    <mergeCell ref="AY12:BC13"/>
  </mergeCells>
  <drawing r:id="rId1"/>
  <tableParts count="4">
    <tablePart r:id="rId6"/>
    <tablePart r:id="rId7"/>
    <tablePart r:id="rId8"/>
    <tablePart r:id="rId9"/>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412"/>
      <c r="B1" s="412"/>
      <c r="C1" s="412"/>
      <c r="D1" s="412"/>
      <c r="E1" s="412"/>
      <c r="F1" s="412"/>
      <c r="G1" s="412"/>
      <c r="H1" s="412"/>
      <c r="I1" s="412"/>
    </row>
    <row r="2" ht="15.75" customHeight="1">
      <c r="A2" s="412"/>
      <c r="B2" s="413" t="s">
        <v>282</v>
      </c>
      <c r="C2" s="4"/>
      <c r="D2" s="4"/>
      <c r="E2" s="4"/>
      <c r="F2" s="4"/>
      <c r="G2" s="4"/>
      <c r="H2" s="4"/>
      <c r="I2" s="5"/>
    </row>
    <row r="3" ht="15.75" customHeight="1">
      <c r="A3" s="412"/>
      <c r="B3" s="6"/>
      <c r="I3" s="7"/>
    </row>
    <row r="4" ht="15.75" customHeight="1">
      <c r="A4" s="412"/>
      <c r="B4" s="8"/>
      <c r="C4" s="9"/>
      <c r="D4" s="9"/>
      <c r="E4" s="9"/>
      <c r="F4" s="9"/>
      <c r="G4" s="9"/>
      <c r="H4" s="9"/>
      <c r="I4" s="10"/>
    </row>
    <row r="5" ht="15.75" customHeight="1"/>
    <row r="6" ht="15.75" customHeight="1">
      <c r="A6" s="414"/>
      <c r="B6" s="31" t="s">
        <v>283</v>
      </c>
      <c r="C6" s="20"/>
      <c r="D6" s="20"/>
      <c r="E6" s="20"/>
      <c r="F6" s="20"/>
      <c r="G6" s="20"/>
      <c r="H6" s="20"/>
      <c r="I6" s="21"/>
    </row>
    <row r="7" ht="15.75" customHeight="1">
      <c r="A7" s="414"/>
      <c r="B7" s="23"/>
      <c r="I7" s="24"/>
    </row>
    <row r="8" ht="15.75" customHeight="1">
      <c r="A8" s="414"/>
      <c r="B8" s="23"/>
      <c r="I8" s="24"/>
    </row>
    <row r="9" ht="15.75" customHeight="1">
      <c r="A9" s="414"/>
      <c r="B9" s="23"/>
      <c r="I9" s="24"/>
    </row>
    <row r="10" ht="15.75" customHeight="1">
      <c r="A10" s="414"/>
      <c r="B10" s="23"/>
      <c r="I10" s="24"/>
    </row>
    <row r="11" ht="15.75" customHeight="1">
      <c r="A11" s="414"/>
      <c r="B11" s="23"/>
      <c r="I11" s="24"/>
    </row>
    <row r="12" ht="36.75" customHeight="1">
      <c r="A12" s="414"/>
      <c r="B12" s="23"/>
      <c r="I12" s="24"/>
    </row>
    <row r="13" ht="15.75" customHeight="1">
      <c r="A13" s="414"/>
      <c r="B13" s="23"/>
      <c r="I13" s="24"/>
    </row>
    <row r="14" ht="15.75" customHeight="1">
      <c r="A14" s="414"/>
      <c r="B14" s="23"/>
      <c r="I14" s="24"/>
    </row>
    <row r="15" ht="15.75" customHeight="1">
      <c r="A15" s="414"/>
      <c r="B15" s="23"/>
      <c r="I15" s="24"/>
    </row>
    <row r="16" ht="3.75" customHeight="1">
      <c r="A16" s="414"/>
      <c r="B16" s="28"/>
      <c r="C16" s="29"/>
      <c r="D16" s="29"/>
      <c r="E16" s="29"/>
      <c r="F16" s="29"/>
      <c r="G16" s="29"/>
      <c r="H16" s="29"/>
      <c r="I16" s="30"/>
    </row>
    <row r="17" ht="15.75" customHeight="1"/>
    <row r="18" ht="15.75" customHeight="1">
      <c r="A18" s="412"/>
      <c r="B18" s="413" t="s">
        <v>284</v>
      </c>
      <c r="C18" s="4"/>
      <c r="D18" s="4"/>
      <c r="E18" s="4"/>
      <c r="F18" s="4"/>
      <c r="G18" s="4"/>
      <c r="H18" s="4"/>
      <c r="I18" s="5"/>
    </row>
    <row r="19" ht="15.75" customHeight="1">
      <c r="A19" s="412"/>
      <c r="B19" s="6"/>
      <c r="I19" s="7"/>
    </row>
    <row r="20" ht="15.75" customHeight="1">
      <c r="A20" s="412"/>
      <c r="B20" s="8"/>
      <c r="C20" s="9"/>
      <c r="D20" s="9"/>
      <c r="E20" s="9"/>
      <c r="F20" s="9"/>
      <c r="G20" s="9"/>
      <c r="H20" s="9"/>
      <c r="I20" s="10"/>
    </row>
    <row r="21" ht="15.75" customHeight="1"/>
    <row r="22" ht="15.75" customHeight="1">
      <c r="A22" s="415"/>
      <c r="B22" s="416" t="s">
        <v>285</v>
      </c>
      <c r="C22" s="20"/>
      <c r="D22" s="20"/>
      <c r="E22" s="20"/>
      <c r="F22" s="20"/>
      <c r="G22" s="20"/>
      <c r="H22" s="20"/>
      <c r="I22" s="21"/>
    </row>
    <row r="23" ht="15.75" customHeight="1">
      <c r="A23" s="415"/>
      <c r="B23" s="23"/>
      <c r="I23" s="24"/>
    </row>
    <row r="24" ht="15.75" customHeight="1">
      <c r="A24" s="415"/>
      <c r="B24" s="23"/>
      <c r="I24" s="24"/>
    </row>
    <row r="25" ht="15.75" customHeight="1">
      <c r="A25" s="415"/>
      <c r="B25" s="23"/>
      <c r="I25" s="24"/>
    </row>
    <row r="26" ht="15.75" customHeight="1">
      <c r="A26" s="415"/>
      <c r="B26" s="23"/>
      <c r="I26" s="24"/>
    </row>
    <row r="27" ht="15.75" customHeight="1">
      <c r="A27" s="415"/>
      <c r="B27" s="23"/>
      <c r="I27" s="24"/>
    </row>
    <row r="28" ht="15.75" customHeight="1">
      <c r="A28" s="415"/>
      <c r="B28" s="23"/>
      <c r="I28" s="24"/>
    </row>
    <row r="29" ht="15.75" customHeight="1">
      <c r="A29" s="415"/>
      <c r="B29" s="23"/>
      <c r="I29" s="24"/>
    </row>
    <row r="30" ht="15.75" customHeight="1">
      <c r="A30" s="415"/>
      <c r="B30" s="23"/>
      <c r="I30" s="24"/>
    </row>
    <row r="31" ht="15.75" customHeight="1">
      <c r="A31" s="415"/>
      <c r="B31" s="28"/>
      <c r="C31" s="29"/>
      <c r="D31" s="29"/>
      <c r="E31" s="29"/>
      <c r="F31" s="29"/>
      <c r="G31" s="29"/>
      <c r="H31" s="29"/>
      <c r="I31" s="30"/>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2:I4"/>
    <mergeCell ref="B6:I16"/>
    <mergeCell ref="B18:I20"/>
    <mergeCell ref="B22:I3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39" t="str">
        <f>ModelSheet=DATA SHEET(1)!A:Z</f>
        <v>#ERROR!</v>
      </c>
    </row>
    <row r="2" ht="15.75" customHeight="1">
      <c r="A2" s="39" t="str">
        <f>OpenSolver_AdjNum=1</f>
        <v>#NAME?</v>
      </c>
    </row>
    <row r="3" ht="15.75" customHeight="1">
      <c r="A3" s="39" t="str">
        <f>OpenSolver_ChosenSolver=Google</f>
        <v>#NAME?</v>
      </c>
    </row>
    <row r="4" ht="15.75" customHeight="1">
      <c r="A4" s="39" t="str">
        <f>OpenSolver_FastBuild=0</f>
        <v>#NAME?</v>
      </c>
    </row>
    <row r="5" ht="15.75" customHeight="1">
      <c r="A5" s="39" t="str">
        <f>OpenSolver_LinearityCheck=1</f>
        <v>#NAME?</v>
      </c>
    </row>
    <row r="6" ht="15.75" customHeight="1">
      <c r="A6" s="39" t="str">
        <f>solver_adj=DATA SHEET(1)!BL23:BO23</f>
        <v>#ERROR!</v>
      </c>
    </row>
    <row r="7" ht="15.75" customHeight="1">
      <c r="A7" s="39" t="str">
        <f>solver_lhs1=DATA SHEET(1)!BP23</f>
        <v>#ERROR!</v>
      </c>
    </row>
    <row r="8" ht="15.75" customHeight="1">
      <c r="A8" s="39" t="str">
        <f>solver_neg=1</f>
        <v>#NAME?</v>
      </c>
    </row>
    <row r="9" ht="15.75" customHeight="1">
      <c r="A9" s="39" t="str">
        <f>solver_num=1</f>
        <v>#NAME?</v>
      </c>
    </row>
    <row r="10" ht="15.75" customHeight="1">
      <c r="A10" s="39" t="str">
        <f>solver_opt=DATA SHEET(1)!BP27</f>
        <v>#ERROR!</v>
      </c>
    </row>
    <row r="11" ht="15.75" customHeight="1">
      <c r="A11" s="39" t="str">
        <f>solver_rel1=2</f>
        <v>#NAME?</v>
      </c>
    </row>
    <row r="12" ht="15.75" customHeight="1">
      <c r="A12" s="39" t="str">
        <f>solver_rhs1=DATA SHEET(1)!BP23</f>
        <v>#ERROR!</v>
      </c>
    </row>
    <row r="13" ht="15.75" customHeight="1">
      <c r="A13" s="39" t="str">
        <f>solver_sho=1</f>
        <v>#NAME?</v>
      </c>
    </row>
    <row r="14" ht="15.75" customHeight="1">
      <c r="A14" s="39" t="str">
        <f>solver_typ=1</f>
        <v>#NAME?</v>
      </c>
    </row>
    <row r="15" ht="15.75" customHeight="1">
      <c r="A15" s="39" t="str">
        <f>solver_val=0</f>
        <v>#NAME?</v>
      </c>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